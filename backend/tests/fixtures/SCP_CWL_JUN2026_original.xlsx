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13_ncr:1_{5FDCF89C-F094-40E6-B97C-1B51ADE266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ment of Income" sheetId="1" r:id="rId1"/>
    <sheet name="SCPCWL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_impresión_IM">#REF!</definedName>
    <definedName name="ANNUAL_OTHER_TAX">[1]Assumptions!$B$48</definedName>
    <definedName name="ANNUAL_PERS_PROPERTY_TAX">[1]Assumptions!$B$47</definedName>
    <definedName name="ANNUAL_REAL_PROPERTY_TAX">[1]Assumptions!$B$46</definedName>
    <definedName name="AVG_NO_EMPLOYEES">[1]Assumptions!$B$74</definedName>
    <definedName name="base1">'[2]BALANCE DE COMPROBACION'!$B$4:$B$755</definedName>
    <definedName name="BUDGET_YEAR">[1]Assumptions!$B$4</definedName>
    <definedName name="CELL_PHONE_100">[1]Assumptions!$B$35</definedName>
    <definedName name="CELL_PHONE_50">[1]Assumptions!$B$34</definedName>
    <definedName name="CLEANING_MINS_PER_ROOM">[1]Assumptions!$B$27</definedName>
    <definedName name="COST_OF_BEER">[1]Assumptions!$B$155</definedName>
    <definedName name="COST_OF_BEVERAGE">[1]Assumptions!$B$154</definedName>
    <definedName name="COST_OF_FOOD">[1]Assumptions!$B$152</definedName>
    <definedName name="COST_OF_LIQUOR">[1]Assumptions!$B$156</definedName>
    <definedName name="COST_OF_PREPACKAGED">[1]Assumptions!$B$153</definedName>
    <definedName name="COST_OF_WINE">[1]Assumptions!$B$157</definedName>
    <definedName name="CREDIT_CARD_COMMISSION_RATE">[1]Assumptions!$B$12</definedName>
    <definedName name="DATE_REV_FIGURES">[1]Assumptions!$B$7</definedName>
    <definedName name="Demand2Data">#REF!</definedName>
    <definedName name="Demand2Date2">#REF!</definedName>
    <definedName name="Demand2Metric">#REF!</definedName>
    <definedName name="EMPLOYEE_BENEFITS">[1]Assumptions!$F$59</definedName>
    <definedName name="EMPLOYEE_ONBOARDING">[1]Assumptions!#REF!</definedName>
    <definedName name="EMPLOYEE_TRAINING">[1]Assumptions!$B$32</definedName>
    <definedName name="ESDG_FACTOR">[1]Assumptions!$B$16</definedName>
    <definedName name="ESDG_PER_STAY">[1]Assumptions!$B$17</definedName>
    <definedName name="FAIR_TRADE_PRICING">[1]Assumptions!$B$14</definedName>
    <definedName name="FechaDeInicioelañoFiscal">'[3]FLUJO DE EFECTIVO'!$B$7</definedName>
    <definedName name="FEE_ACCOUNTING">[1]Assumptions!$B$38</definedName>
    <definedName name="FEE_BACKGROUND_CHECK">[1]Assumptions!$B$33</definedName>
    <definedName name="FEE_MANAGEMENT">[1]Assumptions!$B$8</definedName>
    <definedName name="FEE_MARKETING_BRAND">[1]Assumptions!$B$11</definedName>
    <definedName name="FEE_MARKETING_CENTRALIZED_SERVICES">[1]Assumptions!$B$41</definedName>
    <definedName name="FEE_REVMGMT_CENTRALIZED_SERVICES">[1]Assumptions!$B$39</definedName>
    <definedName name="FEE_ROYALTY_FB">[1]Assumptions!$B$10</definedName>
    <definedName name="FEE_ROYALTY_ROOMS">[1]Assumptions!$B$9</definedName>
    <definedName name="FEE_SALES_CENTRALIZED_SERVICES">[1]Assumptions!$B$40</definedName>
    <definedName name="FEE_TECHNOLOGY">[1]Assumptions!$B$37</definedName>
    <definedName name="FFE_RESERVE">[1]Assumptions!$B$13</definedName>
    <definedName name="HOTEL_NAME">[1]Assumptions!$B$2</definedName>
    <definedName name="MEMBERSHIP_COST_MULTIPLIER">#REF!</definedName>
    <definedName name="MEMBERSHIP_FEE_REVENUE">[1]Assumptions!$B$147</definedName>
    <definedName name="MINS_PER_HOUR">[1]Assumptions!$B$51</definedName>
    <definedName name="MONTHLY_INTERNET_SERVICE">[1]Assumptions!$B$43</definedName>
    <definedName name="MONTHLY_PHONE_SERVICE">[1]Assumptions!$B$44</definedName>
    <definedName name="MONTHLY_WASTE_REMOVAL">[1]Assumptions!$B$45</definedName>
    <definedName name="MY_FUNCTION1" localSheetId="1">_xludf.LAMBDA(SUM('[4]RATES CWL 2023-2024'!$B$48-500)/3)</definedName>
    <definedName name="MY_FUNCTION1">_xludf.LAMBDA(SUM('[4]RATES CWL 2023-2024'!$B$48-500)/3)</definedName>
    <definedName name="NO_OF_ROOMS">[1]Assumptions!$B$5</definedName>
    <definedName name="PAYROLL_TAXES">[1]Assumptions!$F$57</definedName>
    <definedName name="PET_FEE_MULTIPLIER">[1]Assumptions!$B$26</definedName>
    <definedName name="PET_FEE_PER_STAY">[1]Assumptions!$B$25</definedName>
    <definedName name="_xlnm.Print_Area" localSheetId="1">SCPCWL!$A$1:$AG$56</definedName>
    <definedName name="RESORT_FEE_MULTIPLIER">[1]Assumptions!$B$23</definedName>
    <definedName name="RESORT_FEE_PER_STAY">[1]Assumptions!$B$22</definedName>
    <definedName name="SUPPPAY">[1]Assumptions!$F$58</definedName>
    <definedName name="Tipo1">'[5]Tipo Cambio'!$1:$1048576</definedName>
    <definedName name="Tipo2">'[5]Tipo Cambio'!$1:$1</definedName>
    <definedName name="TOTAL_OCCUPIED_ROOMS">[1]Assumptions!$B$6</definedName>
    <definedName name="WC_ANDG">[1]Assumptions!$F$62</definedName>
    <definedName name="WC_FANDB">[1]Assumptions!$F$61</definedName>
    <definedName name="WC_RANDM">[1]Assumptions!$F$64</definedName>
    <definedName name="WC_ROOMS">[1]Assumptions!$F$60</definedName>
    <definedName name="WC_SANDM">[1]Assumptions!$F$63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3" l="1"/>
  <c r="R13" i="3"/>
  <c r="D56" i="3"/>
  <c r="D54" i="3"/>
  <c r="D52" i="3"/>
  <c r="D51" i="3"/>
  <c r="D50" i="3"/>
  <c r="D48" i="3"/>
  <c r="D47" i="3"/>
  <c r="D46" i="3"/>
  <c r="D45" i="3"/>
  <c r="D44" i="3"/>
  <c r="D43" i="3"/>
  <c r="D41" i="3"/>
  <c r="D40" i="3"/>
  <c r="D38" i="3"/>
  <c r="D37" i="3"/>
  <c r="D36" i="3"/>
  <c r="D35" i="3"/>
  <c r="D34" i="3"/>
  <c r="D33" i="3"/>
  <c r="D32" i="3"/>
  <c r="D31" i="3"/>
  <c r="D30" i="3"/>
  <c r="D29" i="3"/>
  <c r="D26" i="3"/>
  <c r="D27" i="3"/>
  <c r="D25" i="3"/>
  <c r="D24" i="3"/>
  <c r="D23" i="3"/>
  <c r="D21" i="3"/>
  <c r="D20" i="3"/>
  <c r="D19" i="3"/>
  <c r="D18" i="3"/>
  <c r="D16" i="3"/>
  <c r="C16" i="3"/>
  <c r="B56" i="3"/>
  <c r="B55" i="3"/>
  <c r="B54" i="3"/>
  <c r="B52" i="3"/>
  <c r="B51" i="3"/>
  <c r="AB56" i="3"/>
  <c r="V56" i="3"/>
  <c r="R56" i="3"/>
  <c r="AF56" i="3" s="1"/>
  <c r="AG56" i="3" s="1"/>
  <c r="K56" i="3"/>
  <c r="O56" i="3" s="1"/>
  <c r="P56" i="3" s="1"/>
  <c r="J56" i="3"/>
  <c r="E56" i="3"/>
  <c r="A56" i="3"/>
  <c r="I56" i="3" s="1"/>
  <c r="AB55" i="3"/>
  <c r="AF55" i="3" s="1"/>
  <c r="AG55" i="3" s="1"/>
  <c r="V55" i="3"/>
  <c r="R55" i="3"/>
  <c r="Z55" i="3" s="1"/>
  <c r="AA55" i="3" s="1"/>
  <c r="K55" i="3"/>
  <c r="O55" i="3" s="1"/>
  <c r="P55" i="3" s="1"/>
  <c r="J55" i="3"/>
  <c r="E55" i="3"/>
  <c r="A55" i="3"/>
  <c r="I55" i="3" s="1"/>
  <c r="AB54" i="3"/>
  <c r="V54" i="3"/>
  <c r="R54" i="3"/>
  <c r="AF54" i="3" s="1"/>
  <c r="AG54" i="3" s="1"/>
  <c r="K54" i="3"/>
  <c r="E54" i="3"/>
  <c r="A54" i="3"/>
  <c r="O54" i="3" s="1"/>
  <c r="P54" i="3" s="1"/>
  <c r="AB52" i="3"/>
  <c r="V52" i="3"/>
  <c r="R52" i="3"/>
  <c r="AF52" i="3" s="1"/>
  <c r="AG52" i="3" s="1"/>
  <c r="K52" i="3"/>
  <c r="E52" i="3"/>
  <c r="A52" i="3"/>
  <c r="O52" i="3" s="1"/>
  <c r="P52" i="3" s="1"/>
  <c r="AB51" i="3"/>
  <c r="V51" i="3"/>
  <c r="R51" i="3"/>
  <c r="AF51" i="3" s="1"/>
  <c r="AG51" i="3" s="1"/>
  <c r="K51" i="3"/>
  <c r="E51" i="3"/>
  <c r="A51" i="3"/>
  <c r="O51" i="3" s="1"/>
  <c r="P51" i="3" s="1"/>
  <c r="AB50" i="3"/>
  <c r="V50" i="3"/>
  <c r="R50" i="3"/>
  <c r="AF50" i="3" s="1"/>
  <c r="AG50" i="3" s="1"/>
  <c r="K50" i="3"/>
  <c r="E50" i="3"/>
  <c r="A50" i="3"/>
  <c r="O50" i="3" s="1"/>
  <c r="P50" i="3" s="1"/>
  <c r="AB49" i="3"/>
  <c r="V49" i="3"/>
  <c r="R49" i="3"/>
  <c r="AF49" i="3" s="1"/>
  <c r="AG49" i="3" s="1"/>
  <c r="K49" i="3"/>
  <c r="E49" i="3"/>
  <c r="A49" i="3"/>
  <c r="O49" i="3" s="1"/>
  <c r="P49" i="3" s="1"/>
  <c r="AB48" i="3"/>
  <c r="V48" i="3"/>
  <c r="R48" i="3"/>
  <c r="AF48" i="3" s="1"/>
  <c r="AG48" i="3" s="1"/>
  <c r="K48" i="3"/>
  <c r="E48" i="3"/>
  <c r="A48" i="3"/>
  <c r="O48" i="3" s="1"/>
  <c r="P48" i="3" s="1"/>
  <c r="AB47" i="3"/>
  <c r="V47" i="3"/>
  <c r="R47" i="3"/>
  <c r="AF47" i="3" s="1"/>
  <c r="AG47" i="3" s="1"/>
  <c r="K47" i="3"/>
  <c r="E47" i="3"/>
  <c r="A47" i="3"/>
  <c r="O47" i="3" s="1"/>
  <c r="P47" i="3" s="1"/>
  <c r="AB46" i="3"/>
  <c r="V46" i="3"/>
  <c r="R46" i="3"/>
  <c r="AF46" i="3" s="1"/>
  <c r="AG46" i="3" s="1"/>
  <c r="K46" i="3"/>
  <c r="E46" i="3"/>
  <c r="A46" i="3"/>
  <c r="O46" i="3" s="1"/>
  <c r="P46" i="3" s="1"/>
  <c r="AB45" i="3"/>
  <c r="V45" i="3"/>
  <c r="R45" i="3"/>
  <c r="AF45" i="3" s="1"/>
  <c r="AG45" i="3" s="1"/>
  <c r="K45" i="3"/>
  <c r="E45" i="3"/>
  <c r="A45" i="3"/>
  <c r="O45" i="3" s="1"/>
  <c r="P45" i="3" s="1"/>
  <c r="AB44" i="3"/>
  <c r="V44" i="3"/>
  <c r="R44" i="3"/>
  <c r="AF44" i="3" s="1"/>
  <c r="AG44" i="3" s="1"/>
  <c r="K44" i="3"/>
  <c r="E44" i="3"/>
  <c r="B44" i="3"/>
  <c r="A44" i="3"/>
  <c r="AB43" i="3"/>
  <c r="V43" i="3"/>
  <c r="R43" i="3"/>
  <c r="AF43" i="3" s="1"/>
  <c r="AG43" i="3" s="1"/>
  <c r="K43" i="3"/>
  <c r="E43" i="3"/>
  <c r="A43" i="3"/>
  <c r="AB41" i="3"/>
  <c r="V41" i="3"/>
  <c r="Y41" i="3" s="1"/>
  <c r="R41" i="3"/>
  <c r="K41" i="3"/>
  <c r="E41" i="3"/>
  <c r="A41" i="3"/>
  <c r="AB40" i="3"/>
  <c r="V40" i="3"/>
  <c r="T40" i="3"/>
  <c r="R40" i="3"/>
  <c r="K40" i="3"/>
  <c r="E40" i="3"/>
  <c r="A40" i="3"/>
  <c r="AB39" i="3"/>
  <c r="V39" i="3"/>
  <c r="T39" i="3"/>
  <c r="R39" i="3"/>
  <c r="K39" i="3"/>
  <c r="E39" i="3"/>
  <c r="A39" i="3"/>
  <c r="AB38" i="3"/>
  <c r="V38" i="3"/>
  <c r="T38" i="3"/>
  <c r="R38" i="3"/>
  <c r="K38" i="3"/>
  <c r="E38" i="3"/>
  <c r="A38" i="3"/>
  <c r="AB37" i="3"/>
  <c r="V37" i="3"/>
  <c r="R37" i="3"/>
  <c r="K37" i="3"/>
  <c r="I37" i="3"/>
  <c r="J37" i="3" s="1"/>
  <c r="E37" i="3"/>
  <c r="A37" i="3"/>
  <c r="AB36" i="3"/>
  <c r="V36" i="3"/>
  <c r="R36" i="3"/>
  <c r="N36" i="3"/>
  <c r="K36" i="3"/>
  <c r="E36" i="3"/>
  <c r="A36" i="3"/>
  <c r="AB35" i="3"/>
  <c r="V35" i="3"/>
  <c r="R35" i="3"/>
  <c r="K35" i="3"/>
  <c r="I35" i="3"/>
  <c r="J35" i="3" s="1"/>
  <c r="E35" i="3"/>
  <c r="A35" i="3"/>
  <c r="AB34" i="3"/>
  <c r="V34" i="3"/>
  <c r="R34" i="3"/>
  <c r="N34" i="3"/>
  <c r="K34" i="3"/>
  <c r="E34" i="3"/>
  <c r="A34" i="3"/>
  <c r="AB33" i="3"/>
  <c r="V33" i="3"/>
  <c r="R33" i="3"/>
  <c r="AF33" i="3" s="1"/>
  <c r="AG33" i="3" s="1"/>
  <c r="O33" i="3"/>
  <c r="P33" i="3" s="1"/>
  <c r="K33" i="3"/>
  <c r="E33" i="3"/>
  <c r="A33" i="3"/>
  <c r="AF32" i="3"/>
  <c r="AG32" i="3" s="1"/>
  <c r="AB32" i="3"/>
  <c r="AE32" i="3" s="1"/>
  <c r="V32" i="3"/>
  <c r="W32" i="3" s="1"/>
  <c r="R32" i="3"/>
  <c r="O32" i="3"/>
  <c r="P32" i="3" s="1"/>
  <c r="K32" i="3"/>
  <c r="E32" i="3"/>
  <c r="F32" i="3" s="1"/>
  <c r="A32" i="3"/>
  <c r="AF31" i="3"/>
  <c r="AG31" i="3" s="1"/>
  <c r="AB31" i="3"/>
  <c r="AE31" i="3" s="1"/>
  <c r="V31" i="3"/>
  <c r="R31" i="3"/>
  <c r="O31" i="3"/>
  <c r="P31" i="3" s="1"/>
  <c r="K31" i="3"/>
  <c r="N31" i="3" s="1"/>
  <c r="E31" i="3"/>
  <c r="F31" i="3" s="1"/>
  <c r="A31" i="3"/>
  <c r="AF30" i="3"/>
  <c r="AG30" i="3" s="1"/>
  <c r="AB30" i="3"/>
  <c r="V30" i="3"/>
  <c r="R30" i="3"/>
  <c r="O30" i="3"/>
  <c r="P30" i="3" s="1"/>
  <c r="K30" i="3"/>
  <c r="N30" i="3" s="1"/>
  <c r="G30" i="3"/>
  <c r="E30" i="3"/>
  <c r="A30" i="3"/>
  <c r="AF29" i="3"/>
  <c r="AG29" i="3" s="1"/>
  <c r="AB29" i="3"/>
  <c r="AE29" i="3" s="1"/>
  <c r="V29" i="3"/>
  <c r="R29" i="3"/>
  <c r="O29" i="3"/>
  <c r="P29" i="3" s="1"/>
  <c r="K29" i="3"/>
  <c r="E29" i="3"/>
  <c r="F29" i="3" s="1"/>
  <c r="A29" i="3"/>
  <c r="AF27" i="3"/>
  <c r="AG27" i="3" s="1"/>
  <c r="AB27" i="3"/>
  <c r="AE27" i="3" s="1"/>
  <c r="V27" i="3"/>
  <c r="W27" i="3" s="1"/>
  <c r="R27" i="3"/>
  <c r="K27" i="3"/>
  <c r="E27" i="3"/>
  <c r="F27" i="3" s="1"/>
  <c r="A27" i="3"/>
  <c r="AF26" i="3"/>
  <c r="AG26" i="3" s="1"/>
  <c r="AB26" i="3"/>
  <c r="AE26" i="3" s="1"/>
  <c r="V26" i="3"/>
  <c r="R26" i="3"/>
  <c r="O26" i="3"/>
  <c r="P26" i="3" s="1"/>
  <c r="K26" i="3"/>
  <c r="N26" i="3" s="1"/>
  <c r="I26" i="3"/>
  <c r="J26" i="3" s="1"/>
  <c r="G26" i="3"/>
  <c r="E26" i="3"/>
  <c r="A26" i="3"/>
  <c r="AB25" i="3"/>
  <c r="V25" i="3"/>
  <c r="W25" i="3" s="1"/>
  <c r="R25" i="3"/>
  <c r="K25" i="3"/>
  <c r="I25" i="3"/>
  <c r="J25" i="3" s="1"/>
  <c r="H25" i="3"/>
  <c r="E25" i="3"/>
  <c r="F25" i="3" s="1"/>
  <c r="A25" i="3"/>
  <c r="AB24" i="3"/>
  <c r="W24" i="3"/>
  <c r="V24" i="3"/>
  <c r="Y24" i="3" s="1"/>
  <c r="R24" i="3"/>
  <c r="K24" i="3"/>
  <c r="I24" i="3"/>
  <c r="J24" i="3" s="1"/>
  <c r="F24" i="3"/>
  <c r="E24" i="3"/>
  <c r="A24" i="3"/>
  <c r="AB23" i="3"/>
  <c r="AE23" i="3" s="1"/>
  <c r="W23" i="3"/>
  <c r="V23" i="3"/>
  <c r="Y23" i="3" s="1"/>
  <c r="R23" i="3"/>
  <c r="K23" i="3"/>
  <c r="I23" i="3"/>
  <c r="J23" i="3" s="1"/>
  <c r="F23" i="3"/>
  <c r="E23" i="3"/>
  <c r="A23" i="3"/>
  <c r="AB21" i="3"/>
  <c r="AC21" i="3" s="1"/>
  <c r="W21" i="3"/>
  <c r="V21" i="3"/>
  <c r="R21" i="3"/>
  <c r="K21" i="3"/>
  <c r="L21" i="3" s="1"/>
  <c r="I21" i="3"/>
  <c r="J21" i="3" s="1"/>
  <c r="F21" i="3"/>
  <c r="E21" i="3"/>
  <c r="A21" i="3"/>
  <c r="AB20" i="3"/>
  <c r="AC20" i="3" s="1"/>
  <c r="W20" i="3"/>
  <c r="V20" i="3"/>
  <c r="Y20" i="3" s="1"/>
  <c r="R20" i="3"/>
  <c r="K20" i="3"/>
  <c r="L20" i="3" s="1"/>
  <c r="I20" i="3"/>
  <c r="J20" i="3" s="1"/>
  <c r="F20" i="3"/>
  <c r="E20" i="3"/>
  <c r="A20" i="3"/>
  <c r="AB19" i="3"/>
  <c r="AC19" i="3" s="1"/>
  <c r="W19" i="3"/>
  <c r="V19" i="3"/>
  <c r="Y19" i="3" s="1"/>
  <c r="R19" i="3"/>
  <c r="U19" i="3" s="1"/>
  <c r="K19" i="3"/>
  <c r="I19" i="3"/>
  <c r="J19" i="3" s="1"/>
  <c r="H19" i="3"/>
  <c r="E19" i="3"/>
  <c r="G19" i="3" s="1"/>
  <c r="B19" i="3"/>
  <c r="A19" i="3"/>
  <c r="AF18" i="3"/>
  <c r="AG18" i="3" s="1"/>
  <c r="AB18" i="3"/>
  <c r="W18" i="3"/>
  <c r="V18" i="3"/>
  <c r="R18" i="3"/>
  <c r="Z18" i="3" s="1"/>
  <c r="AA18" i="3" s="1"/>
  <c r="P18" i="3"/>
  <c r="O18" i="3"/>
  <c r="N18" i="3"/>
  <c r="M18" i="3"/>
  <c r="K18" i="3"/>
  <c r="E18" i="3"/>
  <c r="I18" i="3" s="1"/>
  <c r="J18" i="3" s="1"/>
  <c r="A18" i="3"/>
  <c r="AB17" i="3"/>
  <c r="AF17" i="3" s="1"/>
  <c r="AG17" i="3" s="1"/>
  <c r="W17" i="3"/>
  <c r="V17" i="3"/>
  <c r="Y17" i="3" s="1"/>
  <c r="T17" i="3"/>
  <c r="R17" i="3"/>
  <c r="S17" i="3" s="1"/>
  <c r="K17" i="3"/>
  <c r="O17" i="3" s="1"/>
  <c r="P17" i="3" s="1"/>
  <c r="F17" i="3"/>
  <c r="E17" i="3"/>
  <c r="H17" i="3" s="1"/>
  <c r="A17" i="3"/>
  <c r="B17" i="3" s="1"/>
  <c r="AB16" i="3"/>
  <c r="AB13" i="3" s="1"/>
  <c r="W16" i="3"/>
  <c r="V16" i="3"/>
  <c r="V11" i="3" s="1"/>
  <c r="T16" i="3"/>
  <c r="R16" i="3"/>
  <c r="S16" i="3" s="1"/>
  <c r="K16" i="3"/>
  <c r="K13" i="3" s="1"/>
  <c r="F16" i="3"/>
  <c r="E16" i="3"/>
  <c r="E11" i="3" s="1"/>
  <c r="A16" i="3"/>
  <c r="B16" i="3" s="1"/>
  <c r="V14" i="3"/>
  <c r="K14" i="3"/>
  <c r="E14" i="3"/>
  <c r="A14" i="3"/>
  <c r="O14" i="3" s="1"/>
  <c r="P14" i="3" s="1"/>
  <c r="K12" i="3"/>
  <c r="AF10" i="3"/>
  <c r="AG10" i="3" s="1"/>
  <c r="AB10" i="3"/>
  <c r="AB12" i="3" s="1"/>
  <c r="V10" i="3"/>
  <c r="X31" i="3" s="1"/>
  <c r="R10" i="3"/>
  <c r="K10" i="3"/>
  <c r="E10" i="3"/>
  <c r="G33" i="3" s="1"/>
  <c r="A10" i="3"/>
  <c r="I10" i="3" s="1"/>
  <c r="J10" i="3" s="1"/>
  <c r="AB9" i="3"/>
  <c r="V9" i="3"/>
  <c r="R9" i="3"/>
  <c r="K9" i="3"/>
  <c r="I9" i="3"/>
  <c r="J9" i="3" s="1"/>
  <c r="E9" i="3"/>
  <c r="H24" i="3" s="1"/>
  <c r="A9" i="3"/>
  <c r="D17" i="3" s="1"/>
  <c r="Z11" i="3" l="1"/>
  <c r="AA11" i="3" s="1"/>
  <c r="C17" i="3"/>
  <c r="AE24" i="3"/>
  <c r="AC24" i="3"/>
  <c r="U56" i="3"/>
  <c r="U55" i="3"/>
  <c r="U54" i="3"/>
  <c r="U52" i="3"/>
  <c r="U51" i="3"/>
  <c r="Z10" i="3"/>
  <c r="AA10" i="3" s="1"/>
  <c r="AB11" i="3"/>
  <c r="AF11" i="3" s="1"/>
  <c r="AG11" i="3" s="1"/>
  <c r="L16" i="3"/>
  <c r="U16" i="3"/>
  <c r="AC16" i="3"/>
  <c r="L17" i="3"/>
  <c r="U17" i="3"/>
  <c r="AC17" i="3"/>
  <c r="X18" i="3"/>
  <c r="S19" i="3"/>
  <c r="AD19" i="3"/>
  <c r="G20" i="3"/>
  <c r="U20" i="3"/>
  <c r="S20" i="3"/>
  <c r="AD20" i="3"/>
  <c r="G21" i="3"/>
  <c r="S52" i="3"/>
  <c r="S48" i="3"/>
  <c r="S44" i="3"/>
  <c r="S41" i="3"/>
  <c r="S37" i="3"/>
  <c r="S35" i="3"/>
  <c r="S56" i="3"/>
  <c r="S51" i="3"/>
  <c r="S47" i="3"/>
  <c r="U21" i="3"/>
  <c r="S55" i="3"/>
  <c r="S50" i="3"/>
  <c r="S46" i="3"/>
  <c r="S21" i="3"/>
  <c r="S43" i="3"/>
  <c r="S54" i="3"/>
  <c r="S49" i="3"/>
  <c r="S45" i="3"/>
  <c r="AD21" i="3"/>
  <c r="G23" i="3"/>
  <c r="U23" i="3"/>
  <c r="S23" i="3"/>
  <c r="AD23" i="3"/>
  <c r="G24" i="3"/>
  <c r="U24" i="3"/>
  <c r="S24" i="3"/>
  <c r="AD24" i="3"/>
  <c r="X25" i="3"/>
  <c r="X27" i="3"/>
  <c r="U29" i="3"/>
  <c r="X32" i="3"/>
  <c r="Y37" i="3"/>
  <c r="X37" i="3"/>
  <c r="Z37" i="3"/>
  <c r="AA37" i="3" s="1"/>
  <c r="W37" i="3"/>
  <c r="Y52" i="3"/>
  <c r="D55" i="3"/>
  <c r="Y33" i="3"/>
  <c r="Y32" i="3"/>
  <c r="Y31" i="3"/>
  <c r="Y30" i="3"/>
  <c r="Y29" i="3"/>
  <c r="Y27" i="3"/>
  <c r="Y26" i="3"/>
  <c r="K11" i="3"/>
  <c r="A13" i="3"/>
  <c r="V13" i="3"/>
  <c r="I14" i="3"/>
  <c r="J14" i="3" s="1"/>
  <c r="M16" i="3"/>
  <c r="AD16" i="3"/>
  <c r="M17" i="3"/>
  <c r="AD17" i="3"/>
  <c r="F18" i="3"/>
  <c r="Y18" i="3"/>
  <c r="T19" i="3"/>
  <c r="AE19" i="3"/>
  <c r="H20" i="3"/>
  <c r="T20" i="3"/>
  <c r="AE20" i="3"/>
  <c r="H21" i="3"/>
  <c r="T21" i="3"/>
  <c r="AE21" i="3"/>
  <c r="H23" i="3"/>
  <c r="T23" i="3"/>
  <c r="T24" i="3"/>
  <c r="AF24" i="3"/>
  <c r="AG24" i="3" s="1"/>
  <c r="N25" i="3"/>
  <c r="L25" i="3"/>
  <c r="Y25" i="3"/>
  <c r="C27" i="3"/>
  <c r="B27" i="3"/>
  <c r="I27" i="3"/>
  <c r="J27" i="3" s="1"/>
  <c r="W29" i="3"/>
  <c r="G31" i="3"/>
  <c r="W33" i="3"/>
  <c r="Y35" i="3"/>
  <c r="X35" i="3"/>
  <c r="Z35" i="3"/>
  <c r="AA35" i="3" s="1"/>
  <c r="W35" i="3"/>
  <c r="AE47" i="3"/>
  <c r="H33" i="3"/>
  <c r="H32" i="3"/>
  <c r="H31" i="3"/>
  <c r="H30" i="3"/>
  <c r="H29" i="3"/>
  <c r="H27" i="3"/>
  <c r="H26" i="3"/>
  <c r="Z9" i="3"/>
  <c r="AA9" i="3" s="1"/>
  <c r="R12" i="3"/>
  <c r="E13" i="3"/>
  <c r="AB14" i="3"/>
  <c r="N16" i="3"/>
  <c r="AE16" i="3"/>
  <c r="N17" i="3"/>
  <c r="AE17" i="3"/>
  <c r="G18" i="3"/>
  <c r="L19" i="3"/>
  <c r="AF19" i="3"/>
  <c r="AG19" i="3" s="1"/>
  <c r="AF20" i="3"/>
  <c r="AG20" i="3" s="1"/>
  <c r="W56" i="3"/>
  <c r="W55" i="3"/>
  <c r="W54" i="3"/>
  <c r="W52" i="3"/>
  <c r="W51" i="3"/>
  <c r="W50" i="3"/>
  <c r="AF21" i="3"/>
  <c r="AG21" i="3" s="1"/>
  <c r="AF23" i="3"/>
  <c r="AG23" i="3" s="1"/>
  <c r="M25" i="3"/>
  <c r="Z25" i="3"/>
  <c r="AA25" i="3" s="1"/>
  <c r="X29" i="3"/>
  <c r="U30" i="3"/>
  <c r="X33" i="3"/>
  <c r="AC36" i="3"/>
  <c r="AE36" i="3"/>
  <c r="AD36" i="3"/>
  <c r="C56" i="3"/>
  <c r="C55" i="3"/>
  <c r="C54" i="3"/>
  <c r="C52" i="3"/>
  <c r="C51" i="3"/>
  <c r="C50" i="3"/>
  <c r="C49" i="3"/>
  <c r="C48" i="3"/>
  <c r="C47" i="3"/>
  <c r="C46" i="3"/>
  <c r="C45" i="3"/>
  <c r="C43" i="3"/>
  <c r="C44" i="3"/>
  <c r="C36" i="3"/>
  <c r="C34" i="3"/>
  <c r="AC23" i="3"/>
  <c r="M33" i="3"/>
  <c r="M32" i="3"/>
  <c r="M31" i="3"/>
  <c r="A12" i="3"/>
  <c r="V12" i="3"/>
  <c r="G16" i="3"/>
  <c r="O16" i="3"/>
  <c r="P16" i="3" s="1"/>
  <c r="X16" i="3"/>
  <c r="AF16" i="3"/>
  <c r="AG16" i="3" s="1"/>
  <c r="G17" i="3"/>
  <c r="X17" i="3"/>
  <c r="H18" i="3"/>
  <c r="U18" i="3"/>
  <c r="C19" i="3"/>
  <c r="M19" i="3"/>
  <c r="L23" i="3"/>
  <c r="L24" i="3"/>
  <c r="B25" i="3"/>
  <c r="O25" i="3"/>
  <c r="P25" i="3" s="1"/>
  <c r="AE25" i="3"/>
  <c r="AD25" i="3"/>
  <c r="AC25" i="3"/>
  <c r="U26" i="3"/>
  <c r="T26" i="3"/>
  <c r="S26" i="3"/>
  <c r="G27" i="3"/>
  <c r="W30" i="3"/>
  <c r="G32" i="3"/>
  <c r="AC34" i="3"/>
  <c r="AE34" i="3"/>
  <c r="AD34" i="3"/>
  <c r="C38" i="3"/>
  <c r="C39" i="3"/>
  <c r="C40" i="3"/>
  <c r="C41" i="3"/>
  <c r="N43" i="3"/>
  <c r="M43" i="3"/>
  <c r="L43" i="3"/>
  <c r="AD51" i="3"/>
  <c r="AE55" i="3"/>
  <c r="AE54" i="3"/>
  <c r="AE52" i="3"/>
  <c r="AE51" i="3"/>
  <c r="AE35" i="3"/>
  <c r="AE33" i="3"/>
  <c r="O10" i="3"/>
  <c r="P10" i="3" s="1"/>
  <c r="E12" i="3"/>
  <c r="H16" i="3"/>
  <c r="Y16" i="3"/>
  <c r="S18" i="3"/>
  <c r="AC18" i="3"/>
  <c r="N19" i="3"/>
  <c r="X19" i="3"/>
  <c r="B20" i="3"/>
  <c r="M20" i="3"/>
  <c r="X20" i="3"/>
  <c r="B50" i="3"/>
  <c r="B46" i="3"/>
  <c r="B49" i="3"/>
  <c r="B45" i="3"/>
  <c r="B43" i="3"/>
  <c r="B37" i="3"/>
  <c r="B35" i="3"/>
  <c r="B21" i="3"/>
  <c r="B48" i="3"/>
  <c r="M21" i="3"/>
  <c r="X21" i="3"/>
  <c r="B23" i="3"/>
  <c r="M23" i="3"/>
  <c r="X23" i="3"/>
  <c r="B24" i="3"/>
  <c r="M24" i="3"/>
  <c r="X24" i="3"/>
  <c r="C25" i="3"/>
  <c r="AF25" i="3"/>
  <c r="AG25" i="3" s="1"/>
  <c r="W26" i="3"/>
  <c r="N27" i="3"/>
  <c r="X30" i="3"/>
  <c r="U31" i="3"/>
  <c r="N32" i="3"/>
  <c r="F33" i="3"/>
  <c r="B36" i="3"/>
  <c r="Y44" i="3"/>
  <c r="B47" i="3"/>
  <c r="N56" i="3"/>
  <c r="N55" i="3"/>
  <c r="N54" i="3"/>
  <c r="N52" i="3"/>
  <c r="AF9" i="3"/>
  <c r="AG9" i="3" s="1"/>
  <c r="I16" i="3"/>
  <c r="J16" i="3" s="1"/>
  <c r="Z16" i="3"/>
  <c r="AA16" i="3" s="1"/>
  <c r="I17" i="3"/>
  <c r="J17" i="3" s="1"/>
  <c r="Z17" i="3"/>
  <c r="AA17" i="3" s="1"/>
  <c r="T18" i="3"/>
  <c r="AD18" i="3"/>
  <c r="F19" i="3"/>
  <c r="O19" i="3"/>
  <c r="P19" i="3" s="1"/>
  <c r="C20" i="3"/>
  <c r="N20" i="3"/>
  <c r="C21" i="3"/>
  <c r="N21" i="3"/>
  <c r="Y21" i="3"/>
  <c r="C23" i="3"/>
  <c r="N23" i="3"/>
  <c r="C24" i="3"/>
  <c r="N24" i="3"/>
  <c r="U25" i="3"/>
  <c r="S25" i="3"/>
  <c r="C26" i="3"/>
  <c r="B26" i="3"/>
  <c r="X26" i="3"/>
  <c r="O27" i="3"/>
  <c r="P27" i="3" s="1"/>
  <c r="G29" i="3"/>
  <c r="AE30" i="3"/>
  <c r="W31" i="3"/>
  <c r="B34" i="3"/>
  <c r="C18" i="3"/>
  <c r="O9" i="3"/>
  <c r="P9" i="3" s="1"/>
  <c r="T55" i="3"/>
  <c r="T54" i="3"/>
  <c r="T52" i="3"/>
  <c r="T51" i="3"/>
  <c r="T50" i="3"/>
  <c r="T49" i="3"/>
  <c r="T48" i="3"/>
  <c r="T47" i="3"/>
  <c r="T46" i="3"/>
  <c r="T45" i="3"/>
  <c r="T44" i="3"/>
  <c r="T41" i="3"/>
  <c r="T43" i="3"/>
  <c r="B18" i="3"/>
  <c r="L18" i="3"/>
  <c r="AE18" i="3"/>
  <c r="Z19" i="3"/>
  <c r="AA19" i="3" s="1"/>
  <c r="O20" i="3"/>
  <c r="P20" i="3" s="1"/>
  <c r="Z20" i="3"/>
  <c r="AA20" i="3" s="1"/>
  <c r="F56" i="3"/>
  <c r="F55" i="3"/>
  <c r="F54" i="3"/>
  <c r="F52" i="3"/>
  <c r="F51" i="3"/>
  <c r="F50" i="3"/>
  <c r="O21" i="3"/>
  <c r="P21" i="3" s="1"/>
  <c r="Z21" i="3"/>
  <c r="AA21" i="3" s="1"/>
  <c r="O23" i="3"/>
  <c r="P23" i="3" s="1"/>
  <c r="Z23" i="3"/>
  <c r="AA23" i="3" s="1"/>
  <c r="O24" i="3"/>
  <c r="P24" i="3" s="1"/>
  <c r="Z24" i="3"/>
  <c r="AA24" i="3" s="1"/>
  <c r="G25" i="3"/>
  <c r="T25" i="3"/>
  <c r="F26" i="3"/>
  <c r="Z26" i="3"/>
  <c r="AA26" i="3" s="1"/>
  <c r="U27" i="3"/>
  <c r="N29" i="3"/>
  <c r="F30" i="3"/>
  <c r="U32" i="3"/>
  <c r="N33" i="3"/>
  <c r="Y48" i="3"/>
  <c r="AF34" i="3"/>
  <c r="AG34" i="3" s="1"/>
  <c r="U34" i="3"/>
  <c r="AF36" i="3"/>
  <c r="AG36" i="3" s="1"/>
  <c r="U36" i="3"/>
  <c r="H38" i="3"/>
  <c r="G38" i="3"/>
  <c r="F38" i="3"/>
  <c r="Y38" i="3"/>
  <c r="X38" i="3"/>
  <c r="W38" i="3"/>
  <c r="H39" i="3"/>
  <c r="G39" i="3"/>
  <c r="F39" i="3"/>
  <c r="Y39" i="3"/>
  <c r="X39" i="3"/>
  <c r="W39" i="3"/>
  <c r="H40" i="3"/>
  <c r="G40" i="3"/>
  <c r="F40" i="3"/>
  <c r="Y40" i="3"/>
  <c r="X40" i="3"/>
  <c r="W40" i="3"/>
  <c r="H41" i="3"/>
  <c r="G41" i="3"/>
  <c r="F41" i="3"/>
  <c r="N46" i="3"/>
  <c r="H47" i="3"/>
  <c r="N50" i="3"/>
  <c r="H51" i="3"/>
  <c r="H56" i="3"/>
  <c r="Z27" i="3"/>
  <c r="AA27" i="3" s="1"/>
  <c r="I29" i="3"/>
  <c r="J29" i="3" s="1"/>
  <c r="Z29" i="3"/>
  <c r="AA29" i="3" s="1"/>
  <c r="I30" i="3"/>
  <c r="J30" i="3" s="1"/>
  <c r="Z30" i="3"/>
  <c r="AA30" i="3" s="1"/>
  <c r="I31" i="3"/>
  <c r="J31" i="3" s="1"/>
  <c r="Z31" i="3"/>
  <c r="AA31" i="3" s="1"/>
  <c r="I32" i="3"/>
  <c r="J32" i="3" s="1"/>
  <c r="Z32" i="3"/>
  <c r="AA32" i="3" s="1"/>
  <c r="I33" i="3"/>
  <c r="J33" i="3" s="1"/>
  <c r="Z33" i="3"/>
  <c r="AA33" i="3" s="1"/>
  <c r="H34" i="3"/>
  <c r="G34" i="3"/>
  <c r="S34" i="3"/>
  <c r="L35" i="3"/>
  <c r="H36" i="3"/>
  <c r="G36" i="3"/>
  <c r="S36" i="3"/>
  <c r="L37" i="3"/>
  <c r="I38" i="3"/>
  <c r="J38" i="3" s="1"/>
  <c r="Z38" i="3"/>
  <c r="AA38" i="3" s="1"/>
  <c r="I39" i="3"/>
  <c r="J39" i="3" s="1"/>
  <c r="Z39" i="3"/>
  <c r="AA39" i="3" s="1"/>
  <c r="I40" i="3"/>
  <c r="J40" i="3" s="1"/>
  <c r="Z40" i="3"/>
  <c r="AA40" i="3" s="1"/>
  <c r="AE41" i="3"/>
  <c r="AD41" i="3"/>
  <c r="AC41" i="3"/>
  <c r="H44" i="3"/>
  <c r="AE44" i="3"/>
  <c r="Y45" i="3"/>
  <c r="AE48" i="3"/>
  <c r="Y49" i="3"/>
  <c r="AD52" i="3"/>
  <c r="Y54" i="3"/>
  <c r="S27" i="3"/>
  <c r="B29" i="3"/>
  <c r="S29" i="3"/>
  <c r="B30" i="3"/>
  <c r="S30" i="3"/>
  <c r="B31" i="3"/>
  <c r="S31" i="3"/>
  <c r="B32" i="3"/>
  <c r="S32" i="3"/>
  <c r="B33" i="3"/>
  <c r="S33" i="3"/>
  <c r="F34" i="3"/>
  <c r="T34" i="3"/>
  <c r="O35" i="3"/>
  <c r="P35" i="3" s="1"/>
  <c r="M35" i="3"/>
  <c r="F36" i="3"/>
  <c r="T36" i="3"/>
  <c r="O37" i="3"/>
  <c r="P37" i="3" s="1"/>
  <c r="M37" i="3"/>
  <c r="N41" i="3"/>
  <c r="L41" i="3"/>
  <c r="O43" i="3"/>
  <c r="P43" i="3" s="1"/>
  <c r="N47" i="3"/>
  <c r="H48" i="3"/>
  <c r="N51" i="3"/>
  <c r="H52" i="3"/>
  <c r="T27" i="3"/>
  <c r="C29" i="3"/>
  <c r="T29" i="3"/>
  <c r="C30" i="3"/>
  <c r="T30" i="3"/>
  <c r="C31" i="3"/>
  <c r="T31" i="3"/>
  <c r="C32" i="3"/>
  <c r="T32" i="3"/>
  <c r="C33" i="3"/>
  <c r="T33" i="3"/>
  <c r="AC33" i="3"/>
  <c r="I34" i="3"/>
  <c r="J34" i="3" s="1"/>
  <c r="Y34" i="3"/>
  <c r="X34" i="3"/>
  <c r="N35" i="3"/>
  <c r="AC35" i="3"/>
  <c r="I36" i="3"/>
  <c r="J36" i="3" s="1"/>
  <c r="Y36" i="3"/>
  <c r="X36" i="3"/>
  <c r="N37" i="3"/>
  <c r="AE37" i="3"/>
  <c r="AC37" i="3"/>
  <c r="N38" i="3"/>
  <c r="L38" i="3"/>
  <c r="AE38" i="3"/>
  <c r="AC38" i="3"/>
  <c r="N39" i="3"/>
  <c r="L39" i="3"/>
  <c r="AE39" i="3"/>
  <c r="AC39" i="3"/>
  <c r="N40" i="3"/>
  <c r="L40" i="3"/>
  <c r="AE40" i="3"/>
  <c r="AC40" i="3"/>
  <c r="M41" i="3"/>
  <c r="Y43" i="3"/>
  <c r="N44" i="3"/>
  <c r="M44" i="3"/>
  <c r="L44" i="3"/>
  <c r="AE45" i="3"/>
  <c r="Y46" i="3"/>
  <c r="AE49" i="3"/>
  <c r="Y50" i="3"/>
  <c r="AD54" i="3"/>
  <c r="Y55" i="3"/>
  <c r="L26" i="3"/>
  <c r="AC26" i="3"/>
  <c r="L27" i="3"/>
  <c r="AC27" i="3"/>
  <c r="L29" i="3"/>
  <c r="AC29" i="3"/>
  <c r="L30" i="3"/>
  <c r="AC30" i="3"/>
  <c r="L31" i="3"/>
  <c r="AC31" i="3"/>
  <c r="L32" i="3"/>
  <c r="AC32" i="3"/>
  <c r="L33" i="3"/>
  <c r="U33" i="3"/>
  <c r="AD33" i="3"/>
  <c r="W34" i="3"/>
  <c r="C35" i="3"/>
  <c r="AF35" i="3"/>
  <c r="AG35" i="3" s="1"/>
  <c r="U35" i="3"/>
  <c r="AD35" i="3"/>
  <c r="W36" i="3"/>
  <c r="C37" i="3"/>
  <c r="AF37" i="3"/>
  <c r="AG37" i="3" s="1"/>
  <c r="U37" i="3"/>
  <c r="AD37" i="3"/>
  <c r="M38" i="3"/>
  <c r="AD38" i="3"/>
  <c r="M39" i="3"/>
  <c r="AD39" i="3"/>
  <c r="M40" i="3"/>
  <c r="AD40" i="3"/>
  <c r="AF41" i="3"/>
  <c r="AG41" i="3" s="1"/>
  <c r="H45" i="3"/>
  <c r="N48" i="3"/>
  <c r="H49" i="3"/>
  <c r="M52" i="3"/>
  <c r="H54" i="3"/>
  <c r="M26" i="3"/>
  <c r="AD26" i="3"/>
  <c r="M27" i="3"/>
  <c r="AD27" i="3"/>
  <c r="M29" i="3"/>
  <c r="AD29" i="3"/>
  <c r="M30" i="3"/>
  <c r="AD30" i="3"/>
  <c r="AD31" i="3"/>
  <c r="AD32" i="3"/>
  <c r="L34" i="3"/>
  <c r="Z34" i="3"/>
  <c r="AA34" i="3" s="1"/>
  <c r="H35" i="3"/>
  <c r="G35" i="3"/>
  <c r="L36" i="3"/>
  <c r="Z36" i="3"/>
  <c r="AA36" i="3" s="1"/>
  <c r="H37" i="3"/>
  <c r="G37" i="3"/>
  <c r="O38" i="3"/>
  <c r="P38" i="3" s="1"/>
  <c r="AF38" i="3"/>
  <c r="AG38" i="3" s="1"/>
  <c r="U38" i="3"/>
  <c r="O39" i="3"/>
  <c r="P39" i="3" s="1"/>
  <c r="D39" i="3"/>
  <c r="AF39" i="3"/>
  <c r="AG39" i="3" s="1"/>
  <c r="U39" i="3"/>
  <c r="O40" i="3"/>
  <c r="P40" i="3" s="1"/>
  <c r="AF40" i="3"/>
  <c r="AG40" i="3" s="1"/>
  <c r="U40" i="3"/>
  <c r="O41" i="3"/>
  <c r="P41" i="3" s="1"/>
  <c r="I41" i="3"/>
  <c r="J41" i="3" s="1"/>
  <c r="H43" i="3"/>
  <c r="AE43" i="3"/>
  <c r="AD43" i="3"/>
  <c r="AC43" i="3"/>
  <c r="AE46" i="3"/>
  <c r="Y47" i="3"/>
  <c r="AE50" i="3"/>
  <c r="Y51" i="3"/>
  <c r="Y56" i="3"/>
  <c r="O34" i="3"/>
  <c r="P34" i="3" s="1"/>
  <c r="M34" i="3"/>
  <c r="F35" i="3"/>
  <c r="T35" i="3"/>
  <c r="O36" i="3"/>
  <c r="P36" i="3" s="1"/>
  <c r="M36" i="3"/>
  <c r="F37" i="3"/>
  <c r="T37" i="3"/>
  <c r="B38" i="3"/>
  <c r="S38" i="3"/>
  <c r="B39" i="3"/>
  <c r="S39" i="3"/>
  <c r="B40" i="3"/>
  <c r="S40" i="3"/>
  <c r="B41" i="3"/>
  <c r="O44" i="3"/>
  <c r="P44" i="3" s="1"/>
  <c r="N45" i="3"/>
  <c r="H46" i="3"/>
  <c r="N49" i="3"/>
  <c r="H50" i="3"/>
  <c r="M54" i="3"/>
  <c r="H55" i="3"/>
  <c r="AE56" i="3"/>
  <c r="Z41" i="3"/>
  <c r="AA41" i="3" s="1"/>
  <c r="I43" i="3"/>
  <c r="J43" i="3" s="1"/>
  <c r="Z43" i="3"/>
  <c r="AA43" i="3" s="1"/>
  <c r="I44" i="3"/>
  <c r="J44" i="3" s="1"/>
  <c r="Z44" i="3"/>
  <c r="AA44" i="3" s="1"/>
  <c r="I45" i="3"/>
  <c r="J45" i="3" s="1"/>
  <c r="Z45" i="3"/>
  <c r="AA45" i="3" s="1"/>
  <c r="I46" i="3"/>
  <c r="J46" i="3" s="1"/>
  <c r="Z46" i="3"/>
  <c r="AA46" i="3" s="1"/>
  <c r="I47" i="3"/>
  <c r="J47" i="3" s="1"/>
  <c r="Z47" i="3"/>
  <c r="AA47" i="3" s="1"/>
  <c r="I48" i="3"/>
  <c r="J48" i="3" s="1"/>
  <c r="Z48" i="3"/>
  <c r="AA48" i="3" s="1"/>
  <c r="I49" i="3"/>
  <c r="J49" i="3" s="1"/>
  <c r="Z49" i="3"/>
  <c r="AA49" i="3" s="1"/>
  <c r="I50" i="3"/>
  <c r="J50" i="3" s="1"/>
  <c r="Z50" i="3"/>
  <c r="AA50" i="3" s="1"/>
  <c r="I51" i="3"/>
  <c r="J51" i="3" s="1"/>
  <c r="Z51" i="3"/>
  <c r="AA51" i="3" s="1"/>
  <c r="I52" i="3"/>
  <c r="J52" i="3" s="1"/>
  <c r="Z52" i="3"/>
  <c r="AA52" i="3" s="1"/>
  <c r="I54" i="3"/>
  <c r="J54" i="3" s="1"/>
  <c r="Z54" i="3"/>
  <c r="AA54" i="3" s="1"/>
  <c r="Z56" i="3"/>
  <c r="AA56" i="3" s="1"/>
  <c r="T56" i="3"/>
  <c r="U41" i="3"/>
  <c r="U43" i="3"/>
  <c r="U44" i="3"/>
  <c r="AC44" i="3"/>
  <c r="L45" i="3"/>
  <c r="U45" i="3"/>
  <c r="AC45" i="3"/>
  <c r="L46" i="3"/>
  <c r="U46" i="3"/>
  <c r="AC46" i="3"/>
  <c r="L47" i="3"/>
  <c r="U47" i="3"/>
  <c r="AC47" i="3"/>
  <c r="L48" i="3"/>
  <c r="U48" i="3"/>
  <c r="AC48" i="3"/>
  <c r="D49" i="3"/>
  <c r="L49" i="3"/>
  <c r="U49" i="3"/>
  <c r="AC49" i="3"/>
  <c r="L50" i="3"/>
  <c r="U50" i="3"/>
  <c r="AC50" i="3"/>
  <c r="L51" i="3"/>
  <c r="AC51" i="3"/>
  <c r="L52" i="3"/>
  <c r="AC52" i="3"/>
  <c r="L54" i="3"/>
  <c r="AC54" i="3"/>
  <c r="L55" i="3"/>
  <c r="AC55" i="3"/>
  <c r="L56" i="3"/>
  <c r="AC56" i="3"/>
  <c r="AD44" i="3"/>
  <c r="M45" i="3"/>
  <c r="AD45" i="3"/>
  <c r="M46" i="3"/>
  <c r="AD46" i="3"/>
  <c r="M47" i="3"/>
  <c r="AD47" i="3"/>
  <c r="M48" i="3"/>
  <c r="AD48" i="3"/>
  <c r="M49" i="3"/>
  <c r="AD49" i="3"/>
  <c r="M50" i="3"/>
  <c r="AD50" i="3"/>
  <c r="M51" i="3"/>
  <c r="M55" i="3"/>
  <c r="AD55" i="3"/>
  <c r="M56" i="3"/>
  <c r="AD56" i="3"/>
  <c r="W41" i="3"/>
  <c r="F43" i="3"/>
  <c r="W43" i="3"/>
  <c r="F44" i="3"/>
  <c r="W44" i="3"/>
  <c r="F45" i="3"/>
  <c r="W45" i="3"/>
  <c r="F46" i="3"/>
  <c r="W46" i="3"/>
  <c r="F47" i="3"/>
  <c r="W47" i="3"/>
  <c r="F48" i="3"/>
  <c r="W48" i="3"/>
  <c r="F49" i="3"/>
  <c r="W49" i="3"/>
  <c r="X41" i="3"/>
  <c r="G43" i="3"/>
  <c r="X43" i="3"/>
  <c r="G44" i="3"/>
  <c r="X44" i="3"/>
  <c r="G45" i="3"/>
  <c r="X45" i="3"/>
  <c r="G46" i="3"/>
  <c r="X46" i="3"/>
  <c r="G47" i="3"/>
  <c r="X47" i="3"/>
  <c r="G48" i="3"/>
  <c r="X48" i="3"/>
  <c r="G49" i="3"/>
  <c r="X49" i="3"/>
  <c r="G50" i="3"/>
  <c r="X50" i="3"/>
  <c r="G51" i="3"/>
  <c r="X51" i="3"/>
  <c r="G52" i="3"/>
  <c r="X52" i="3"/>
  <c r="G54" i="3"/>
  <c r="X54" i="3"/>
  <c r="G55" i="3"/>
  <c r="X55" i="3"/>
  <c r="G56" i="3"/>
  <c r="X56" i="3"/>
  <c r="AF14" i="3" l="1"/>
  <c r="AG14" i="3" s="1"/>
  <c r="Z14" i="3"/>
  <c r="AA14" i="3" s="1"/>
  <c r="O13" i="3"/>
  <c r="P13" i="3" s="1"/>
  <c r="I13" i="3"/>
  <c r="J13" i="3" s="1"/>
  <c r="AF13" i="3"/>
  <c r="AG13" i="3" s="1"/>
  <c r="Z13" i="3"/>
  <c r="AA13" i="3" s="1"/>
  <c r="AF12" i="3"/>
  <c r="AG12" i="3" s="1"/>
  <c r="Z12" i="3"/>
  <c r="AA12" i="3" s="1"/>
  <c r="O11" i="3"/>
  <c r="P11" i="3" s="1"/>
  <c r="I11" i="3"/>
  <c r="J11" i="3" s="1"/>
  <c r="I12" i="3"/>
  <c r="J12" i="3" s="1"/>
  <c r="O12" i="3"/>
  <c r="P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Bismark Rodriguez</author>
  </authors>
  <commentList>
    <comment ref="Q56" authorId="0" shapeId="0" xr:uid="{C4546DD4-0242-4EC5-A05E-7A2CC8CBD8B0}">
      <text>
        <r>
          <rPr>
            <b/>
            <sz val="9"/>
            <color indexed="81"/>
            <rFont val="Tahoma"/>
            <family val="2"/>
          </rPr>
          <t>Result BEFORE income taxes — same as the owner's original format, which has no tax line. Income Tax (30%) is in 'Ken format' row 124 and the after-tax result in row 127.</t>
        </r>
      </text>
    </comment>
  </commentList>
</comments>
</file>

<file path=xl/sharedStrings.xml><?xml version="1.0" encoding="utf-8"?>
<sst xmlns="http://schemas.openxmlformats.org/spreadsheetml/2006/main" count="394" uniqueCount="80">
  <si>
    <t>AWI Redmond Owner, LLC</t>
  </si>
  <si>
    <t>Statement of Income</t>
  </si>
  <si>
    <t>As of Date:</t>
  </si>
  <si>
    <t>03/31/2026</t>
  </si>
  <si>
    <t>Location:</t>
  </si>
  <si>
    <t xml:space="preserve"> </t>
  </si>
  <si>
    <t>Month Ending</t>
  </si>
  <si>
    <t>Year To Date</t>
  </si>
  <si>
    <t>Prior Year To Date</t>
  </si>
  <si>
    <t>03/31/2025</t>
  </si>
  <si>
    <t>PTD Actual</t>
  </si>
  <si>
    <t>% Revenue</t>
  </si>
  <si>
    <t>POR</t>
  </si>
  <si>
    <t>PAR</t>
  </si>
  <si>
    <t>PTD Budget</t>
  </si>
  <si>
    <t>PTD Budget Diff</t>
  </si>
  <si>
    <t>PTD Budget % Var</t>
  </si>
  <si>
    <t>PTD PY Actual</t>
  </si>
  <si>
    <t>PTD PY Diff</t>
  </si>
  <si>
    <t>PTD PY % Var</t>
  </si>
  <si>
    <t>YTD Actual</t>
  </si>
  <si>
    <t>YTD Budget</t>
  </si>
  <si>
    <t>YTD Budget Diff</t>
  </si>
  <si>
    <t>YTD Budget % Var</t>
  </si>
  <si>
    <t>YTD PY Actual</t>
  </si>
  <si>
    <t>YTD PY Diff</t>
  </si>
  <si>
    <t>YTD PY % Var</t>
  </si>
  <si>
    <t xml:space="preserve">  Rooms Available</t>
  </si>
  <si>
    <t xml:space="preserve">  Rooms Occupied</t>
  </si>
  <si>
    <t xml:space="preserve">  ADR ($) </t>
  </si>
  <si>
    <t xml:space="preserve">  Occ%</t>
  </si>
  <si>
    <t xml:space="preserve">  RevPar ($) </t>
  </si>
  <si>
    <t xml:space="preserve">  Total RevPar</t>
  </si>
  <si>
    <t xml:space="preserve">  </t>
  </si>
  <si>
    <t xml:space="preserve">  OPERATING REVENUE</t>
  </si>
  <si>
    <t xml:space="preserve">    ROOMS REVENUE</t>
  </si>
  <si>
    <t xml:space="preserve">    FOOD &amp; BEVERAGE REVENUE</t>
  </si>
  <si>
    <t xml:space="preserve">    OTHER OPERATED DEPTS REVENUE</t>
  </si>
  <si>
    <t xml:space="preserve">    MISCELLANEOUS INCOME</t>
  </si>
  <si>
    <t xml:space="preserve">    (Less) FAIR TRADE PRICING</t>
  </si>
  <si>
    <t xml:space="preserve">  TOTAL OPERATING REVENUE</t>
  </si>
  <si>
    <t xml:space="preserve">  DEPARTMENTAL EXPENSES</t>
  </si>
  <si>
    <t xml:space="preserve">    ROOMS EXPENSES</t>
  </si>
  <si>
    <t xml:space="preserve">    FOOD &amp; BEVERAGE EXPENSES</t>
  </si>
  <si>
    <t xml:space="preserve">    OTHER OPERATED DEPTS EXPENSE</t>
  </si>
  <si>
    <t xml:space="preserve">  TOTAL DEPARTMENTAL EXPENSES</t>
  </si>
  <si>
    <t xml:space="preserve">  TOTAL DEPARTMENTAL PROFIT</t>
  </si>
  <si>
    <t xml:space="preserve">  UNDISTRIBUTED OPERATING EXPENSES</t>
  </si>
  <si>
    <t xml:space="preserve">    A&amp;G EXPENSES (excl CC &amp; ESDG)</t>
  </si>
  <si>
    <t xml:space="preserve">    CREDIT CARD COMMISSIONS</t>
  </si>
  <si>
    <t xml:space="preserve">    EVERY STAY DOES GOOD</t>
  </si>
  <si>
    <t xml:space="preserve">    INFORMATION &amp; TECHNOLOGY</t>
  </si>
  <si>
    <t xml:space="preserve">    SALES &amp; MARKETING EXPENSES</t>
  </si>
  <si>
    <t xml:space="preserve">    PROPERTY OPERATIONS &amp; MAINTENANCE</t>
  </si>
  <si>
    <t xml:space="preserve">    UTILITIES EXPENSE</t>
  </si>
  <si>
    <t xml:space="preserve">    MISCELLANEOUS EXPENSE</t>
  </si>
  <si>
    <t xml:space="preserve">  TOTAL UNDISTRIBUTED OPERATING EXPENSES</t>
  </si>
  <si>
    <t xml:space="preserve">  GROSS OPERATING PROFIT</t>
  </si>
  <si>
    <t xml:space="preserve">  MANAGEMENT FEES</t>
  </si>
  <si>
    <t xml:space="preserve">  INCOME BEFORE NON-OP INC &amp; EXP</t>
  </si>
  <si>
    <t xml:space="preserve">  NON-OP INCOME</t>
  </si>
  <si>
    <t xml:space="preserve">  NON-OP EXPENSES</t>
  </si>
  <si>
    <t xml:space="preserve">    RENT EXPENSE</t>
  </si>
  <si>
    <t xml:space="preserve">    PROPERTY AND OTHER TAXES</t>
  </si>
  <si>
    <t xml:space="preserve">    INSURANCE</t>
  </si>
  <si>
    <t xml:space="preserve">    OTHER NON OP EXPENSE</t>
  </si>
  <si>
    <t xml:space="preserve">  TOTAL NON-OP EXPENSES</t>
  </si>
  <si>
    <t xml:space="preserve">  EBITDA</t>
  </si>
  <si>
    <t xml:space="preserve">  OWNER EXPENSES</t>
  </si>
  <si>
    <t xml:space="preserve">  ASSET/PROJECT MGMT FEES</t>
  </si>
  <si>
    <t xml:space="preserve">  Total ADJUSTED EBITDA</t>
  </si>
  <si>
    <t xml:space="preserve">  INTEREST EXPENSE</t>
  </si>
  <si>
    <t xml:space="preserve">  DEPRECIATION &amp; AMORTIZATION EXPENSE</t>
  </si>
  <si>
    <t xml:space="preserve">    Depreciation</t>
  </si>
  <si>
    <t xml:space="preserve">  Total DEPRECIATION &amp; AMORTIZATION EXPENSE</t>
  </si>
  <si>
    <t xml:space="preserve">  Total NET INCOME</t>
  </si>
  <si>
    <t>Created on : 04/24/2026 7:07 AM MST</t>
  </si>
  <si>
    <t>SCP CWL</t>
  </si>
  <si>
    <t xml:space="preserve">  Total NET INCOME BEFORE TAXES</t>
  </si>
  <si>
    <t xml:space="preserve">  OWNER EXPENSES (Capital 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</si>
</sst>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#,##0.0\ %;\(#,##0.0\)\ %"/>
    <numFmt numFmtId="166" formatCode="#,##0.00\ %;\(#,##0.00\)\ %"/>
    <numFmt numFmtId="167" formatCode="&quot;$&quot;\ #,##0.00;&quot;$&quot;\ \(#,##0.00\)"/>
    <numFmt numFmtId="168" formatCode="0.0%_);[Red]\(0.0%\)"/>
  </numFmts>
  <fonts count="10" x14ac:knownFonts="1">
    <font>
      <sz val="10"/>
      <name val="Arial"/>
      <family val="2"/>
    </font>
    <font>
      <b/>
      <sz val="11"/>
      <name val="Helvetica"/>
      <family val="2"/>
    </font>
    <font>
      <sz val="8"/>
      <name val="Helvetica"/>
      <family val="2"/>
    </font>
    <font>
      <b/>
      <sz val="8"/>
      <name val="Helvetica"/>
      <family val="2"/>
    </font>
    <font>
      <b/>
      <sz val="6"/>
      <name val="Helvetica"/>
      <family val="2"/>
    </font>
    <font>
      <sz val="10"/>
      <name val="Arial"/>
      <family val="2"/>
    </font>
    <font>
      <b/>
      <sz val="12"/>
      <name val="Helvetica"/>
      <family val="2"/>
    </font>
    <font>
      <sz val="12"/>
      <name val="Arial"/>
      <family val="2"/>
    </font>
    <font>
      <sz val="12"/>
      <name val="Helvetic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6" fontId="3" fillId="2" borderId="2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166" fontId="3" fillId="2" borderId="3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166" fontId="3" fillId="2" borderId="4" xfId="0" applyNumberFormat="1" applyFont="1" applyFill="1" applyBorder="1" applyAlignment="1">
      <alignment horizontal="right"/>
    </xf>
    <xf numFmtId="0" fontId="0" fillId="2" borderId="5" xfId="0" applyFill="1" applyBorder="1" applyAlignment="1">
      <alignment horizontal="left"/>
    </xf>
    <xf numFmtId="164" fontId="3" fillId="2" borderId="6" xfId="0" applyNumberFormat="1" applyFont="1" applyFill="1" applyBorder="1" applyAlignment="1">
      <alignment horizontal="right"/>
    </xf>
    <xf numFmtId="165" fontId="3" fillId="2" borderId="6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6" fillId="2" borderId="0" xfId="6" applyFont="1" applyFill="1" applyAlignment="1">
      <alignment horizontal="left"/>
    </xf>
    <xf numFmtId="0" fontId="7" fillId="2" borderId="0" xfId="6" applyFont="1" applyFill="1"/>
    <xf numFmtId="0" fontId="8" fillId="2" borderId="0" xfId="6" applyFont="1" applyFill="1" applyAlignment="1">
      <alignment horizontal="left"/>
    </xf>
    <xf numFmtId="14" fontId="8" fillId="2" borderId="0" xfId="6" applyNumberFormat="1" applyFont="1" applyFill="1" applyAlignment="1">
      <alignment horizontal="left"/>
    </xf>
    <xf numFmtId="0" fontId="7" fillId="2" borderId="0" xfId="6" applyFont="1" applyFill="1" applyAlignment="1">
      <alignment horizontal="left"/>
    </xf>
    <xf numFmtId="0" fontId="6" fillId="2" borderId="0" xfId="6" applyFont="1" applyFill="1" applyAlignment="1">
      <alignment horizontal="right"/>
    </xf>
    <xf numFmtId="14" fontId="8" fillId="2" borderId="0" xfId="6" applyNumberFormat="1" applyFont="1" applyFill="1" applyAlignment="1">
      <alignment horizontal="right"/>
    </xf>
    <xf numFmtId="0" fontId="6" fillId="2" borderId="2" xfId="6" applyFont="1" applyFill="1" applyBorder="1" applyAlignment="1">
      <alignment horizontal="right"/>
    </xf>
    <xf numFmtId="38" fontId="6" fillId="2" borderId="0" xfId="6" applyNumberFormat="1" applyFont="1" applyFill="1" applyAlignment="1">
      <alignment horizontal="right"/>
    </xf>
    <xf numFmtId="168" fontId="6" fillId="2" borderId="0" xfId="6" applyNumberFormat="1" applyFont="1" applyFill="1" applyAlignment="1">
      <alignment horizontal="right"/>
    </xf>
    <xf numFmtId="8" fontId="6" fillId="2" borderId="0" xfId="6" applyNumberFormat="1" applyFont="1" applyFill="1" applyAlignment="1">
      <alignment horizontal="right"/>
    </xf>
    <xf numFmtId="8" fontId="6" fillId="2" borderId="0" xfId="6" applyNumberFormat="1" applyFont="1" applyFill="1" applyAlignment="1">
      <alignment horizontal="left"/>
    </xf>
    <xf numFmtId="168" fontId="6" fillId="2" borderId="0" xfId="6" applyNumberFormat="1" applyFont="1" applyFill="1" applyAlignment="1">
      <alignment horizontal="left"/>
    </xf>
    <xf numFmtId="8" fontId="6" fillId="2" borderId="2" xfId="6" applyNumberFormat="1" applyFont="1" applyFill="1" applyBorder="1" applyAlignment="1">
      <alignment horizontal="right"/>
    </xf>
    <xf numFmtId="168" fontId="6" fillId="2" borderId="2" xfId="6" applyNumberFormat="1" applyFont="1" applyFill="1" applyBorder="1" applyAlignment="1">
      <alignment horizontal="right"/>
    </xf>
    <xf numFmtId="8" fontId="6" fillId="2" borderId="6" xfId="6" applyNumberFormat="1" applyFont="1" applyFill="1" applyBorder="1" applyAlignment="1">
      <alignment horizontal="right"/>
    </xf>
    <xf numFmtId="168" fontId="6" fillId="2" borderId="6" xfId="6" applyNumberFormat="1" applyFont="1" applyFill="1" applyBorder="1" applyAlignment="1">
      <alignment horizontal="right"/>
    </xf>
    <xf numFmtId="8" fontId="6" fillId="2" borderId="2" xfId="6" applyNumberFormat="1" applyFont="1" applyFill="1" applyBorder="1" applyAlignment="1">
      <alignment horizontal="left"/>
    </xf>
    <xf numFmtId="168" fontId="6" fillId="2" borderId="2" xfId="6" applyNumberFormat="1" applyFont="1" applyFill="1" applyBorder="1" applyAlignment="1">
      <alignment horizontal="left"/>
    </xf>
    <xf numFmtId="0" fontId="7" fillId="2" borderId="5" xfId="6" applyFont="1" applyFill="1" applyBorder="1" applyAlignment="1">
      <alignment horizontal="left"/>
    </xf>
    <xf numFmtId="8" fontId="6" fillId="3" borderId="2" xfId="6" applyNumberFormat="1" applyFont="1" applyFill="1" applyBorder="1" applyAlignment="1">
      <alignment horizontal="right"/>
    </xf>
    <xf numFmtId="168" fontId="6" fillId="3" borderId="2" xfId="6" applyNumberFormat="1" applyFont="1" applyFill="1" applyBorder="1" applyAlignment="1">
      <alignment horizontal="right"/>
    </xf>
    <xf numFmtId="0" fontId="6" fillId="3" borderId="0" xfId="6" applyFont="1" applyFill="1" applyAlignment="1">
      <alignment horizontal="left"/>
    </xf>
    <xf numFmtId="8" fontId="6" fillId="3" borderId="3" xfId="6" applyNumberFormat="1" applyFont="1" applyFill="1" applyBorder="1" applyAlignment="1">
      <alignment horizontal="right"/>
    </xf>
    <xf numFmtId="168" fontId="6" fillId="3" borderId="3" xfId="6" applyNumberFormat="1" applyFont="1" applyFill="1" applyBorder="1" applyAlignment="1">
      <alignment horizontal="right"/>
    </xf>
    <xf numFmtId="8" fontId="6" fillId="4" borderId="2" xfId="6" applyNumberFormat="1" applyFont="1" applyFill="1" applyBorder="1" applyAlignment="1">
      <alignment horizontal="right"/>
    </xf>
    <xf numFmtId="168" fontId="6" fillId="4" borderId="2" xfId="6" applyNumberFormat="1" applyFont="1" applyFill="1" applyBorder="1" applyAlignment="1">
      <alignment horizontal="right"/>
    </xf>
    <xf numFmtId="0" fontId="6" fillId="4" borderId="0" xfId="6" applyFont="1" applyFill="1" applyAlignment="1">
      <alignment horizontal="left"/>
    </xf>
    <xf numFmtId="8" fontId="6" fillId="4" borderId="3" xfId="6" applyNumberFormat="1" applyFont="1" applyFill="1" applyBorder="1" applyAlignment="1">
      <alignment horizontal="right"/>
    </xf>
    <xf numFmtId="168" fontId="6" fillId="4" borderId="3" xfId="6" applyNumberFormat="1" applyFont="1" applyFill="1" applyBorder="1" applyAlignment="1">
      <alignment horizontal="right"/>
    </xf>
    <xf numFmtId="8" fontId="6" fillId="4" borderId="4" xfId="6" applyNumberFormat="1" applyFont="1" applyFill="1" applyBorder="1" applyAlignment="1">
      <alignment horizontal="right"/>
    </xf>
    <xf numFmtId="168" fontId="6" fillId="4" borderId="4" xfId="6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/>
    </xf>
    <xf numFmtId="0" fontId="6" fillId="2" borderId="1" xfId="6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4" xfId="6" xr:uid="{16340280-7D21-4DEE-AFCB-C82261AD2D37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FA44D0\CP%202025%20Property%20Budget%20Template_Master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STADOS%20FINANCIEROS\Estados%20Financieros%20DICIEMBRE%202023%20FINAL.xls" TargetMode="External"/><Relationship Id="rId1" Type="http://schemas.openxmlformats.org/officeDocument/2006/relationships/externalLinkPath" Target="file:///F:\ESTADOS%20FINANCIEROS\Estados%20Financieros%20DICIEMBRE%202023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29EA9E\CWL%20RATES%202022-2025%20(Ajuste%20Lapa%20Rios)%202026%20(T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Alejandro%20Oviedo\Escritorio\CRECE%20Centroamerica\Auditoria%2030-jun-12\Cierres%20junio%20masaya\Junio%202012\Cierre_de_Caja_Masaya_16_de_Junio_2012(VALE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2o0W3I1nBzb59zYjcvFSptu6Qoc96Vbk\3-102-865727%20-%20CORCOVADO%20HOLDING%20SCP%20S.R.L\3-102-865727%20-%20CORCOVADO%20HOLDING%20SCP%20S.R.L\Executive%20Month%20End%20Commentes\2026\JUNIO%202026\FCST%20JUNIO(500)%202026v2%20final%20(con%20new%20rooms).xlsx" TargetMode="External"/><Relationship Id="rId2" Type="http://schemas.microsoft.com/office/2019/04/relationships/externalLinkLongPath" Target="file:///G:\.shortcut-targets-by-id\12o0W3I1nBzb59zYjcvFSptu6Qoc96Vbk\3-102-865727%20-%20CORCOVADO%20HOLDING%20SCP%20S.R.L\3-102-865727%20-%20CORCOVADO%20HOLDING%20SCP%20S.R.L\Executive%20Month%20End%20Commentes\2026\JUNIO%202026\FCST%20JUNIO(500)%202026v2%20final%20(con%20new%20rooms).xlsx?2274E8B0" TargetMode="External"/><Relationship Id="rId1" Type="http://schemas.openxmlformats.org/officeDocument/2006/relationships/externalLinkPath" Target="file:///\\2274E8B0\FCST%20JUNIO(500)%202026v2%20final%20(con%20new%20room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Sales &amp; Reservations"/>
      <sheetName val="Assumptions"/>
      <sheetName val="Summary (rev03-26)"/>
      <sheetName val="Capex Budget 2024"/>
      <sheetName val="Summary"/>
      <sheetName val="Side by Side 2023-2024"/>
      <sheetName val="Sales.24"/>
      <sheetName val="2023-2024 Rec &amp; Assump."/>
      <sheetName val="Reserv.24"/>
      <sheetName val="SK OTB.BUD.FCST"/>
      <sheetName val="Cash Needs 2024"/>
      <sheetName val="Cost of Food"/>
      <sheetName val="SK Daily Forecast"/>
      <sheetName val="Rooms"/>
      <sheetName val="Act &amp; Innoce, SPA"/>
      <sheetName val="Rental Cars"/>
      <sheetName val="F&amp;B"/>
      <sheetName val="Minor Dept (incl Retail)"/>
      <sheetName val="Misc + Rent Income"/>
      <sheetName val="Crowther"/>
      <sheetName val="Rooms Labor Standard"/>
      <sheetName val="Labor"/>
      <sheetName val="Labor Records"/>
      <sheetName val="A&amp;G"/>
      <sheetName val="People Services (incl A&amp;G)"/>
      <sheetName val="Ops &amp; Maintenance"/>
      <sheetName val="Info Telecom"/>
      <sheetName val="S&amp;M"/>
      <sheetName val="Utilities"/>
      <sheetName val="Mgmt.Royalty+Non-Op+ITDA"/>
      <sheetName val="Aproach 2025"/>
      <sheetName val="Rates 2025"/>
      <sheetName val="Occupancy 2023_2024_2025"/>
      <sheetName val="Data"/>
      <sheetName val="CrossfireHiddenWorksheet"/>
      <sheetName val="OfficeConnectCellHighlights"/>
      <sheetName val="AssumptionsSavings"/>
      <sheetName val="RATES CWL 2023-202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NOTAS ACLARATORIAS"/>
      <sheetName val="BALANCE DE COMPROBACION"/>
      <sheetName val="BALANCE DICIEMBRE 2023"/>
      <sheetName val="Hoja1"/>
      <sheetName val="Balance de situacion Activos"/>
      <sheetName val="balance de situacion pasivos"/>
      <sheetName val="CAMBIOS EN EL PATRIMONIO"/>
      <sheetName val="Estado Resultado"/>
      <sheetName val="FLUJO DE EFECTIVO"/>
      <sheetName val="BORRADOR DE FLUJO"/>
      <sheetName val="Hoja2"/>
      <sheetName val="BALANCE CORRIGO"/>
      <sheetName val="MAPPING"/>
      <sheetName val="BALANCE AGOSTO p&amp;l"/>
    </sheetNames>
    <sheetDataSet>
      <sheetData sheetId="0" refreshError="1"/>
      <sheetData sheetId="1" refreshError="1"/>
      <sheetData sheetId="2">
        <row r="4">
          <cell r="B4" t="str">
            <v>100000000000</v>
          </cell>
        </row>
        <row r="5">
          <cell r="B5" t="str">
            <v>100001000000</v>
          </cell>
        </row>
        <row r="6">
          <cell r="B6" t="str">
            <v>100001002000</v>
          </cell>
        </row>
        <row r="7">
          <cell r="B7" t="str">
            <v>100001006000</v>
          </cell>
        </row>
        <row r="8">
          <cell r="B8" t="str">
            <v>100001010000</v>
          </cell>
        </row>
        <row r="9">
          <cell r="B9" t="str">
            <v>100001010001</v>
          </cell>
        </row>
        <row r="10">
          <cell r="B10" t="str">
            <v>100001010002</v>
          </cell>
        </row>
        <row r="11">
          <cell r="B11" t="str">
            <v>100001012000</v>
          </cell>
        </row>
        <row r="12">
          <cell r="B12" t="str">
            <v>100001012001</v>
          </cell>
        </row>
        <row r="13">
          <cell r="B13" t="str">
            <v>100001012002</v>
          </cell>
        </row>
        <row r="14">
          <cell r="B14" t="str">
            <v>100001013000</v>
          </cell>
        </row>
        <row r="15">
          <cell r="B15" t="str">
            <v>100002000000</v>
          </cell>
        </row>
        <row r="16">
          <cell r="B16" t="str">
            <v>100002001000</v>
          </cell>
        </row>
        <row r="17">
          <cell r="B17" t="str">
            <v>100002002000</v>
          </cell>
        </row>
        <row r="18">
          <cell r="B18" t="str">
            <v>100002008000</v>
          </cell>
        </row>
        <row r="19">
          <cell r="B19" t="str">
            <v>100002009000</v>
          </cell>
        </row>
        <row r="20">
          <cell r="B20" t="str">
            <v>100002011000</v>
          </cell>
        </row>
        <row r="21">
          <cell r="B21" t="str">
            <v>100002012000</v>
          </cell>
        </row>
        <row r="22">
          <cell r="B22" t="str">
            <v>100002013000</v>
          </cell>
        </row>
        <row r="23">
          <cell r="B23" t="str">
            <v>100002020000</v>
          </cell>
        </row>
        <row r="24">
          <cell r="B24" t="str">
            <v>100003000000</v>
          </cell>
        </row>
        <row r="25">
          <cell r="B25" t="str">
            <v>100003001000</v>
          </cell>
        </row>
        <row r="26">
          <cell r="B26" t="str">
            <v>100003001001</v>
          </cell>
        </row>
        <row r="27">
          <cell r="B27" t="str">
            <v>100003001002</v>
          </cell>
        </row>
        <row r="28">
          <cell r="B28" t="str">
            <v>100003004000</v>
          </cell>
        </row>
        <row r="29">
          <cell r="B29" t="str">
            <v>100003004001</v>
          </cell>
        </row>
        <row r="30">
          <cell r="B30" t="str">
            <v>100003004002</v>
          </cell>
        </row>
        <row r="31">
          <cell r="B31" t="str">
            <v>100004000000</v>
          </cell>
        </row>
        <row r="32">
          <cell r="B32" t="str">
            <v>100004001000</v>
          </cell>
        </row>
        <row r="33">
          <cell r="B33" t="str">
            <v>100004002000</v>
          </cell>
        </row>
        <row r="34">
          <cell r="B34" t="str">
            <v>100004003000</v>
          </cell>
        </row>
        <row r="35">
          <cell r="B35" t="str">
            <v>100004005000</v>
          </cell>
        </row>
        <row r="36">
          <cell r="B36" t="str">
            <v>100004006000</v>
          </cell>
        </row>
        <row r="37">
          <cell r="B37" t="str">
            <v>100004006001</v>
          </cell>
        </row>
        <row r="38">
          <cell r="B38" t="str">
            <v>100004007000</v>
          </cell>
        </row>
        <row r="39">
          <cell r="B39" t="str">
            <v>100004009000</v>
          </cell>
        </row>
        <row r="40">
          <cell r="B40" t="str">
            <v>100004012000</v>
          </cell>
        </row>
        <row r="41">
          <cell r="B41" t="str">
            <v>100004013000</v>
          </cell>
        </row>
        <row r="42">
          <cell r="B42" t="str">
            <v>100004014000</v>
          </cell>
        </row>
        <row r="43">
          <cell r="B43" t="str">
            <v>100400001000</v>
          </cell>
        </row>
        <row r="44">
          <cell r="B44" t="str">
            <v>102000000000</v>
          </cell>
        </row>
        <row r="45">
          <cell r="B45" t="str">
            <v>102001000000</v>
          </cell>
        </row>
        <row r="46">
          <cell r="B46" t="str">
            <v>102002000000</v>
          </cell>
        </row>
        <row r="47">
          <cell r="B47" t="str">
            <v>102004000000</v>
          </cell>
        </row>
        <row r="48">
          <cell r="B48" t="str">
            <v>102004004000</v>
          </cell>
        </row>
        <row r="49">
          <cell r="B49" t="str">
            <v>102004005000</v>
          </cell>
        </row>
        <row r="50">
          <cell r="B50" t="str">
            <v>102004005001</v>
          </cell>
        </row>
        <row r="51">
          <cell r="B51" t="str">
            <v>102004005003</v>
          </cell>
        </row>
        <row r="52">
          <cell r="B52" t="str">
            <v>102004005011</v>
          </cell>
        </row>
        <row r="53">
          <cell r="B53" t="str">
            <v>102004005015</v>
          </cell>
        </row>
        <row r="54">
          <cell r="B54" t="str">
            <v>102004005016</v>
          </cell>
        </row>
        <row r="55">
          <cell r="B55" t="str">
            <v>102004005018</v>
          </cell>
        </row>
        <row r="56">
          <cell r="B56" t="str">
            <v>102004006000</v>
          </cell>
        </row>
        <row r="57">
          <cell r="B57" t="str">
            <v>102005000000</v>
          </cell>
        </row>
        <row r="58">
          <cell r="B58" t="str">
            <v>106000000000</v>
          </cell>
        </row>
        <row r="59">
          <cell r="B59" t="str">
            <v>106001000000</v>
          </cell>
        </row>
        <row r="60">
          <cell r="B60" t="str">
            <v>106011000000</v>
          </cell>
        </row>
        <row r="61">
          <cell r="B61" t="str">
            <v>106012000000</v>
          </cell>
        </row>
        <row r="62">
          <cell r="B62" t="str">
            <v>107000000000</v>
          </cell>
        </row>
        <row r="63">
          <cell r="B63" t="str">
            <v>107001000000</v>
          </cell>
        </row>
        <row r="64">
          <cell r="B64" t="str">
            <v>107001001000</v>
          </cell>
        </row>
        <row r="65">
          <cell r="B65" t="str">
            <v>107002000000</v>
          </cell>
        </row>
        <row r="66">
          <cell r="B66" t="str">
            <v>107002001000</v>
          </cell>
        </row>
        <row r="67">
          <cell r="B67" t="str">
            <v>107003000000</v>
          </cell>
        </row>
        <row r="68">
          <cell r="B68" t="str">
            <v>107003001000</v>
          </cell>
        </row>
        <row r="69">
          <cell r="B69" t="str">
            <v>107005000000</v>
          </cell>
        </row>
        <row r="70">
          <cell r="B70" t="str">
            <v>107005001000</v>
          </cell>
        </row>
        <row r="71">
          <cell r="B71" t="str">
            <v>125000000000</v>
          </cell>
        </row>
        <row r="72">
          <cell r="B72" t="str">
            <v>125001000000</v>
          </cell>
        </row>
        <row r="73">
          <cell r="B73" t="str">
            <v>125001001000</v>
          </cell>
        </row>
        <row r="74">
          <cell r="B74" t="str">
            <v>125001001004</v>
          </cell>
        </row>
        <row r="75">
          <cell r="B75" t="str">
            <v>125001001005</v>
          </cell>
        </row>
        <row r="76">
          <cell r="B76" t="str">
            <v>125001001006</v>
          </cell>
        </row>
        <row r="77">
          <cell r="B77" t="str">
            <v>125001001007</v>
          </cell>
        </row>
        <row r="78">
          <cell r="B78" t="str">
            <v>125001001008</v>
          </cell>
        </row>
        <row r="79">
          <cell r="B79" t="str">
            <v>125001001009</v>
          </cell>
        </row>
        <row r="80">
          <cell r="B80" t="str">
            <v>125001001010</v>
          </cell>
        </row>
        <row r="81">
          <cell r="B81" t="str">
            <v>125001001011</v>
          </cell>
        </row>
        <row r="82">
          <cell r="B82" t="str">
            <v>125001001012</v>
          </cell>
        </row>
        <row r="83">
          <cell r="B83" t="str">
            <v>125001001013</v>
          </cell>
        </row>
        <row r="84">
          <cell r="B84" t="str">
            <v>125001001014</v>
          </cell>
        </row>
        <row r="85">
          <cell r="B85" t="str">
            <v>125001001015</v>
          </cell>
        </row>
        <row r="86">
          <cell r="B86" t="str">
            <v>125001001016</v>
          </cell>
        </row>
        <row r="87">
          <cell r="B87" t="str">
            <v>125001002000</v>
          </cell>
        </row>
        <row r="88">
          <cell r="B88" t="str">
            <v>125001002001</v>
          </cell>
        </row>
        <row r="89">
          <cell r="B89" t="str">
            <v>125001002002</v>
          </cell>
        </row>
        <row r="90">
          <cell r="B90" t="str">
            <v>125001002003</v>
          </cell>
        </row>
        <row r="91">
          <cell r="B91" t="str">
            <v>125001002012</v>
          </cell>
        </row>
        <row r="92">
          <cell r="B92" t="str">
            <v>125001002020</v>
          </cell>
        </row>
        <row r="93">
          <cell r="B93" t="str">
            <v>125001003000</v>
          </cell>
        </row>
        <row r="94">
          <cell r="B94" t="str">
            <v>125001004000</v>
          </cell>
        </row>
        <row r="95">
          <cell r="B95" t="str">
            <v>125001005000</v>
          </cell>
        </row>
        <row r="96">
          <cell r="B96" t="str">
            <v>125001012000</v>
          </cell>
        </row>
        <row r="97">
          <cell r="B97" t="str">
            <v>125001014000</v>
          </cell>
        </row>
        <row r="98">
          <cell r="B98" t="str">
            <v>125001014001</v>
          </cell>
        </row>
        <row r="99">
          <cell r="B99" t="str">
            <v>125001014002</v>
          </cell>
        </row>
        <row r="100">
          <cell r="B100" t="str">
            <v>125001015000</v>
          </cell>
        </row>
        <row r="101">
          <cell r="B101" t="str">
            <v>126000000000</v>
          </cell>
        </row>
        <row r="102">
          <cell r="B102" t="str">
            <v>126001000000</v>
          </cell>
        </row>
        <row r="103">
          <cell r="B103" t="str">
            <v>126001001000</v>
          </cell>
        </row>
        <row r="104">
          <cell r="B104" t="str">
            <v>126001008000</v>
          </cell>
        </row>
        <row r="105">
          <cell r="B105" t="str">
            <v>126002000000</v>
          </cell>
        </row>
        <row r="106">
          <cell r="B106" t="str">
            <v>126002001000</v>
          </cell>
        </row>
        <row r="107">
          <cell r="B107" t="str">
            <v>126004000000</v>
          </cell>
        </row>
        <row r="108">
          <cell r="B108" t="str">
            <v>126005000000</v>
          </cell>
        </row>
        <row r="109">
          <cell r="B109" t="str">
            <v>126005000001</v>
          </cell>
        </row>
        <row r="110">
          <cell r="B110" t="str">
            <v>126005000002</v>
          </cell>
        </row>
        <row r="111">
          <cell r="B111" t="str">
            <v>126006000000</v>
          </cell>
        </row>
        <row r="112">
          <cell r="B112" t="str">
            <v>127000000000</v>
          </cell>
        </row>
        <row r="113">
          <cell r="B113" t="str">
            <v>127001000000</v>
          </cell>
        </row>
        <row r="114">
          <cell r="B114" t="str">
            <v>127002000000</v>
          </cell>
        </row>
        <row r="115">
          <cell r="B115" t="str">
            <v>127004000000</v>
          </cell>
        </row>
        <row r="116">
          <cell r="B116" t="str">
            <v>127006000000</v>
          </cell>
        </row>
        <row r="117">
          <cell r="B117" t="str">
            <v>140000000000</v>
          </cell>
        </row>
        <row r="118">
          <cell r="B118" t="str">
            <v>140001000000</v>
          </cell>
        </row>
        <row r="119">
          <cell r="B119" t="str">
            <v>140001001000</v>
          </cell>
        </row>
        <row r="120">
          <cell r="B120" t="str">
            <v>140006000000</v>
          </cell>
        </row>
        <row r="121">
          <cell r="B121" t="str">
            <v>150000000000</v>
          </cell>
        </row>
        <row r="122">
          <cell r="B122" t="str">
            <v>150001000000</v>
          </cell>
        </row>
        <row r="123">
          <cell r="B123" t="str">
            <v>150001001000</v>
          </cell>
        </row>
        <row r="124">
          <cell r="B124" t="str">
            <v>150001002000</v>
          </cell>
        </row>
        <row r="125">
          <cell r="B125" t="str">
            <v>150001003000</v>
          </cell>
        </row>
        <row r="126">
          <cell r="B126" t="str">
            <v>150001004000</v>
          </cell>
        </row>
        <row r="127">
          <cell r="B127" t="str">
            <v>150001008000</v>
          </cell>
        </row>
        <row r="128">
          <cell r="B128" t="str">
            <v>150006000000</v>
          </cell>
        </row>
        <row r="129">
          <cell r="B129" t="str">
            <v>150008000000</v>
          </cell>
        </row>
        <row r="130">
          <cell r="B130" t="str">
            <v>150010000000</v>
          </cell>
        </row>
        <row r="131">
          <cell r="B131" t="str">
            <v>150010010000</v>
          </cell>
        </row>
        <row r="132">
          <cell r="B132" t="str">
            <v>150010030000</v>
          </cell>
        </row>
        <row r="133">
          <cell r="B133" t="str">
            <v>157000000000</v>
          </cell>
        </row>
        <row r="134">
          <cell r="B134" t="str">
            <v>158000000000</v>
          </cell>
        </row>
        <row r="135">
          <cell r="B135" t="str">
            <v>155000000000</v>
          </cell>
        </row>
        <row r="136">
          <cell r="B136" t="str">
            <v>156000000000</v>
          </cell>
        </row>
        <row r="137">
          <cell r="B137" t="str">
            <v>160000000000</v>
          </cell>
        </row>
        <row r="138">
          <cell r="B138" t="str">
            <v>160001000000</v>
          </cell>
        </row>
        <row r="139">
          <cell r="B139" t="str">
            <v>160002000000</v>
          </cell>
        </row>
        <row r="140">
          <cell r="B140" t="str">
            <v>160016000000</v>
          </cell>
        </row>
        <row r="141">
          <cell r="B141" t="str">
            <v>160017000000</v>
          </cell>
        </row>
        <row r="142">
          <cell r="B142" t="str">
            <v>165000000000</v>
          </cell>
        </row>
        <row r="143">
          <cell r="B143" t="str">
            <v>200000000000</v>
          </cell>
        </row>
        <row r="144">
          <cell r="B144" t="str">
            <v>201000000000</v>
          </cell>
        </row>
        <row r="145">
          <cell r="B145" t="str">
            <v>201004000000</v>
          </cell>
        </row>
        <row r="146">
          <cell r="B146" t="str">
            <v>201004003000</v>
          </cell>
        </row>
        <row r="147">
          <cell r="B147" t="str">
            <v>201005000000</v>
          </cell>
        </row>
        <row r="148">
          <cell r="B148" t="str">
            <v>201007000000</v>
          </cell>
        </row>
        <row r="149">
          <cell r="B149" t="str">
            <v>201007000001</v>
          </cell>
        </row>
        <row r="150">
          <cell r="B150" t="str">
            <v>201007000008</v>
          </cell>
        </row>
        <row r="151">
          <cell r="B151" t="str">
            <v>201013000000</v>
          </cell>
        </row>
        <row r="152">
          <cell r="B152" t="str">
            <v>201013001000</v>
          </cell>
        </row>
        <row r="153">
          <cell r="B153" t="str">
            <v>201013001006</v>
          </cell>
        </row>
        <row r="154">
          <cell r="B154" t="str">
            <v>201013001019</v>
          </cell>
        </row>
        <row r="155">
          <cell r="B155" t="str">
            <v>201013001020</v>
          </cell>
        </row>
        <row r="156">
          <cell r="B156" t="str">
            <v>201013011000</v>
          </cell>
        </row>
        <row r="157">
          <cell r="B157" t="str">
            <v>201013015000</v>
          </cell>
        </row>
        <row r="158">
          <cell r="B158" t="str">
            <v>201015000000</v>
          </cell>
        </row>
        <row r="159">
          <cell r="B159" t="str">
            <v>201016000000</v>
          </cell>
        </row>
        <row r="160">
          <cell r="B160" t="str">
            <v>201023000000</v>
          </cell>
        </row>
        <row r="161">
          <cell r="B161" t="str">
            <v>202000000000</v>
          </cell>
        </row>
        <row r="162">
          <cell r="B162" t="str">
            <v>205000000000</v>
          </cell>
        </row>
        <row r="163">
          <cell r="B163" t="str">
            <v>205001000000</v>
          </cell>
        </row>
        <row r="164">
          <cell r="B164" t="str">
            <v>205001001000</v>
          </cell>
        </row>
        <row r="165">
          <cell r="B165" t="str">
            <v>205001002000</v>
          </cell>
        </row>
        <row r="166">
          <cell r="B166" t="str">
            <v>205001003000</v>
          </cell>
        </row>
        <row r="167">
          <cell r="B167" t="str">
            <v>205002000000</v>
          </cell>
        </row>
        <row r="168">
          <cell r="B168" t="str">
            <v>205002001000</v>
          </cell>
        </row>
        <row r="169">
          <cell r="B169" t="str">
            <v>205002002000</v>
          </cell>
        </row>
        <row r="170">
          <cell r="B170" t="str">
            <v>205002003000</v>
          </cell>
        </row>
        <row r="171">
          <cell r="B171" t="str">
            <v>205003000000</v>
          </cell>
        </row>
        <row r="172">
          <cell r="B172" t="str">
            <v>205004000000</v>
          </cell>
        </row>
        <row r="173">
          <cell r="B173" t="str">
            <v>205007000000</v>
          </cell>
        </row>
        <row r="174">
          <cell r="B174" t="str">
            <v>205008000000</v>
          </cell>
        </row>
        <row r="175">
          <cell r="B175" t="str">
            <v>205009000000</v>
          </cell>
        </row>
        <row r="176">
          <cell r="B176" t="str">
            <v>210000000000</v>
          </cell>
        </row>
        <row r="177">
          <cell r="B177" t="str">
            <v>210001000000</v>
          </cell>
        </row>
        <row r="178">
          <cell r="B178" t="str">
            <v>210001000001</v>
          </cell>
        </row>
        <row r="179">
          <cell r="B179" t="str">
            <v>210003000000</v>
          </cell>
        </row>
        <row r="180">
          <cell r="B180" t="str">
            <v>210004000000</v>
          </cell>
        </row>
        <row r="181">
          <cell r="B181" t="str">
            <v>210006000000</v>
          </cell>
        </row>
        <row r="182">
          <cell r="B182" t="str">
            <v>225000000000</v>
          </cell>
        </row>
        <row r="183">
          <cell r="B183" t="str">
            <v>225007000000</v>
          </cell>
        </row>
        <row r="184">
          <cell r="B184" t="str">
            <v>225008000000</v>
          </cell>
        </row>
        <row r="185">
          <cell r="B185" t="str">
            <v>225009000000</v>
          </cell>
        </row>
        <row r="186">
          <cell r="B186" t="str">
            <v>225010000000</v>
          </cell>
        </row>
        <row r="187">
          <cell r="B187" t="str">
            <v>226000000000</v>
          </cell>
        </row>
        <row r="188">
          <cell r="B188" t="str">
            <v>226001000000</v>
          </cell>
        </row>
        <row r="189">
          <cell r="B189" t="str">
            <v>226002000000</v>
          </cell>
        </row>
        <row r="190">
          <cell r="B190" t="str">
            <v>226004000000</v>
          </cell>
        </row>
        <row r="191">
          <cell r="B191" t="str">
            <v>230000000000</v>
          </cell>
        </row>
        <row r="192">
          <cell r="B192" t="str">
            <v>230001000000</v>
          </cell>
        </row>
        <row r="193">
          <cell r="B193" t="str">
            <v>230003000000</v>
          </cell>
        </row>
        <row r="194">
          <cell r="B194" t="str">
            <v>230006000000</v>
          </cell>
        </row>
        <row r="195">
          <cell r="B195" t="str">
            <v>230010000000</v>
          </cell>
        </row>
        <row r="196">
          <cell r="B196" t="str">
            <v>230013000000</v>
          </cell>
        </row>
        <row r="197">
          <cell r="B197" t="str">
            <v>230014000000</v>
          </cell>
        </row>
        <row r="198">
          <cell r="B198" t="str">
            <v>230015000000</v>
          </cell>
        </row>
        <row r="199">
          <cell r="B199" t="str">
            <v>230016000000</v>
          </cell>
        </row>
        <row r="200">
          <cell r="B200" t="str">
            <v>230017000000</v>
          </cell>
        </row>
        <row r="201">
          <cell r="B201" t="str">
            <v>230018000000</v>
          </cell>
        </row>
        <row r="202">
          <cell r="B202" t="str">
            <v>301000000000</v>
          </cell>
        </row>
        <row r="203">
          <cell r="B203" t="str">
            <v>302000000000</v>
          </cell>
        </row>
        <row r="204">
          <cell r="B204" t="str">
            <v>310000000000</v>
          </cell>
        </row>
        <row r="205">
          <cell r="B205" t="str">
            <v>315000000000</v>
          </cell>
        </row>
        <row r="206">
          <cell r="B206" t="str">
            <v>315001000000</v>
          </cell>
        </row>
        <row r="207">
          <cell r="B207" t="str">
            <v>315002000000</v>
          </cell>
        </row>
        <row r="208">
          <cell r="B208" t="str">
            <v>315005000000</v>
          </cell>
        </row>
        <row r="209">
          <cell r="B209" t="str">
            <v>315006000000</v>
          </cell>
        </row>
        <row r="210">
          <cell r="B210" t="str">
            <v>315008000000</v>
          </cell>
        </row>
        <row r="211">
          <cell r="B211" t="str">
            <v>315009000000</v>
          </cell>
        </row>
        <row r="212">
          <cell r="B212" t="str">
            <v>315010000000</v>
          </cell>
        </row>
        <row r="213">
          <cell r="B213" t="str">
            <v>315011000000</v>
          </cell>
        </row>
        <row r="214">
          <cell r="B214" t="str">
            <v>315012000000</v>
          </cell>
        </row>
        <row r="215">
          <cell r="B215" t="str">
            <v>315013000000</v>
          </cell>
        </row>
        <row r="216">
          <cell r="B216" t="str">
            <v>315014000000</v>
          </cell>
        </row>
        <row r="217">
          <cell r="B217" t="str">
            <v>315015000000</v>
          </cell>
        </row>
        <row r="218">
          <cell r="B218" t="str">
            <v>315016000000</v>
          </cell>
        </row>
        <row r="219">
          <cell r="B219" t="str">
            <v>315017000000</v>
          </cell>
        </row>
        <row r="220">
          <cell r="B220" t="str">
            <v>315018000000</v>
          </cell>
        </row>
        <row r="221">
          <cell r="B221" t="str">
            <v>400000000000</v>
          </cell>
        </row>
        <row r="222">
          <cell r="B222" t="str">
            <v>400001000000</v>
          </cell>
        </row>
        <row r="223">
          <cell r="B223" t="str">
            <v>400001000001</v>
          </cell>
        </row>
        <row r="224">
          <cell r="B224" t="str">
            <v>400001000002</v>
          </cell>
        </row>
        <row r="225">
          <cell r="B225" t="str">
            <v>400002000000</v>
          </cell>
        </row>
        <row r="226">
          <cell r="B226" t="str">
            <v>400002001000</v>
          </cell>
        </row>
        <row r="227">
          <cell r="B227" t="str">
            <v>400003000000</v>
          </cell>
        </row>
        <row r="228">
          <cell r="B228" t="str">
            <v>400004000000</v>
          </cell>
        </row>
        <row r="229">
          <cell r="B229" t="str">
            <v>400004001000</v>
          </cell>
        </row>
        <row r="230">
          <cell r="B230" t="str">
            <v>400005000000</v>
          </cell>
        </row>
        <row r="231">
          <cell r="B231" t="str">
            <v>400005001000</v>
          </cell>
        </row>
        <row r="232">
          <cell r="B232" t="str">
            <v>400005002000</v>
          </cell>
        </row>
        <row r="233">
          <cell r="B233" t="str">
            <v>400005003000</v>
          </cell>
        </row>
        <row r="234">
          <cell r="B234" t="str">
            <v>400006000000</v>
          </cell>
        </row>
        <row r="235">
          <cell r="B235" t="str">
            <v>400006001000</v>
          </cell>
        </row>
        <row r="236">
          <cell r="B236" t="str">
            <v>400006002000</v>
          </cell>
        </row>
        <row r="237">
          <cell r="B237" t="str">
            <v>400006002001</v>
          </cell>
        </row>
        <row r="238">
          <cell r="B238" t="str">
            <v>400007000000</v>
          </cell>
        </row>
        <row r="239">
          <cell r="B239" t="str">
            <v>400007001000</v>
          </cell>
        </row>
        <row r="240">
          <cell r="B240" t="str">
            <v>400007002000</v>
          </cell>
        </row>
        <row r="241">
          <cell r="B241" t="str">
            <v>400007002001</v>
          </cell>
        </row>
        <row r="242">
          <cell r="B242" t="str">
            <v>400008000000</v>
          </cell>
        </row>
        <row r="243">
          <cell r="B243" t="str">
            <v>400008001000</v>
          </cell>
        </row>
        <row r="244">
          <cell r="B244" t="str">
            <v>400008002000</v>
          </cell>
        </row>
        <row r="245">
          <cell r="B245" t="str">
            <v>400008002001</v>
          </cell>
        </row>
        <row r="246">
          <cell r="B246" t="str">
            <v>400008003000</v>
          </cell>
        </row>
        <row r="247">
          <cell r="B247" t="str">
            <v>400008003001</v>
          </cell>
        </row>
        <row r="248">
          <cell r="B248" t="str">
            <v>400009000000</v>
          </cell>
        </row>
        <row r="249">
          <cell r="B249" t="str">
            <v>400009001000</v>
          </cell>
        </row>
        <row r="250">
          <cell r="B250" t="str">
            <v>400009002000</v>
          </cell>
        </row>
        <row r="251">
          <cell r="B251" t="str">
            <v>400009003000</v>
          </cell>
        </row>
        <row r="252">
          <cell r="B252" t="str">
            <v>400010000000</v>
          </cell>
        </row>
        <row r="253">
          <cell r="B253" t="str">
            <v>400010003000</v>
          </cell>
        </row>
        <row r="254">
          <cell r="B254" t="str">
            <v>400010004000</v>
          </cell>
        </row>
        <row r="256">
          <cell r="B256" t="str">
            <v>400011000000</v>
          </cell>
        </row>
        <row r="257">
          <cell r="B257" t="str">
            <v>400011001000</v>
          </cell>
        </row>
        <row r="258">
          <cell r="B258" t="str">
            <v>400011002000</v>
          </cell>
        </row>
        <row r="259">
          <cell r="B259" t="str">
            <v>400011003000</v>
          </cell>
        </row>
        <row r="260">
          <cell r="B260" t="str">
            <v>411000000000</v>
          </cell>
        </row>
        <row r="261">
          <cell r="B261" t="str">
            <v>411001000000</v>
          </cell>
        </row>
        <row r="262">
          <cell r="B262" t="str">
            <v>412000000000</v>
          </cell>
        </row>
        <row r="263">
          <cell r="B263" t="str">
            <v>413001000000</v>
          </cell>
        </row>
        <row r="264">
          <cell r="B264" t="str">
            <v>412019000000</v>
          </cell>
        </row>
        <row r="265">
          <cell r="B265" t="str">
            <v>420000000000</v>
          </cell>
        </row>
        <row r="266">
          <cell r="B266" t="str">
            <v>420001000000</v>
          </cell>
        </row>
        <row r="267">
          <cell r="B267" t="str">
            <v>420001000001</v>
          </cell>
        </row>
        <row r="268">
          <cell r="B268" t="str">
            <v>420001100000</v>
          </cell>
        </row>
        <row r="269">
          <cell r="B269" t="str">
            <v>420001200000</v>
          </cell>
        </row>
        <row r="270">
          <cell r="B270" t="str">
            <v>420001400000</v>
          </cell>
        </row>
        <row r="271">
          <cell r="B271" t="str">
            <v>420007000000</v>
          </cell>
        </row>
        <row r="272">
          <cell r="B272" t="str">
            <v>420002000000</v>
          </cell>
        </row>
        <row r="273">
          <cell r="B273" t="str">
            <v>420002002000</v>
          </cell>
        </row>
        <row r="274">
          <cell r="B274" t="str">
            <v>420002004000</v>
          </cell>
        </row>
        <row r="275">
          <cell r="B275" t="str">
            <v>420002018000</v>
          </cell>
        </row>
        <row r="276">
          <cell r="B276" t="str">
            <v>420002028000</v>
          </cell>
        </row>
        <row r="277">
          <cell r="B277" t="str">
            <v>420004007000</v>
          </cell>
        </row>
        <row r="278">
          <cell r="B278" t="str">
            <v>420005000000</v>
          </cell>
        </row>
        <row r="279">
          <cell r="B279" t="str">
            <v>420005008000</v>
          </cell>
        </row>
        <row r="280">
          <cell r="B280" t="str">
            <v>420009000000</v>
          </cell>
        </row>
        <row r="281">
          <cell r="B281" t="str">
            <v>500000000000</v>
          </cell>
        </row>
        <row r="282">
          <cell r="B282" t="str">
            <v>500001000000</v>
          </cell>
        </row>
        <row r="283">
          <cell r="B283" t="str">
            <v>500007000000</v>
          </cell>
        </row>
        <row r="284">
          <cell r="B284" t="str">
            <v>500002000000</v>
          </cell>
        </row>
        <row r="285">
          <cell r="B285" t="str">
            <v>600000000000</v>
          </cell>
        </row>
        <row r="286">
          <cell r="B286" t="str">
            <v>600003000000</v>
          </cell>
        </row>
        <row r="287">
          <cell r="B287" t="str">
            <v>600005000000</v>
          </cell>
        </row>
        <row r="288">
          <cell r="B288" t="str">
            <v>600005001000</v>
          </cell>
        </row>
        <row r="289">
          <cell r="B289" t="str">
            <v>600005002000</v>
          </cell>
        </row>
        <row r="290">
          <cell r="B290" t="str">
            <v>600006000000</v>
          </cell>
        </row>
        <row r="291">
          <cell r="B291" t="str">
            <v>600006001000</v>
          </cell>
        </row>
        <row r="292">
          <cell r="B292" t="str">
            <v>600006002000</v>
          </cell>
        </row>
        <row r="293">
          <cell r="B293" t="str">
            <v>600006002001</v>
          </cell>
        </row>
        <row r="294">
          <cell r="B294" t="str">
            <v>600007000000</v>
          </cell>
        </row>
        <row r="295">
          <cell r="B295" t="str">
            <v>600007001000</v>
          </cell>
        </row>
        <row r="296">
          <cell r="B296" t="str">
            <v>600007002000</v>
          </cell>
        </row>
        <row r="297">
          <cell r="B297" t="str">
            <v>600008000000</v>
          </cell>
        </row>
        <row r="298">
          <cell r="B298" t="str">
            <v>600008001000</v>
          </cell>
        </row>
        <row r="299">
          <cell r="B299" t="str">
            <v>600008002000</v>
          </cell>
        </row>
        <row r="300">
          <cell r="B300" t="str">
            <v>600008003000</v>
          </cell>
        </row>
        <row r="301">
          <cell r="B301" t="str">
            <v>600009000000</v>
          </cell>
        </row>
        <row r="302">
          <cell r="B302" t="str">
            <v>600054000000</v>
          </cell>
        </row>
        <row r="303">
          <cell r="B303" t="str">
            <v>600009001000</v>
          </cell>
        </row>
        <row r="304">
          <cell r="B304" t="str">
            <v>600009002000</v>
          </cell>
        </row>
        <row r="305">
          <cell r="B305" t="str">
            <v>600050000000</v>
          </cell>
        </row>
        <row r="306">
          <cell r="B306" t="str">
            <v>600052000000</v>
          </cell>
        </row>
        <row r="307">
          <cell r="B307" t="str">
            <v>621000000000</v>
          </cell>
        </row>
        <row r="308">
          <cell r="B308" t="str">
            <v>623000000000</v>
          </cell>
        </row>
        <row r="309">
          <cell r="B309" t="str">
            <v>624000000000</v>
          </cell>
        </row>
        <row r="310">
          <cell r="B310" t="str">
            <v>625000000000</v>
          </cell>
        </row>
        <row r="311">
          <cell r="B311" t="str">
            <v>600053000000</v>
          </cell>
        </row>
        <row r="312">
          <cell r="B312" t="str">
            <v>626000000000</v>
          </cell>
        </row>
        <row r="313">
          <cell r="B313" t="str">
            <v>627000000000</v>
          </cell>
        </row>
        <row r="314">
          <cell r="B314" t="str">
            <v>628001000000</v>
          </cell>
        </row>
        <row r="315">
          <cell r="B315" t="str">
            <v>628002000000</v>
          </cell>
        </row>
        <row r="316">
          <cell r="B316" t="str">
            <v>628003000000</v>
          </cell>
        </row>
        <row r="317">
          <cell r="B317" t="str">
            <v>700000000000</v>
          </cell>
        </row>
        <row r="318">
          <cell r="B318" t="str">
            <v>700001000000</v>
          </cell>
        </row>
        <row r="319">
          <cell r="B319" t="str">
            <v>700001001000</v>
          </cell>
        </row>
        <row r="320">
          <cell r="B320" t="str">
            <v>700001002000</v>
          </cell>
        </row>
        <row r="321">
          <cell r="B321" t="str">
            <v>700001003000</v>
          </cell>
        </row>
        <row r="322">
          <cell r="B322" t="str">
            <v>700001004000</v>
          </cell>
        </row>
        <row r="323">
          <cell r="B323" t="str">
            <v>700001006000</v>
          </cell>
        </row>
        <row r="324">
          <cell r="B324" t="str">
            <v>700001008000</v>
          </cell>
        </row>
        <row r="325">
          <cell r="B325" t="str">
            <v>700001010000</v>
          </cell>
        </row>
        <row r="326">
          <cell r="B326" t="str">
            <v>700001011000</v>
          </cell>
        </row>
        <row r="327">
          <cell r="B327" t="str">
            <v>700001012000</v>
          </cell>
        </row>
        <row r="328">
          <cell r="B328" t="str">
            <v>700001014000</v>
          </cell>
        </row>
        <row r="329">
          <cell r="B329" t="str">
            <v>700001015000</v>
          </cell>
        </row>
        <row r="330">
          <cell r="B330" t="str">
            <v>700001017000</v>
          </cell>
        </row>
        <row r="331">
          <cell r="B331" t="str">
            <v>700001018000</v>
          </cell>
        </row>
        <row r="332">
          <cell r="B332" t="str">
            <v>700002000000</v>
          </cell>
        </row>
        <row r="333">
          <cell r="B333" t="str">
            <v>700002001000</v>
          </cell>
        </row>
        <row r="334">
          <cell r="B334" t="str">
            <v>700002005000</v>
          </cell>
        </row>
        <row r="335">
          <cell r="B335" t="str">
            <v>700002006000</v>
          </cell>
        </row>
        <row r="336">
          <cell r="B336" t="str">
            <v>700002007000</v>
          </cell>
        </row>
        <row r="337">
          <cell r="B337" t="str">
            <v>700002007001</v>
          </cell>
        </row>
        <row r="338">
          <cell r="B338" t="str">
            <v>700002009000</v>
          </cell>
        </row>
        <row r="339">
          <cell r="B339" t="str">
            <v>700002010000</v>
          </cell>
        </row>
        <row r="340">
          <cell r="B340" t="str">
            <v>700002011000</v>
          </cell>
        </row>
        <row r="341">
          <cell r="B341" t="str">
            <v>700002012000</v>
          </cell>
        </row>
        <row r="342">
          <cell r="B342" t="str">
            <v>700002013000</v>
          </cell>
        </row>
        <row r="343">
          <cell r="B343" t="str">
            <v>700002014000</v>
          </cell>
        </row>
        <row r="344">
          <cell r="B344" t="str">
            <v>700002015000</v>
          </cell>
        </row>
        <row r="345">
          <cell r="B345" t="str">
            <v>700002016000</v>
          </cell>
        </row>
        <row r="346">
          <cell r="B346" t="str">
            <v>700002019000</v>
          </cell>
        </row>
        <row r="347">
          <cell r="B347" t="str">
            <v>700002020000</v>
          </cell>
        </row>
        <row r="348">
          <cell r="B348" t="str">
            <v>700002022000</v>
          </cell>
        </row>
        <row r="349">
          <cell r="B349" t="str">
            <v>700002024000</v>
          </cell>
        </row>
        <row r="350">
          <cell r="B350" t="str">
            <v>700002025000</v>
          </cell>
        </row>
        <row r="351">
          <cell r="B351" t="str">
            <v>700002028000</v>
          </cell>
        </row>
        <row r="352">
          <cell r="B352" t="str">
            <v>700002060000</v>
          </cell>
        </row>
        <row r="353">
          <cell r="B353" t="str">
            <v>700002080000</v>
          </cell>
        </row>
        <row r="354">
          <cell r="B354" t="str">
            <v>700002090000</v>
          </cell>
        </row>
        <row r="355">
          <cell r="B355" t="str">
            <v>700002029000</v>
          </cell>
        </row>
        <row r="356">
          <cell r="B356" t="str">
            <v>701000000000</v>
          </cell>
        </row>
        <row r="357">
          <cell r="B357" t="str">
            <v>701001000000</v>
          </cell>
        </row>
        <row r="358">
          <cell r="B358" t="str">
            <v>701001001000</v>
          </cell>
        </row>
        <row r="359">
          <cell r="B359" t="str">
            <v>701001002000</v>
          </cell>
        </row>
        <row r="360">
          <cell r="B360" t="str">
            <v>701001004000</v>
          </cell>
        </row>
        <row r="361">
          <cell r="B361" t="str">
            <v>701001006000</v>
          </cell>
        </row>
        <row r="362">
          <cell r="B362" t="str">
            <v>701001010000</v>
          </cell>
        </row>
        <row r="363">
          <cell r="B363" t="str">
            <v>701001011000</v>
          </cell>
        </row>
        <row r="364">
          <cell r="B364" t="str">
            <v>701001012000</v>
          </cell>
        </row>
        <row r="365">
          <cell r="B365" t="str">
            <v>701002000000</v>
          </cell>
        </row>
        <row r="366">
          <cell r="B366" t="str">
            <v>701002008000</v>
          </cell>
        </row>
        <row r="367">
          <cell r="B367" t="str">
            <v>701002006000</v>
          </cell>
        </row>
        <row r="368">
          <cell r="B368" t="str">
            <v>701002011000</v>
          </cell>
        </row>
        <row r="369">
          <cell r="B369" t="str">
            <v>701002050000</v>
          </cell>
        </row>
        <row r="370">
          <cell r="B370" t="str">
            <v>701003000000</v>
          </cell>
        </row>
        <row r="371">
          <cell r="B371" t="str">
            <v>705000000000</v>
          </cell>
        </row>
        <row r="372">
          <cell r="B372" t="str">
            <v>705001000000</v>
          </cell>
        </row>
        <row r="373">
          <cell r="B373" t="str">
            <v>705001001000</v>
          </cell>
        </row>
        <row r="374">
          <cell r="B374" t="str">
            <v>705001002000</v>
          </cell>
        </row>
        <row r="375">
          <cell r="B375" t="str">
            <v>705001003000</v>
          </cell>
        </row>
        <row r="376">
          <cell r="B376" t="str">
            <v>705001004000</v>
          </cell>
        </row>
        <row r="377">
          <cell r="B377" t="str">
            <v>705001005000</v>
          </cell>
        </row>
        <row r="378">
          <cell r="B378" t="str">
            <v>705001008000</v>
          </cell>
        </row>
        <row r="379">
          <cell r="B379" t="str">
            <v>705001010000</v>
          </cell>
        </row>
        <row r="380">
          <cell r="B380" t="str">
            <v>705001011000</v>
          </cell>
        </row>
        <row r="381">
          <cell r="B381" t="str">
            <v>705001012000</v>
          </cell>
        </row>
        <row r="382">
          <cell r="B382" t="str">
            <v>705001014000</v>
          </cell>
        </row>
        <row r="383">
          <cell r="B383" t="str">
            <v>705001015000</v>
          </cell>
        </row>
        <row r="384">
          <cell r="B384" t="str">
            <v>705001016000</v>
          </cell>
        </row>
        <row r="385">
          <cell r="B385" t="str">
            <v>705001017000</v>
          </cell>
        </row>
        <row r="386">
          <cell r="B386" t="str">
            <v>705001018000</v>
          </cell>
        </row>
        <row r="387">
          <cell r="B387" t="str">
            <v>705002000000</v>
          </cell>
        </row>
        <row r="388">
          <cell r="B388" t="str">
            <v>705002005000</v>
          </cell>
        </row>
        <row r="389">
          <cell r="B389" t="str">
            <v>705002007000</v>
          </cell>
        </row>
        <row r="390">
          <cell r="B390" t="str">
            <v>705002008000</v>
          </cell>
        </row>
        <row r="391">
          <cell r="B391" t="str">
            <v>705002009000</v>
          </cell>
        </row>
        <row r="392">
          <cell r="B392" t="str">
            <v>705002011000</v>
          </cell>
        </row>
        <row r="393">
          <cell r="B393" t="str">
            <v>705002012000</v>
          </cell>
        </row>
        <row r="394">
          <cell r="B394" t="str">
            <v>705002013000</v>
          </cell>
        </row>
        <row r="395">
          <cell r="B395" t="str">
            <v>705002014000</v>
          </cell>
        </row>
        <row r="396">
          <cell r="B396" t="str">
            <v>705002015000</v>
          </cell>
        </row>
        <row r="397">
          <cell r="B397" t="str">
            <v>705002016000</v>
          </cell>
        </row>
        <row r="398">
          <cell r="B398" t="str">
            <v>705002017000</v>
          </cell>
        </row>
        <row r="399">
          <cell r="B399" t="str">
            <v>705002018000</v>
          </cell>
        </row>
        <row r="400">
          <cell r="B400" t="str">
            <v>705002019000</v>
          </cell>
        </row>
        <row r="401">
          <cell r="B401" t="str">
            <v>705002020000</v>
          </cell>
        </row>
        <row r="402">
          <cell r="B402" t="str">
            <v>705002021000</v>
          </cell>
        </row>
        <row r="403">
          <cell r="B403" t="str">
            <v>705002022000</v>
          </cell>
        </row>
        <row r="404">
          <cell r="B404" t="str">
            <v>705002023000</v>
          </cell>
        </row>
        <row r="405">
          <cell r="B405" t="str">
            <v>705002028000</v>
          </cell>
        </row>
        <row r="406">
          <cell r="B406" t="str">
            <v>705002024000</v>
          </cell>
        </row>
        <row r="407">
          <cell r="B407" t="str">
            <v>705002025000</v>
          </cell>
        </row>
        <row r="408">
          <cell r="B408" t="str">
            <v>705002029000</v>
          </cell>
        </row>
        <row r="409">
          <cell r="B409" t="str">
            <v>705002031000</v>
          </cell>
        </row>
        <row r="410">
          <cell r="B410" t="str">
            <v>705002032000</v>
          </cell>
        </row>
        <row r="411">
          <cell r="B411" t="str">
            <v>705002050000</v>
          </cell>
        </row>
        <row r="412">
          <cell r="B412" t="str">
            <v>705002070000</v>
          </cell>
        </row>
        <row r="413">
          <cell r="B413" t="str">
            <v>705002060000</v>
          </cell>
        </row>
        <row r="414">
          <cell r="B414" t="str">
            <v>720000000000</v>
          </cell>
        </row>
        <row r="415">
          <cell r="B415" t="str">
            <v>720002000000</v>
          </cell>
        </row>
        <row r="416">
          <cell r="B416" t="str">
            <v>720002003000</v>
          </cell>
        </row>
        <row r="417">
          <cell r="B417" t="str">
            <v>720002050000</v>
          </cell>
        </row>
        <row r="418">
          <cell r="B418" t="str">
            <v>721000000000</v>
          </cell>
        </row>
        <row r="419">
          <cell r="B419" t="str">
            <v>721001000000</v>
          </cell>
        </row>
        <row r="420">
          <cell r="B420" t="str">
            <v>721001001000</v>
          </cell>
        </row>
        <row r="421">
          <cell r="B421" t="str">
            <v>721001002000</v>
          </cell>
        </row>
        <row r="422">
          <cell r="B422" t="str">
            <v>721001003000</v>
          </cell>
        </row>
        <row r="423">
          <cell r="B423" t="str">
            <v>721001004000</v>
          </cell>
        </row>
        <row r="424">
          <cell r="B424" t="str">
            <v>721001006000</v>
          </cell>
        </row>
        <row r="425">
          <cell r="B425" t="str">
            <v>721001009000</v>
          </cell>
        </row>
        <row r="426">
          <cell r="B426" t="str">
            <v>721001010000</v>
          </cell>
        </row>
        <row r="427">
          <cell r="B427" t="str">
            <v>721001011000</v>
          </cell>
        </row>
        <row r="428">
          <cell r="B428" t="str">
            <v>721001013000</v>
          </cell>
        </row>
        <row r="429">
          <cell r="B429" t="str">
            <v>721001014000</v>
          </cell>
        </row>
        <row r="430">
          <cell r="B430" t="str">
            <v>721001015000</v>
          </cell>
        </row>
        <row r="431">
          <cell r="B431" t="str">
            <v>721001016000</v>
          </cell>
        </row>
        <row r="432">
          <cell r="B432" t="str">
            <v>721002000000</v>
          </cell>
        </row>
        <row r="433">
          <cell r="B433" t="str">
            <v>721002001000</v>
          </cell>
        </row>
        <row r="434">
          <cell r="B434" t="str">
            <v>721002002000</v>
          </cell>
        </row>
        <row r="435">
          <cell r="B435" t="str">
            <v>721002004000</v>
          </cell>
        </row>
        <row r="436">
          <cell r="B436" t="str">
            <v>721002005000</v>
          </cell>
        </row>
        <row r="437">
          <cell r="B437" t="str">
            <v>721002006000</v>
          </cell>
        </row>
        <row r="438">
          <cell r="B438" t="str">
            <v>721002007000</v>
          </cell>
        </row>
        <row r="439">
          <cell r="B439" t="str">
            <v>721020050000</v>
          </cell>
        </row>
        <row r="440">
          <cell r="B440" t="str">
            <v>721002008000</v>
          </cell>
        </row>
        <row r="441">
          <cell r="B441" t="str">
            <v>721020070000</v>
          </cell>
        </row>
        <row r="442">
          <cell r="B442" t="str">
            <v>721002003000</v>
          </cell>
        </row>
        <row r="443">
          <cell r="B443" t="str">
            <v>722000000000</v>
          </cell>
        </row>
        <row r="444">
          <cell r="B444" t="str">
            <v>722001000000</v>
          </cell>
        </row>
        <row r="445">
          <cell r="B445" t="str">
            <v>722001003000</v>
          </cell>
        </row>
        <row r="446">
          <cell r="B446" t="str">
            <v>722001004000</v>
          </cell>
        </row>
        <row r="447">
          <cell r="B447" t="str">
            <v>722001006000</v>
          </cell>
        </row>
        <row r="448">
          <cell r="B448" t="str">
            <v>722001009000</v>
          </cell>
        </row>
        <row r="449">
          <cell r="B449" t="str">
            <v>722001010000</v>
          </cell>
        </row>
        <row r="450">
          <cell r="B450" t="str">
            <v>722002000000</v>
          </cell>
        </row>
        <row r="451">
          <cell r="B451" t="str">
            <v>722002017000</v>
          </cell>
        </row>
        <row r="452">
          <cell r="B452" t="str">
            <v>800000000000</v>
          </cell>
        </row>
        <row r="453">
          <cell r="B453" t="str">
            <v>800001000000</v>
          </cell>
        </row>
        <row r="454">
          <cell r="B454" t="str">
            <v>800001001000</v>
          </cell>
        </row>
        <row r="455">
          <cell r="B455" t="str">
            <v>800001002000</v>
          </cell>
        </row>
        <row r="456">
          <cell r="B456" t="str">
            <v>800001003000</v>
          </cell>
        </row>
        <row r="457">
          <cell r="B457" t="str">
            <v>800001005000</v>
          </cell>
        </row>
        <row r="458">
          <cell r="B458" t="str">
            <v>800001006000</v>
          </cell>
        </row>
        <row r="459">
          <cell r="B459" t="str">
            <v>800001007000</v>
          </cell>
        </row>
        <row r="460">
          <cell r="B460" t="str">
            <v>800001008000</v>
          </cell>
        </row>
        <row r="461">
          <cell r="B461" t="str">
            <v>800001010000</v>
          </cell>
        </row>
        <row r="462">
          <cell r="B462" t="str">
            <v>800001011000</v>
          </cell>
        </row>
        <row r="463">
          <cell r="B463" t="str">
            <v>800001013000</v>
          </cell>
        </row>
        <row r="464">
          <cell r="B464" t="str">
            <v>800001070000</v>
          </cell>
        </row>
        <row r="465">
          <cell r="B465" t="str">
            <v>800001090000</v>
          </cell>
        </row>
        <row r="466">
          <cell r="B466" t="str">
            <v>800001100000</v>
          </cell>
        </row>
        <row r="467">
          <cell r="B467" t="str">
            <v>800002005000</v>
          </cell>
        </row>
        <row r="468">
          <cell r="B468" t="str">
            <v>800002000000</v>
          </cell>
        </row>
        <row r="469">
          <cell r="B469" t="str">
            <v>800002006000</v>
          </cell>
        </row>
        <row r="470">
          <cell r="B470" t="str">
            <v>800002007000</v>
          </cell>
        </row>
        <row r="471">
          <cell r="B471" t="str">
            <v>800002008000</v>
          </cell>
        </row>
        <row r="472">
          <cell r="B472" t="str">
            <v>800002009000</v>
          </cell>
        </row>
        <row r="473">
          <cell r="B473" t="str">
            <v>800002012000</v>
          </cell>
        </row>
        <row r="474">
          <cell r="B474" t="str">
            <v>800002013000</v>
          </cell>
        </row>
        <row r="475">
          <cell r="B475" t="str">
            <v>800002013001</v>
          </cell>
        </row>
        <row r="476">
          <cell r="B476" t="str">
            <v>800002013004</v>
          </cell>
        </row>
        <row r="477">
          <cell r="B477" t="str">
            <v>800002013007</v>
          </cell>
        </row>
        <row r="478">
          <cell r="B478" t="str">
            <v>800002013008</v>
          </cell>
        </row>
        <row r="479">
          <cell r="B479" t="str">
            <v>800002013009</v>
          </cell>
        </row>
        <row r="480">
          <cell r="B480" t="str">
            <v>800002013010</v>
          </cell>
        </row>
        <row r="481">
          <cell r="B481" t="str">
            <v>800002013011</v>
          </cell>
        </row>
        <row r="482">
          <cell r="B482" t="str">
            <v>800002014000</v>
          </cell>
        </row>
        <row r="483">
          <cell r="B483" t="str">
            <v>800002017000</v>
          </cell>
        </row>
        <row r="484">
          <cell r="B484" t="str">
            <v>800002019000</v>
          </cell>
        </row>
        <row r="485">
          <cell r="B485" t="str">
            <v>800002020000</v>
          </cell>
        </row>
        <row r="486">
          <cell r="B486" t="str">
            <v>800002021000</v>
          </cell>
        </row>
        <row r="487">
          <cell r="B487" t="str">
            <v>800002022000</v>
          </cell>
        </row>
        <row r="488">
          <cell r="B488" t="str">
            <v>800002025000</v>
          </cell>
        </row>
        <row r="489">
          <cell r="B489" t="str">
            <v>800002052000</v>
          </cell>
        </row>
        <row r="490">
          <cell r="B490" t="str">
            <v>800002090000</v>
          </cell>
        </row>
        <row r="491">
          <cell r="B491" t="str">
            <v>800002100000</v>
          </cell>
        </row>
        <row r="492">
          <cell r="B492" t="str">
            <v>800002300000</v>
          </cell>
        </row>
        <row r="493">
          <cell r="B493" t="str">
            <v>800002500000</v>
          </cell>
        </row>
        <row r="494">
          <cell r="B494" t="str">
            <v>800002400000</v>
          </cell>
        </row>
        <row r="495">
          <cell r="B495" t="str">
            <v>850002009000</v>
          </cell>
        </row>
        <row r="498">
          <cell r="B498" t="str">
            <v>802000000000</v>
          </cell>
        </row>
        <row r="499">
          <cell r="B499" t="str">
            <v>802001000000</v>
          </cell>
        </row>
        <row r="500">
          <cell r="B500" t="str">
            <v>802001002000</v>
          </cell>
        </row>
        <row r="501">
          <cell r="B501" t="str">
            <v>802001002006</v>
          </cell>
        </row>
        <row r="502">
          <cell r="B502" t="str">
            <v>802001003000</v>
          </cell>
        </row>
        <row r="503">
          <cell r="B503" t="str">
            <v>802001003007</v>
          </cell>
        </row>
        <row r="504">
          <cell r="B504" t="str">
            <v>802002000000</v>
          </cell>
        </row>
        <row r="505">
          <cell r="B505" t="str">
            <v>802002001000</v>
          </cell>
        </row>
        <row r="506">
          <cell r="B506" t="str">
            <v>802002001006</v>
          </cell>
        </row>
        <row r="507">
          <cell r="B507" t="str">
            <v>802002001007</v>
          </cell>
        </row>
        <row r="508">
          <cell r="B508" t="str">
            <v>802002001010</v>
          </cell>
        </row>
        <row r="509">
          <cell r="B509" t="str">
            <v>802002001011</v>
          </cell>
        </row>
        <row r="510">
          <cell r="B510" t="str">
            <v>802002001015</v>
          </cell>
        </row>
        <row r="511">
          <cell r="B511" t="str">
            <v>802002001016</v>
          </cell>
        </row>
        <row r="512">
          <cell r="B512" t="str">
            <v>802002001019</v>
          </cell>
        </row>
        <row r="513">
          <cell r="B513" t="str">
            <v>802002001022</v>
          </cell>
        </row>
        <row r="514">
          <cell r="B514" t="str">
            <v>802002001003</v>
          </cell>
        </row>
        <row r="515">
          <cell r="B515" t="str">
            <v>802002002000</v>
          </cell>
        </row>
        <row r="516">
          <cell r="B516" t="str">
            <v>802002002001</v>
          </cell>
        </row>
        <row r="517">
          <cell r="B517" t="str">
            <v>802002002002</v>
          </cell>
        </row>
        <row r="518">
          <cell r="B518" t="str">
            <v>802002002005</v>
          </cell>
        </row>
        <row r="519">
          <cell r="B519" t="str">
            <v>802002002006</v>
          </cell>
        </row>
        <row r="520">
          <cell r="B520" t="str">
            <v>802002002007</v>
          </cell>
        </row>
        <row r="521">
          <cell r="B521" t="str">
            <v>802002002010</v>
          </cell>
        </row>
        <row r="522">
          <cell r="B522" t="str">
            <v>802002002012</v>
          </cell>
        </row>
        <row r="523">
          <cell r="B523" t="str">
            <v>802002002013</v>
          </cell>
        </row>
        <row r="524">
          <cell r="B524" t="str">
            <v>802002002014</v>
          </cell>
        </row>
        <row r="525">
          <cell r="B525" t="str">
            <v>802002003000</v>
          </cell>
        </row>
        <row r="526">
          <cell r="B526" t="str">
            <v>802002003007</v>
          </cell>
        </row>
        <row r="527">
          <cell r="B527" t="str">
            <v>805000000000</v>
          </cell>
        </row>
        <row r="528">
          <cell r="B528" t="str">
            <v>805001000000</v>
          </cell>
        </row>
        <row r="529">
          <cell r="B529" t="str">
            <v>805001001000</v>
          </cell>
        </row>
        <row r="530">
          <cell r="B530" t="str">
            <v>805001002000</v>
          </cell>
        </row>
        <row r="531">
          <cell r="B531" t="str">
            <v>805001003000</v>
          </cell>
        </row>
        <row r="532">
          <cell r="B532" t="str">
            <v>805001005000</v>
          </cell>
        </row>
        <row r="533">
          <cell r="B533" t="str">
            <v>805001007000</v>
          </cell>
        </row>
        <row r="534">
          <cell r="B534" t="str">
            <v>805001009000</v>
          </cell>
        </row>
        <row r="535">
          <cell r="B535" t="str">
            <v>805001010000</v>
          </cell>
        </row>
        <row r="536">
          <cell r="B536" t="str">
            <v>805001011000</v>
          </cell>
        </row>
        <row r="537">
          <cell r="B537" t="str">
            <v>805001012000</v>
          </cell>
        </row>
        <row r="538">
          <cell r="B538" t="str">
            <v>805001015000</v>
          </cell>
        </row>
        <row r="539">
          <cell r="B539" t="str">
            <v>805001016000</v>
          </cell>
        </row>
        <row r="540">
          <cell r="B540" t="str">
            <v>805001017000</v>
          </cell>
        </row>
        <row r="541">
          <cell r="B541" t="str">
            <v>805002000000</v>
          </cell>
        </row>
        <row r="542">
          <cell r="B542" t="str">
            <v>805002001400</v>
          </cell>
        </row>
        <row r="543">
          <cell r="B543" t="str">
            <v>805002004000</v>
          </cell>
        </row>
        <row r="544">
          <cell r="B544" t="str">
            <v>805002007000</v>
          </cell>
        </row>
        <row r="545">
          <cell r="B545" t="str">
            <v>805002008000</v>
          </cell>
        </row>
        <row r="546">
          <cell r="B546" t="str">
            <v>805002021000</v>
          </cell>
        </row>
        <row r="547">
          <cell r="B547" t="str">
            <v>805002030000</v>
          </cell>
        </row>
        <row r="548">
          <cell r="B548" t="str">
            <v>805002031000</v>
          </cell>
        </row>
        <row r="549">
          <cell r="B549" t="str">
            <v>805002036000</v>
          </cell>
        </row>
        <row r="550">
          <cell r="B550" t="str">
            <v>805002042000</v>
          </cell>
        </row>
        <row r="551">
          <cell r="B551" t="str">
            <v>805002043000</v>
          </cell>
        </row>
        <row r="552">
          <cell r="B552" t="str">
            <v>805002044000</v>
          </cell>
        </row>
        <row r="553">
          <cell r="B553" t="str">
            <v>805002060000</v>
          </cell>
        </row>
        <row r="554">
          <cell r="B554" t="str">
            <v>805002100000</v>
          </cell>
        </row>
        <row r="555">
          <cell r="B555" t="str">
            <v>805002120000</v>
          </cell>
        </row>
        <row r="556">
          <cell r="B556" t="str">
            <v>805002200000</v>
          </cell>
        </row>
        <row r="557">
          <cell r="B557" t="str">
            <v>805002002100</v>
          </cell>
        </row>
        <row r="558">
          <cell r="B558" t="str">
            <v>805002080000</v>
          </cell>
        </row>
        <row r="559">
          <cell r="B559" t="str">
            <v>805002110000</v>
          </cell>
        </row>
        <row r="560">
          <cell r="B560" t="str">
            <v>805002090000</v>
          </cell>
        </row>
        <row r="561">
          <cell r="B561" t="str">
            <v>805002160000</v>
          </cell>
        </row>
        <row r="562">
          <cell r="B562" t="str">
            <v>815000000000</v>
          </cell>
        </row>
        <row r="563">
          <cell r="B563" t="str">
            <v>815001000000</v>
          </cell>
        </row>
        <row r="564">
          <cell r="B564" t="str">
            <v>815001001000</v>
          </cell>
        </row>
        <row r="565">
          <cell r="B565" t="str">
            <v>815001002000</v>
          </cell>
        </row>
        <row r="566">
          <cell r="B566" t="str">
            <v>815001003000</v>
          </cell>
        </row>
        <row r="567">
          <cell r="B567" t="str">
            <v>815001005000</v>
          </cell>
        </row>
        <row r="568">
          <cell r="B568" t="str">
            <v>815001006000</v>
          </cell>
        </row>
        <row r="569">
          <cell r="B569" t="str">
            <v>815001007000</v>
          </cell>
        </row>
        <row r="570">
          <cell r="B570" t="str">
            <v>815001011000</v>
          </cell>
        </row>
        <row r="571">
          <cell r="B571" t="str">
            <v>815001012000</v>
          </cell>
        </row>
        <row r="572">
          <cell r="B572" t="str">
            <v>815001014000</v>
          </cell>
        </row>
        <row r="573">
          <cell r="B573" t="str">
            <v>815001015000</v>
          </cell>
        </row>
        <row r="574">
          <cell r="B574" t="str">
            <v>815001016000</v>
          </cell>
        </row>
        <row r="575">
          <cell r="B575" t="str">
            <v>815001017000</v>
          </cell>
        </row>
        <row r="576">
          <cell r="B576" t="str">
            <v>815001018000</v>
          </cell>
        </row>
        <row r="577">
          <cell r="B577" t="str">
            <v>815002000000</v>
          </cell>
        </row>
        <row r="578">
          <cell r="B578" t="str">
            <v>815002001000</v>
          </cell>
        </row>
        <row r="579">
          <cell r="B579" t="str">
            <v>815002002000</v>
          </cell>
        </row>
        <row r="580">
          <cell r="B580" t="str">
            <v>815002003000</v>
          </cell>
        </row>
        <row r="581">
          <cell r="B581" t="str">
            <v>815002004000</v>
          </cell>
        </row>
        <row r="582">
          <cell r="B582" t="str">
            <v>815002005000</v>
          </cell>
        </row>
        <row r="583">
          <cell r="B583" t="str">
            <v>815002006000</v>
          </cell>
        </row>
        <row r="584">
          <cell r="B584" t="str">
            <v>815002007000</v>
          </cell>
        </row>
        <row r="585">
          <cell r="B585" t="str">
            <v>815002008000</v>
          </cell>
        </row>
        <row r="586">
          <cell r="B586" t="str">
            <v>815002009000</v>
          </cell>
        </row>
        <row r="587">
          <cell r="B587" t="str">
            <v>815002010000</v>
          </cell>
        </row>
        <row r="588">
          <cell r="B588" t="str">
            <v>815002011000</v>
          </cell>
        </row>
        <row r="589">
          <cell r="B589" t="str">
            <v>815002012000</v>
          </cell>
        </row>
        <row r="590">
          <cell r="B590" t="str">
            <v>815002016000</v>
          </cell>
        </row>
        <row r="591">
          <cell r="B591" t="str">
            <v>815002018000</v>
          </cell>
        </row>
        <row r="592">
          <cell r="B592" t="str">
            <v>815002019000</v>
          </cell>
        </row>
        <row r="593">
          <cell r="B593" t="str">
            <v>815002020000</v>
          </cell>
        </row>
        <row r="594">
          <cell r="B594" t="str">
            <v>815002021000</v>
          </cell>
        </row>
        <row r="595">
          <cell r="B595" t="str">
            <v>815002023000</v>
          </cell>
        </row>
        <row r="596">
          <cell r="B596" t="str">
            <v>815002025000</v>
          </cell>
        </row>
        <row r="597">
          <cell r="B597" t="str">
            <v>815002026000</v>
          </cell>
        </row>
        <row r="598">
          <cell r="B598" t="str">
            <v>815002027000</v>
          </cell>
        </row>
        <row r="599">
          <cell r="B599" t="str">
            <v>815002030000</v>
          </cell>
        </row>
        <row r="600">
          <cell r="B600" t="str">
            <v>815002031000</v>
          </cell>
        </row>
        <row r="601">
          <cell r="B601" t="str">
            <v>815002033000</v>
          </cell>
        </row>
        <row r="602">
          <cell r="B602" t="str">
            <v>815002013000</v>
          </cell>
        </row>
        <row r="603">
          <cell r="B603" t="str">
            <v>815002014000</v>
          </cell>
        </row>
        <row r="604">
          <cell r="B604" t="str">
            <v>815002028000</v>
          </cell>
        </row>
        <row r="605">
          <cell r="B605" t="str">
            <v>840006000000</v>
          </cell>
        </row>
        <row r="606">
          <cell r="B606" t="str">
            <v>815002035000</v>
          </cell>
        </row>
        <row r="607">
          <cell r="B607" t="str">
            <v>850001011000</v>
          </cell>
        </row>
        <row r="608">
          <cell r="B608" t="str">
            <v>815002034000</v>
          </cell>
        </row>
        <row r="609">
          <cell r="B609" t="str">
            <v>815002034002</v>
          </cell>
        </row>
        <row r="610">
          <cell r="B610" t="str">
            <v>815002034006</v>
          </cell>
        </row>
        <row r="611">
          <cell r="B611" t="str">
            <v>815002050000</v>
          </cell>
        </row>
        <row r="612">
          <cell r="B612" t="str">
            <v>815003000000</v>
          </cell>
        </row>
        <row r="613">
          <cell r="B613" t="str">
            <v>815003001000</v>
          </cell>
        </row>
        <row r="614">
          <cell r="B614" t="str">
            <v>815003003000</v>
          </cell>
        </row>
        <row r="615">
          <cell r="B615" t="str">
            <v>815003004000</v>
          </cell>
        </row>
        <row r="616">
          <cell r="B616" t="str">
            <v>815003005000</v>
          </cell>
        </row>
        <row r="617">
          <cell r="B617" t="str">
            <v>815002034007</v>
          </cell>
        </row>
        <row r="619">
          <cell r="B619" t="str">
            <v>816000000000</v>
          </cell>
        </row>
        <row r="620">
          <cell r="B620" t="str">
            <v>816001000000</v>
          </cell>
        </row>
        <row r="621">
          <cell r="B621" t="str">
            <v>816001001000</v>
          </cell>
        </row>
        <row r="622">
          <cell r="B622" t="str">
            <v>816001004000</v>
          </cell>
        </row>
        <row r="623">
          <cell r="B623" t="str">
            <v>816001005000</v>
          </cell>
        </row>
        <row r="624">
          <cell r="B624" t="str">
            <v>816001007000</v>
          </cell>
        </row>
        <row r="625">
          <cell r="B625" t="str">
            <v>816001008000</v>
          </cell>
        </row>
        <row r="626">
          <cell r="B626" t="str">
            <v>816001009000</v>
          </cell>
        </row>
        <row r="627">
          <cell r="B627" t="str">
            <v>816001011000</v>
          </cell>
        </row>
        <row r="628">
          <cell r="B628" t="str">
            <v>816001012000</v>
          </cell>
        </row>
        <row r="629">
          <cell r="B629" t="str">
            <v>816002000000</v>
          </cell>
        </row>
        <row r="630">
          <cell r="B630" t="str">
            <v>816002001000</v>
          </cell>
        </row>
        <row r="631">
          <cell r="B631" t="str">
            <v>816002002000</v>
          </cell>
        </row>
        <row r="632">
          <cell r="B632" t="str">
            <v>816002004000</v>
          </cell>
        </row>
        <row r="633">
          <cell r="B633" t="str">
            <v>816002006000</v>
          </cell>
        </row>
        <row r="634">
          <cell r="B634" t="str">
            <v>817000000000</v>
          </cell>
        </row>
        <row r="635">
          <cell r="B635" t="str">
            <v>817001000000</v>
          </cell>
        </row>
        <row r="636">
          <cell r="B636" t="str">
            <v>817001001000</v>
          </cell>
        </row>
        <row r="637">
          <cell r="B637" t="str">
            <v>817001002000</v>
          </cell>
        </row>
        <row r="638">
          <cell r="B638" t="str">
            <v>817001004000</v>
          </cell>
        </row>
        <row r="639">
          <cell r="B639" t="str">
            <v>817001005000</v>
          </cell>
        </row>
        <row r="640">
          <cell r="B640" t="str">
            <v>817001007000</v>
          </cell>
        </row>
        <row r="641">
          <cell r="B641" t="str">
            <v>817001008000</v>
          </cell>
        </row>
        <row r="642">
          <cell r="B642" t="str">
            <v>817002000000</v>
          </cell>
        </row>
        <row r="643">
          <cell r="B643" t="str">
            <v>817002010000</v>
          </cell>
        </row>
        <row r="644">
          <cell r="B644" t="str">
            <v>817001011000</v>
          </cell>
        </row>
        <row r="645">
          <cell r="B645" t="str">
            <v>817003000000</v>
          </cell>
        </row>
        <row r="646">
          <cell r="B646" t="str">
            <v>817003001000</v>
          </cell>
        </row>
        <row r="647">
          <cell r="B647" t="str">
            <v>817004000000</v>
          </cell>
        </row>
        <row r="648">
          <cell r="B648" t="str">
            <v>818000000000</v>
          </cell>
        </row>
        <row r="649">
          <cell r="B649" t="str">
            <v>818001000000</v>
          </cell>
        </row>
        <row r="650">
          <cell r="B650" t="str">
            <v>818001001000</v>
          </cell>
        </row>
        <row r="651">
          <cell r="B651" t="str">
            <v>818001002000</v>
          </cell>
        </row>
        <row r="652">
          <cell r="B652" t="str">
            <v>818001004000</v>
          </cell>
        </row>
        <row r="653">
          <cell r="B653" t="str">
            <v>818001005000</v>
          </cell>
        </row>
        <row r="654">
          <cell r="B654" t="str">
            <v>818001007000</v>
          </cell>
        </row>
        <row r="655">
          <cell r="B655" t="str">
            <v>818001008000</v>
          </cell>
        </row>
        <row r="656">
          <cell r="B656" t="str">
            <v>818001011000</v>
          </cell>
        </row>
        <row r="657">
          <cell r="B657" t="str">
            <v>818001012000</v>
          </cell>
        </row>
        <row r="658">
          <cell r="B658" t="str">
            <v>818002000000</v>
          </cell>
        </row>
        <row r="659">
          <cell r="B659" t="str">
            <v>818002001000</v>
          </cell>
        </row>
        <row r="660">
          <cell r="B660" t="str">
            <v>818002002000</v>
          </cell>
        </row>
        <row r="661">
          <cell r="B661" t="str">
            <v>818002003000</v>
          </cell>
        </row>
        <row r="662">
          <cell r="B662" t="str">
            <v>818002005000</v>
          </cell>
        </row>
        <row r="663">
          <cell r="B663" t="str">
            <v>818002006000</v>
          </cell>
        </row>
        <row r="664">
          <cell r="B664" t="str">
            <v>818002007000</v>
          </cell>
        </row>
        <row r="665">
          <cell r="B665" t="str">
            <v>818002010000</v>
          </cell>
        </row>
        <row r="666">
          <cell r="B666" t="str">
            <v>818001009000</v>
          </cell>
        </row>
        <row r="667">
          <cell r="B667" t="str">
            <v>818003000000</v>
          </cell>
        </row>
        <row r="668">
          <cell r="B668" t="str">
            <v>818003001000</v>
          </cell>
        </row>
        <row r="669">
          <cell r="B669" t="str">
            <v>818003002000</v>
          </cell>
        </row>
        <row r="670">
          <cell r="B670" t="str">
            <v>818003004000</v>
          </cell>
        </row>
        <row r="671">
          <cell r="B671" t="str">
            <v>818003005000</v>
          </cell>
        </row>
        <row r="672">
          <cell r="B672" t="str">
            <v>818003007000</v>
          </cell>
        </row>
        <row r="673">
          <cell r="B673" t="str">
            <v>818004000000</v>
          </cell>
        </row>
        <row r="674">
          <cell r="B674" t="str">
            <v>818004001000</v>
          </cell>
        </row>
        <row r="675">
          <cell r="B675" t="str">
            <v>818004002000</v>
          </cell>
        </row>
        <row r="676">
          <cell r="B676" t="str">
            <v>818004003000</v>
          </cell>
        </row>
        <row r="677">
          <cell r="B677" t="str">
            <v>818004004000</v>
          </cell>
        </row>
        <row r="678">
          <cell r="B678" t="str">
            <v>819000000000</v>
          </cell>
        </row>
        <row r="679">
          <cell r="B679" t="str">
            <v>819001000000</v>
          </cell>
        </row>
        <row r="680">
          <cell r="B680" t="str">
            <v>819001001000</v>
          </cell>
        </row>
        <row r="681">
          <cell r="B681" t="str">
            <v>819001004000</v>
          </cell>
        </row>
        <row r="682">
          <cell r="B682" t="str">
            <v>819001005000</v>
          </cell>
        </row>
        <row r="683">
          <cell r="B683" t="str">
            <v>819001007000</v>
          </cell>
        </row>
        <row r="684">
          <cell r="B684" t="str">
            <v>819001008000</v>
          </cell>
        </row>
        <row r="685">
          <cell r="B685" t="str">
            <v>820000000000</v>
          </cell>
        </row>
        <row r="686">
          <cell r="B686" t="str">
            <v>820001000000</v>
          </cell>
        </row>
        <row r="687">
          <cell r="B687" t="str">
            <v>820002000000</v>
          </cell>
        </row>
        <row r="688">
          <cell r="B688" t="str">
            <v>820002000001</v>
          </cell>
        </row>
        <row r="689">
          <cell r="B689" t="str">
            <v>820003000000</v>
          </cell>
        </row>
        <row r="690">
          <cell r="B690" t="str">
            <v>820005000000</v>
          </cell>
        </row>
        <row r="691">
          <cell r="B691" t="str">
            <v>840000000000</v>
          </cell>
        </row>
        <row r="692">
          <cell r="B692" t="str">
            <v>840001000000</v>
          </cell>
        </row>
        <row r="693">
          <cell r="B693" t="str">
            <v>840002000000</v>
          </cell>
        </row>
        <row r="694">
          <cell r="B694" t="str">
            <v>840004000000</v>
          </cell>
        </row>
        <row r="695">
          <cell r="B695" t="str">
            <v>840005000000</v>
          </cell>
        </row>
        <row r="696">
          <cell r="B696" t="str">
            <v>850000000000</v>
          </cell>
        </row>
        <row r="697">
          <cell r="B697" t="str">
            <v>850001000000</v>
          </cell>
        </row>
        <row r="698">
          <cell r="B698" t="str">
            <v>850001001000</v>
          </cell>
        </row>
        <row r="699">
          <cell r="B699" t="str">
            <v>850001002000</v>
          </cell>
        </row>
        <row r="700">
          <cell r="B700" t="str">
            <v>850001003000</v>
          </cell>
        </row>
        <row r="701">
          <cell r="B701" t="str">
            <v>850001007000</v>
          </cell>
        </row>
        <row r="702">
          <cell r="B702" t="str">
            <v>850001008000</v>
          </cell>
        </row>
        <row r="703">
          <cell r="B703" t="str">
            <v>850001009000</v>
          </cell>
        </row>
        <row r="704">
          <cell r="B704" t="str">
            <v>850001013000</v>
          </cell>
        </row>
        <row r="705">
          <cell r="B705" t="str">
            <v>850001006000</v>
          </cell>
        </row>
        <row r="706">
          <cell r="B706" t="str">
            <v>850002000000</v>
          </cell>
        </row>
        <row r="707">
          <cell r="B707" t="str">
            <v>850002005000</v>
          </cell>
        </row>
        <row r="708">
          <cell r="B708" t="str">
            <v>850002010000</v>
          </cell>
        </row>
        <row r="709">
          <cell r="B709" t="str">
            <v>850002014000</v>
          </cell>
        </row>
        <row r="710">
          <cell r="B710" t="str">
            <v>850002016000</v>
          </cell>
        </row>
        <row r="711">
          <cell r="B711" t="str">
            <v>850003000000</v>
          </cell>
        </row>
        <row r="712">
          <cell r="B712" t="str">
            <v>850003001000</v>
          </cell>
        </row>
        <row r="713">
          <cell r="B713" t="str">
            <v>850003002000</v>
          </cell>
        </row>
        <row r="714">
          <cell r="B714" t="str">
            <v>850003003000</v>
          </cell>
        </row>
        <row r="715">
          <cell r="B715" t="str">
            <v>850003004000</v>
          </cell>
        </row>
        <row r="716">
          <cell r="B716" t="str">
            <v>850003005000</v>
          </cell>
        </row>
        <row r="717">
          <cell r="B717" t="str">
            <v>850003006000</v>
          </cell>
        </row>
        <row r="718">
          <cell r="B718" t="str">
            <v>850004000000</v>
          </cell>
        </row>
        <row r="719">
          <cell r="B719" t="str">
            <v>850005000000</v>
          </cell>
        </row>
        <row r="720">
          <cell r="B720" t="str">
            <v>850006000000</v>
          </cell>
        </row>
        <row r="721">
          <cell r="B721" t="str">
            <v>850007000000</v>
          </cell>
        </row>
        <row r="722">
          <cell r="B722" t="str">
            <v>850008000000</v>
          </cell>
        </row>
        <row r="723">
          <cell r="B723" t="str">
            <v>850009000000</v>
          </cell>
        </row>
        <row r="724">
          <cell r="B724" t="str">
            <v>850012000000</v>
          </cell>
        </row>
        <row r="725">
          <cell r="B725" t="str">
            <v>850018000000</v>
          </cell>
        </row>
        <row r="726">
          <cell r="B726" t="str">
            <v>850019000000</v>
          </cell>
        </row>
        <row r="727">
          <cell r="B727" t="str">
            <v>850019001000</v>
          </cell>
        </row>
        <row r="728">
          <cell r="B728" t="str">
            <v>850019002000</v>
          </cell>
        </row>
        <row r="729">
          <cell r="B729" t="str">
            <v>850019003000</v>
          </cell>
        </row>
        <row r="730">
          <cell r="B730" t="str">
            <v>850019004000</v>
          </cell>
        </row>
        <row r="731">
          <cell r="B731" t="str">
            <v>850019005000</v>
          </cell>
        </row>
        <row r="732">
          <cell r="B732" t="str">
            <v>850022000000</v>
          </cell>
        </row>
        <row r="733">
          <cell r="B733" t="str">
            <v>850025000000</v>
          </cell>
        </row>
        <row r="734">
          <cell r="B734" t="str">
            <v>850026000000</v>
          </cell>
        </row>
        <row r="735">
          <cell r="B735" t="str">
            <v>850027000000</v>
          </cell>
        </row>
        <row r="736">
          <cell r="B736" t="str">
            <v>850030000003</v>
          </cell>
        </row>
        <row r="737">
          <cell r="B737" t="str">
            <v>850028000000</v>
          </cell>
        </row>
        <row r="738">
          <cell r="B738" t="str">
            <v>850028001000</v>
          </cell>
        </row>
        <row r="739">
          <cell r="B739" t="str">
            <v>870000000000</v>
          </cell>
        </row>
        <row r="740">
          <cell r="B740" t="str">
            <v>870030000000</v>
          </cell>
        </row>
        <row r="741">
          <cell r="B741" t="str">
            <v>870030001000</v>
          </cell>
        </row>
        <row r="742">
          <cell r="B742" t="str">
            <v>900000000000</v>
          </cell>
        </row>
        <row r="743">
          <cell r="B743" t="str">
            <v>900001000000</v>
          </cell>
        </row>
        <row r="744">
          <cell r="B744" t="str">
            <v>900001001000</v>
          </cell>
        </row>
        <row r="745">
          <cell r="B745" t="str">
            <v>900001002000</v>
          </cell>
        </row>
        <row r="746">
          <cell r="B746" t="str">
            <v>900001003000</v>
          </cell>
        </row>
        <row r="747">
          <cell r="B747" t="str">
            <v>900001004000</v>
          </cell>
        </row>
        <row r="748">
          <cell r="B748" t="str">
            <v>900001006000</v>
          </cell>
        </row>
        <row r="749">
          <cell r="B749" t="str">
            <v>900002000000</v>
          </cell>
        </row>
        <row r="750">
          <cell r="B750" t="str">
            <v>900003000000</v>
          </cell>
        </row>
        <row r="751">
          <cell r="B751" t="str">
            <v>900003001000</v>
          </cell>
        </row>
        <row r="752">
          <cell r="B752" t="str">
            <v>900003002000</v>
          </cell>
        </row>
        <row r="753">
          <cell r="B753" t="str">
            <v>900003003000</v>
          </cell>
        </row>
        <row r="754">
          <cell r="B754" t="str">
            <v>900003004000</v>
          </cell>
        </row>
        <row r="755">
          <cell r="B755" t="str">
            <v>900005000000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CASA CORCOVADO"/>
      <sheetName val="RATES CWL 2023-2024"/>
      <sheetName val="Copy of RATES CWL 2024-2025"/>
      <sheetName val="RATES CWL 2024-2025 (Updated)"/>
      <sheetName val="RATES 2025-2026"/>
      <sheetName val="2025-2026  3 noches CON AUMENTO"/>
      <sheetName val="2025-2026 4 ncohes"/>
      <sheetName val="Precios Lapa Rios"/>
      <sheetName val="CABIAR TARIFAS"/>
      <sheetName val="comparaciòn 2026"/>
      <sheetName val="Room Hierarchy"/>
      <sheetName val="Final 2026 Rates"/>
      <sheetName val="break 2 pax 3 nigths"/>
      <sheetName val="break 1 pax 3 nigths"/>
      <sheetName val="Analisis Precio Hab "/>
      <sheetName val="4 Nights Pack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6-12"/>
      <sheetName val="Venta Masaya"/>
      <sheetName val="Credito Masaya"/>
      <sheetName val="Resumen del Mes"/>
      <sheetName val="Tipo Cambi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ist. Rooms"/>
      <sheetName val="Distr Room Original"/>
      <sheetName val="Rooms Split"/>
      <sheetName val="Dist. Rooms (Marvin)"/>
      <sheetName val="Budget Control"/>
      <sheetName val="Hoja3"/>
      <sheetName val="Hoja6"/>
      <sheetName val="Key Indicators Budget"/>
      <sheetName val="Key Indicators"/>
      <sheetName val="Ingresos A&amp;B"/>
      <sheetName val="Budget Rooms"/>
      <sheetName val="Budget Spa"/>
      <sheetName val="Budget Tours"/>
      <sheetName val="Transportation"/>
      <sheetName val="Innoceana"/>
      <sheetName val="Rooms Service"/>
      <sheetName val="Beach Concierge"/>
      <sheetName val="Budget Otros Ingresos "/>
      <sheetName val="Crowther"/>
      <sheetName val="Retail Gift Shop"/>
      <sheetName val="Budget IT"/>
      <sheetName val="Housing 2024"/>
      <sheetName val="Claro Huerta"/>
      <sheetName val="Budget Utilities"/>
      <sheetName val="leasings"/>
      <sheetName val="Hoja2"/>
      <sheetName val="Hoja1"/>
      <sheetName val="Hoja4"/>
      <sheetName val="Utilites_Presentación"/>
      <sheetName val="Recurso Humano"/>
      <sheetName val="Gastos Operativos"/>
      <sheetName val="Hoja5"/>
      <sheetName val="ANÁLISIS DE ANTIGÜEDAD DE SALDO"/>
      <sheetName val="Pago de Planilla"/>
      <sheetName val="P&amp;L Summary"/>
      <sheetName val="Programas 2023"/>
      <sheetName val="PUNTO EQUILIBRIO"/>
      <sheetName val="Budget Summary"/>
      <sheetName val="Mayo Budget"/>
      <sheetName val="Beneficios Empleados"/>
      <sheetName val="Datos Historicos"/>
      <sheetName val="parametros"/>
      <sheetName val="PRESTAMO BANCARIOS"/>
      <sheetName val="Presentación"/>
      <sheetName val="$Dolares_Flujo USD BANCO"/>
      <sheetName val="Detalle del Préstamo"/>
      <sheetName val="Salarios F&amp;B 2019"/>
      <sheetName val="Stats F&amp;B"/>
      <sheetName val="ESTADO RESULTADO"/>
      <sheetName val="ESTADO RESULTADO2021"/>
      <sheetName val="Aumento Final"/>
      <sheetName val="Distribuido"/>
      <sheetName val="Datos Históricos CL"/>
      <sheetName val="Budget2022 (2)"/>
      <sheetName val="Budget 2021"/>
      <sheetName val="FONDOS EN BANCO"/>
      <sheetName val="Metros cuadrados"/>
      <sheetName val="HOUSING"/>
      <sheetName val="Analisis Departamental"/>
      <sheetName val="Relación Ingreso_Gasto"/>
      <sheetName val="Ingresos Totales"/>
      <sheetName val="Comparativo P&amp;L"/>
      <sheetName val="PRESTAMOS LEASINGS"/>
      <sheetName val="Base de aumentos 2023"/>
      <sheetName val="NOTAS DE FLUJO"/>
      <sheetName val="CHECK PROMEDIO F&amp;b"/>
      <sheetName val="Analisis F&amp;B 2024"/>
      <sheetName val="INGRESOS SPA"/>
      <sheetName val="Budget Sales"/>
      <sheetName val="Budget A&amp;G"/>
      <sheetName val="Budget Mantenimiento"/>
      <sheetName val="tipos de cambio"/>
      <sheetName val="Uniformes-RH"/>
      <sheetName val="Comprativo"/>
      <sheetName val="Conciliación Budget 2023"/>
      <sheetName val="Comparativo F&amp;B"/>
      <sheetName val="Comparativo 2023-Budget (3)"/>
      <sheetName val="Comparativo 2023-Budget (2)"/>
      <sheetName val="Detalle Agua"/>
      <sheetName val="Flow Through Dueños"/>
      <sheetName val="INTERESES DUEÑOS"/>
      <sheetName val="Proyecto Cocina"/>
      <sheetName val="Dividendos Dueños"/>
      <sheetName val="$Dolares_Flujo CRC"/>
      <sheetName val="Formato Banco"/>
      <sheetName val="Bono Incentivo2023"/>
      <sheetName val="Bono Incentivo2023 con Housing"/>
      <sheetName val="Bono Incentivo2023 (2)"/>
      <sheetName val="Comparativo 2023-Budget"/>
      <sheetName val="Comparativo Marzo"/>
      <sheetName val="Analisis de Costo de F&amp;B"/>
      <sheetName val="Comparativo 2023-Budget (4)"/>
      <sheetName val="Programa de Capital-AbrilYTD"/>
      <sheetName val="EFECTIVO A HOY"/>
      <sheetName val="Incentivo 2023 Dueños"/>
      <sheetName val="Incentivo 2022 Dueños"/>
      <sheetName val="FLOW THRU Budget2024"/>
      <sheetName val="Comparativo Ac MAYO  2024"/>
      <sheetName val="Mayo 2024"/>
      <sheetName val="FULL YEAR FORECAST"/>
      <sheetName val="Comparativo Ac Abril  2024"/>
      <sheetName val="Key Metrics YTD"/>
      <sheetName val="Key Metrics AGOSTO"/>
      <sheetName val="Owners Key Metric"/>
      <sheetName val="ANALISIS Utilidad(1)"/>
      <sheetName val="GASTOS FIJOS"/>
      <sheetName val="Headcount Reforecast"/>
      <sheetName val="FULL YEAR FORECAST MODI DUE"/>
      <sheetName val="F&amp;B Analysis"/>
      <sheetName val="Budget 2025"/>
      <sheetName val="CONSOLIDADO"/>
      <sheetName val="Comparativo Ac  SEPTEMBER  2024"/>
      <sheetName val="SEPTEMBER 2024"/>
      <sheetName val="RECREATION"/>
      <sheetName val="BUDGET2025X"/>
      <sheetName val="Budget Cafeteria"/>
      <sheetName val="Owners expenses"/>
      <sheetName val="FLOW THRU"/>
      <sheetName val="Notes to Budget"/>
      <sheetName val="Analisis tipo de cambio"/>
      <sheetName val="TABLA INDICADORES"/>
      <sheetName val="Notas del Presupuesto"/>
      <sheetName val="Commissions Matrix"/>
      <sheetName val="Dias Libres en Costa Rica 2026"/>
      <sheetName val="Capital Dueños-BUDGET"/>
      <sheetName val="CALCULO FLUJO GASTOS"/>
      <sheetName val="Position IVA"/>
      <sheetName val="Department Analysis February"/>
      <sheetName val="February 2025 Analysis"/>
      <sheetName val="January 2025 Analysis"/>
      <sheetName val="FY Budget 2024"/>
      <sheetName val="Headcount Salaries"/>
      <sheetName val="Cash Flow Budget 2025 (2)"/>
      <sheetName val="Q1 Comparison"/>
      <sheetName val="CAPITAL"/>
      <sheetName val="Hoja7"/>
      <sheetName val="P&amp;L Datail comme"/>
      <sheetName val="Reporting Format"/>
      <sheetName val="Reporting Format Q´S"/>
      <sheetName val="Forecast 2025 (Budget)"/>
      <sheetName val="Forecast Analysis CF"/>
      <sheetName val="Full Year vesus OTB"/>
      <sheetName val="Reporting Format Payroll"/>
      <sheetName val="Forecast Reduction"/>
      <sheetName val="Metrics"/>
      <sheetName val="crew for sept oct"/>
      <sheetName val="Sheet9"/>
      <sheetName val="Punto Equilibrio Budget 2021"/>
      <sheetName val="YTD Feb 2025"/>
      <sheetName val="Narratives"/>
      <sheetName val="Cash"/>
      <sheetName val="Presentation"/>
      <sheetName val="Reporting Format (2)"/>
      <sheetName val="OTB Analysis"/>
      <sheetName val="CALCULO PARA FLUJOS INGRESOS"/>
      <sheetName val="Cash Flow Budget 2025"/>
      <sheetName val="Cash Flow funding"/>
      <sheetName val="Mejoras en Forecast"/>
      <sheetName val="Cash Flow Summary"/>
      <sheetName val="Ken Request"/>
      <sheetName val="Ken Request (2)"/>
      <sheetName val="P&amp;L Datail (3)"/>
      <sheetName val="P&amp;L Datail (2)"/>
      <sheetName val="Rol Frs Owners fullY"/>
      <sheetName val="Rol Frs Owners by month"/>
      <sheetName val="2024 Actual"/>
      <sheetName val="bookins by day"/>
      <sheetName val="Budget Laundry"/>
      <sheetName val="Full Year Proforma 2027"/>
      <sheetName val="Sheet3"/>
      <sheetName val="COMMISSIONS LIGIA"/>
      <sheetName val="Marketing Plan"/>
      <sheetName val="Digital marketing"/>
      <sheetName val="Headcount Anaylsisi"/>
      <sheetName val="Deep Maintenance Detail"/>
      <sheetName val="Marketing Detail"/>
      <sheetName val="Hotel Uniforms"/>
      <sheetName val="Operating Equipment"/>
      <sheetName val="Hotel Training"/>
      <sheetName val="ON THE BOOKS"/>
      <sheetName val="ON THE BOOKS (2)"/>
      <sheetName val="Sheet1"/>
      <sheetName val="P&amp;L Datail"/>
      <sheetName val="P&amp;L Datail Owners Donation"/>
      <sheetName val="Sheet5"/>
      <sheetName val="Sheet7"/>
      <sheetName val="DB_LONG"/>
      <sheetName val="summary End"/>
      <sheetName val="Profit&amp;Loss"/>
      <sheetName val="Total Revenue End"/>
      <sheetName val="Payroll End"/>
      <sheetName val="Sheet4"/>
      <sheetName val="Sheet2"/>
      <sheetName val="SSS"/>
      <sheetName val="Estadisticas"/>
      <sheetName val="Simplified P&amp;L YTD"/>
      <sheetName val="Simplified P&amp;LFull Year"/>
      <sheetName val="P&amp;L Datail Owners (2)"/>
      <sheetName val="Headcount2026"/>
      <sheetName val="FULL YEAR ANALYSIS Comm"/>
      <sheetName val="Rate Full Year"/>
      <sheetName val="Payroll analysis"/>
      <sheetName val="Opex"/>
      <sheetName val="Cost"/>
      <sheetName val="Sales"/>
      <sheetName val="Exchange Rate Payroll"/>
      <sheetName val="Property Expenses"/>
      <sheetName val="Rolling Forecast"/>
      <sheetName val="P&amp;L Datail Owners"/>
      <sheetName val="P&amp;L Datail Owners (4)"/>
      <sheetName val="Budget 2025W"/>
      <sheetName val="Ken format"/>
      <sheetName val="Statement of Income"/>
      <sheetName val="P&amp;L Datail Owners (3)"/>
      <sheetName val="New P&amp;L Format"/>
      <sheetName val="CONSOLIDADOV"/>
      <sheetName val="CONSOLIDADOV (3)"/>
      <sheetName val="CONSOLIDADOV (2)"/>
      <sheetName val="FULL YEAR ANALYSIS"/>
      <sheetName val="YTD May"/>
      <sheetName val="Ventas Analyisis"/>
      <sheetName val="Flow Though"/>
      <sheetName val="Flow Though Month"/>
      <sheetName val="Flow Though YTD"/>
      <sheetName val=" Abril  2024 "/>
      <sheetName val="2022-2023 Reales"/>
      <sheetName val="EBITDA"/>
      <sheetName val="EBITD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137">
          <cell r="D137">
            <v>930</v>
          </cell>
          <cell r="E137">
            <v>840</v>
          </cell>
          <cell r="F137">
            <v>930</v>
          </cell>
          <cell r="G137">
            <v>900</v>
          </cell>
          <cell r="H137">
            <v>930</v>
          </cell>
          <cell r="I137">
            <v>900</v>
          </cell>
          <cell r="S137">
            <v>930</v>
          </cell>
          <cell r="T137">
            <v>840</v>
          </cell>
          <cell r="U137">
            <v>930</v>
          </cell>
          <cell r="V137">
            <v>900</v>
          </cell>
          <cell r="W137">
            <v>930</v>
          </cell>
          <cell r="X137">
            <v>900</v>
          </cell>
          <cell r="AH137">
            <v>930</v>
          </cell>
          <cell r="AI137">
            <v>840</v>
          </cell>
          <cell r="AJ137">
            <v>930</v>
          </cell>
          <cell r="AK137">
            <v>900</v>
          </cell>
          <cell r="AL137">
            <v>930</v>
          </cell>
          <cell r="AM137">
            <v>900</v>
          </cell>
        </row>
        <row r="138">
          <cell r="D138">
            <v>637</v>
          </cell>
          <cell r="E138">
            <v>668</v>
          </cell>
          <cell r="F138">
            <v>691</v>
          </cell>
          <cell r="G138">
            <v>473</v>
          </cell>
          <cell r="H138">
            <v>223</v>
          </cell>
          <cell r="I138">
            <v>162</v>
          </cell>
          <cell r="S138">
            <v>454</v>
          </cell>
          <cell r="T138">
            <v>479</v>
          </cell>
          <cell r="U138">
            <v>519</v>
          </cell>
          <cell r="V138">
            <v>239</v>
          </cell>
          <cell r="W138">
            <v>114</v>
          </cell>
          <cell r="X138">
            <v>102</v>
          </cell>
          <cell r="AH138">
            <v>697.5</v>
          </cell>
          <cell r="AI138">
            <v>638.4</v>
          </cell>
          <cell r="AJ138">
            <v>607.70000000000005</v>
          </cell>
          <cell r="AK138">
            <v>332</v>
          </cell>
          <cell r="AL138">
            <v>232.48620689655172</v>
          </cell>
          <cell r="AM138">
            <v>167.65517241379311</v>
          </cell>
        </row>
        <row r="146">
          <cell r="D146">
            <v>427258.49832789315</v>
          </cell>
          <cell r="E146">
            <v>416162.53330521914</v>
          </cell>
          <cell r="F146">
            <v>423979.51899112947</v>
          </cell>
          <cell r="G146">
            <v>319273.43836305937</v>
          </cell>
          <cell r="H146">
            <v>119456.11154330915</v>
          </cell>
          <cell r="I146">
            <v>79310.610823107301</v>
          </cell>
          <cell r="S146">
            <v>214971.94626561698</v>
          </cell>
          <cell r="T146">
            <v>263450.50045211508</v>
          </cell>
          <cell r="U146">
            <v>248335.53941809959</v>
          </cell>
          <cell r="V146">
            <v>118997.86338582674</v>
          </cell>
          <cell r="W146">
            <v>55034.684100090206</v>
          </cell>
          <cell r="X146">
            <v>38706.67120484772</v>
          </cell>
          <cell r="AH146">
            <v>415201.908</v>
          </cell>
          <cell r="AI146">
            <v>372489.83200000005</v>
          </cell>
          <cell r="AJ146">
            <v>359127.62599999999</v>
          </cell>
          <cell r="AK146">
            <v>210916.53</v>
          </cell>
          <cell r="AL146">
            <v>121219.07031034485</v>
          </cell>
          <cell r="AM146">
            <v>92830.95344827589</v>
          </cell>
        </row>
        <row r="147">
          <cell r="D147">
            <v>131471.44275787493</v>
          </cell>
          <cell r="E147">
            <v>146346.45216657882</v>
          </cell>
          <cell r="F147">
            <v>144180.66993694569</v>
          </cell>
          <cell r="G147">
            <v>119211.04015756641</v>
          </cell>
          <cell r="H147">
            <v>46252.904211395544</v>
          </cell>
          <cell r="I147">
            <v>29688.15565325808</v>
          </cell>
          <cell r="S147">
            <v>80561.48840715937</v>
          </cell>
          <cell r="T147">
            <v>92393.988087749691</v>
          </cell>
          <cell r="U147">
            <v>95060.533983855858</v>
          </cell>
          <cell r="V147">
            <v>48647.029980314925</v>
          </cell>
          <cell r="W147">
            <v>22284.112954465229</v>
          </cell>
          <cell r="X147">
            <v>17792.870956952858</v>
          </cell>
          <cell r="AH147">
            <v>151897.82256</v>
          </cell>
          <cell r="AI147">
            <v>139027.3403904</v>
          </cell>
          <cell r="AJ147">
            <v>132341.6584512</v>
          </cell>
          <cell r="AK147">
            <v>72301.185792000018</v>
          </cell>
          <cell r="AL147">
            <v>50629.603731641386</v>
          </cell>
          <cell r="AM147">
            <v>36511.047499034488</v>
          </cell>
        </row>
        <row r="148">
          <cell r="D148">
            <v>183001.89945331117</v>
          </cell>
          <cell r="E148">
            <v>190657.44185556145</v>
          </cell>
          <cell r="F148">
            <v>181006.71839264716</v>
          </cell>
          <cell r="G148">
            <v>127746.56513841778</v>
          </cell>
          <cell r="H148">
            <v>67918.357859967844</v>
          </cell>
          <cell r="I148">
            <v>35312.561432289964</v>
          </cell>
          <cell r="S148">
            <v>84150.314357889787</v>
          </cell>
          <cell r="T148">
            <v>91685.831695235116</v>
          </cell>
          <cell r="U148">
            <v>103416.63285139135</v>
          </cell>
          <cell r="V148">
            <v>68121.600708661426</v>
          </cell>
          <cell r="W148">
            <v>24940.560713025057</v>
          </cell>
          <cell r="X148">
            <v>23452.278743999381</v>
          </cell>
          <cell r="AH148">
            <v>156516.26043600001</v>
          </cell>
          <cell r="AI148">
            <v>143132.67466400002</v>
          </cell>
          <cell r="AJ148">
            <v>137185.17620200003</v>
          </cell>
          <cell r="AK148">
            <v>78055.31061</v>
          </cell>
          <cell r="AL148">
            <v>56352.177398034495</v>
          </cell>
          <cell r="AM148">
            <v>42414.226677586215</v>
          </cell>
        </row>
        <row r="149">
          <cell r="D149">
            <v>125314.45146885075</v>
          </cell>
          <cell r="E149">
            <v>35120.989836584078</v>
          </cell>
          <cell r="F149">
            <v>46985.473677460723</v>
          </cell>
          <cell r="G149">
            <v>30904.362315351787</v>
          </cell>
          <cell r="H149">
            <v>11274.771654569953</v>
          </cell>
          <cell r="I149">
            <v>9591.3648609926367</v>
          </cell>
          <cell r="S149">
            <v>12471.268299847256</v>
          </cell>
          <cell r="T149">
            <v>15628.971693662534</v>
          </cell>
          <cell r="U149">
            <v>16011.263560817915</v>
          </cell>
          <cell r="V149">
            <v>10939.195275590551</v>
          </cell>
          <cell r="W149">
            <v>5052.0297093775725</v>
          </cell>
          <cell r="X149">
            <v>3797.2237546234401</v>
          </cell>
          <cell r="AH149">
            <v>123649.57522123895</v>
          </cell>
          <cell r="AI149">
            <v>32175.360000000001</v>
          </cell>
          <cell r="AJ149">
            <v>30628.080000000005</v>
          </cell>
          <cell r="AK149">
            <v>16732.8</v>
          </cell>
          <cell r="AL149">
            <v>11717.304827586209</v>
          </cell>
          <cell r="AM149">
            <v>8449.8206896551728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2">
          <cell r="D152">
            <v>867046.29200792988</v>
          </cell>
          <cell r="E152">
            <v>788287.41716394352</v>
          </cell>
          <cell r="F152">
            <v>796152.38099818293</v>
          </cell>
          <cell r="G152">
            <v>597135.40597439546</v>
          </cell>
          <cell r="H152">
            <v>244902.14526924246</v>
          </cell>
          <cell r="I152">
            <v>153902.69276964798</v>
          </cell>
          <cell r="S152">
            <v>392155.01733051345</v>
          </cell>
          <cell r="T152">
            <v>463159.2919287624</v>
          </cell>
          <cell r="U152">
            <v>462823.96981416468</v>
          </cell>
          <cell r="V152">
            <v>246705.68935039363</v>
          </cell>
          <cell r="W152">
            <v>107311.38747695807</v>
          </cell>
          <cell r="X152">
            <v>83749.044660423402</v>
          </cell>
          <cell r="AH152">
            <v>847265.56621723901</v>
          </cell>
          <cell r="AI152">
            <v>686825.20705440012</v>
          </cell>
          <cell r="AJ152">
            <v>659282.54065320001</v>
          </cell>
          <cell r="AK152">
            <v>378005.82640199998</v>
          </cell>
          <cell r="AL152">
            <v>239918.15626760694</v>
          </cell>
          <cell r="AM152">
            <v>180206.04831455176</v>
          </cell>
        </row>
        <row r="154">
          <cell r="D154">
            <v>68141.873580711705</v>
          </cell>
          <cell r="E154">
            <v>72564.699462308912</v>
          </cell>
          <cell r="F154">
            <v>64910.65619322432</v>
          </cell>
          <cell r="G154">
            <v>69789.556331108441</v>
          </cell>
          <cell r="H154">
            <v>45717.144725976788</v>
          </cell>
          <cell r="I154">
            <v>41692.89800293107</v>
          </cell>
          <cell r="S154">
            <v>44838.683879685108</v>
          </cell>
          <cell r="T154">
            <v>42881.393281176279</v>
          </cell>
          <cell r="U154">
            <v>50687.536800142807</v>
          </cell>
          <cell r="V154">
            <v>40617.966003937014</v>
          </cell>
          <cell r="W154">
            <v>36834.944601325646</v>
          </cell>
          <cell r="X154">
            <v>32809.281478712517</v>
          </cell>
          <cell r="AH154">
            <v>55003.722500802432</v>
          </cell>
          <cell r="AI154">
            <v>54165.347678010883</v>
          </cell>
          <cell r="AJ154">
            <v>53750.368066263203</v>
          </cell>
          <cell r="AK154">
            <v>53239.648656185833</v>
          </cell>
          <cell r="AL154">
            <v>48634.500270677345</v>
          </cell>
          <cell r="AM154">
            <v>44655.060047198043</v>
          </cell>
        </row>
        <row r="155">
          <cell r="D155">
            <v>84595.525882612099</v>
          </cell>
          <cell r="E155">
            <v>87353.52158144438</v>
          </cell>
          <cell r="F155">
            <v>89823.773217911716</v>
          </cell>
          <cell r="G155">
            <v>85105.977240398308</v>
          </cell>
          <cell r="H155">
            <v>47548.557108088142</v>
          </cell>
          <cell r="I155">
            <v>42947.657370343608</v>
          </cell>
          <cell r="S155">
            <v>56045.804840794262</v>
          </cell>
          <cell r="T155">
            <v>53707.27170152538</v>
          </cell>
          <cell r="U155">
            <v>57791.681878582342</v>
          </cell>
          <cell r="V155">
            <v>37105.513385826765</v>
          </cell>
          <cell r="W155">
            <v>30025.630329058313</v>
          </cell>
          <cell r="X155">
            <v>21363.368969859126</v>
          </cell>
          <cell r="AH155">
            <v>77557.096276857337</v>
          </cell>
          <cell r="AI155">
            <v>73863.990004129053</v>
          </cell>
          <cell r="AJ155">
            <v>72043.100616695636</v>
          </cell>
          <cell r="AK155">
            <v>56695.025369985437</v>
          </cell>
          <cell r="AL155">
            <v>39249.898902177592</v>
          </cell>
          <cell r="AM155">
            <v>35443.694024093696</v>
          </cell>
        </row>
        <row r="156">
          <cell r="D156">
            <v>84416.551905801301</v>
          </cell>
          <cell r="E156">
            <v>105271.82536636795</v>
          </cell>
          <cell r="F156">
            <v>73859.836806668813</v>
          </cell>
          <cell r="G156">
            <v>77663.171580041584</v>
          </cell>
          <cell r="H156">
            <v>58007.553739840929</v>
          </cell>
          <cell r="I156">
            <v>44144.325940022311</v>
          </cell>
          <cell r="S156">
            <v>59765.565934281112</v>
          </cell>
          <cell r="T156">
            <v>64847.289707501172</v>
          </cell>
          <cell r="U156">
            <v>69578.18202732988</v>
          </cell>
          <cell r="V156">
            <v>61482.163051181102</v>
          </cell>
          <cell r="W156">
            <v>37735.885378672006</v>
          </cell>
          <cell r="X156">
            <v>42938.871370110966</v>
          </cell>
          <cell r="AH156">
            <v>72317.730557761155</v>
          </cell>
          <cell r="AI156">
            <v>68600.326561393478</v>
          </cell>
          <cell r="AJ156">
            <v>68020.650795262889</v>
          </cell>
          <cell r="AK156">
            <v>56137.421252619155</v>
          </cell>
          <cell r="AL156">
            <v>49128.247257852971</v>
          </cell>
          <cell r="AM156">
            <v>46186.931189632603</v>
          </cell>
        </row>
        <row r="157">
          <cell r="D157">
            <v>237153.9513691251</v>
          </cell>
          <cell r="E157">
            <v>265190.04641012126</v>
          </cell>
          <cell r="F157">
            <v>228594.26621780483</v>
          </cell>
          <cell r="G157">
            <v>232558.70515154832</v>
          </cell>
          <cell r="H157">
            <v>151273.25557390586</v>
          </cell>
          <cell r="I157">
            <v>128784.881313297</v>
          </cell>
          <cell r="S157">
            <v>160650.05465476046</v>
          </cell>
          <cell r="T157">
            <v>161435.95469020284</v>
          </cell>
          <cell r="U157">
            <v>178057.40070605505</v>
          </cell>
          <cell r="V157">
            <v>139205.64244094488</v>
          </cell>
          <cell r="W157">
            <v>104596.46030905595</v>
          </cell>
          <cell r="X157">
            <v>97111.52181868261</v>
          </cell>
          <cell r="AH157">
            <v>204878.54933542092</v>
          </cell>
          <cell r="AI157">
            <v>196629.66424353342</v>
          </cell>
          <cell r="AJ157">
            <v>193814.11947822172</v>
          </cell>
          <cell r="AK157">
            <v>166072.09527879042</v>
          </cell>
          <cell r="AL157">
            <v>137012.64643070789</v>
          </cell>
          <cell r="AM157">
            <v>126285.68526092434</v>
          </cell>
        </row>
        <row r="158">
          <cell r="D158">
            <v>629892.34063880472</v>
          </cell>
          <cell r="E158">
            <v>523097.37075382227</v>
          </cell>
          <cell r="F158">
            <v>567558.11478037806</v>
          </cell>
          <cell r="G158">
            <v>364576.70082284714</v>
          </cell>
          <cell r="H158">
            <v>93628.889695336606</v>
          </cell>
          <cell r="I158">
            <v>25117.811456350988</v>
          </cell>
          <cell r="S158">
            <v>231504.96267575299</v>
          </cell>
          <cell r="T158">
            <v>301723.33723855956</v>
          </cell>
          <cell r="U158">
            <v>284766.56910810963</v>
          </cell>
          <cell r="V158">
            <v>107500.04690944875</v>
          </cell>
          <cell r="W158">
            <v>2714.9271679021185</v>
          </cell>
          <cell r="X158">
            <v>-13362.477158259207</v>
          </cell>
          <cell r="AH158">
            <v>642387.01688181807</v>
          </cell>
          <cell r="AI158">
            <v>490195.54281086673</v>
          </cell>
          <cell r="AJ158">
            <v>465468.42117497826</v>
          </cell>
          <cell r="AK158">
            <v>211933.73112320955</v>
          </cell>
          <cell r="AL158">
            <v>102905.50983689906</v>
          </cell>
          <cell r="AM158">
            <v>53920.363053627429</v>
          </cell>
        </row>
        <row r="161">
          <cell r="D161">
            <v>61074.450267336848</v>
          </cell>
          <cell r="E161">
            <v>61494.516078017929</v>
          </cell>
          <cell r="F161">
            <v>63924.121021694984</v>
          </cell>
          <cell r="G161">
            <v>66503.418601597543</v>
          </cell>
          <cell r="H161">
            <v>61111.421834934154</v>
          </cell>
          <cell r="I161">
            <v>64439.857317846763</v>
          </cell>
          <cell r="S161">
            <v>57058.317882739982</v>
          </cell>
          <cell r="T161">
            <v>52139.614974838805</v>
          </cell>
          <cell r="U161">
            <v>53411.161480335577</v>
          </cell>
          <cell r="V161">
            <v>49350.081811023629</v>
          </cell>
          <cell r="W161">
            <v>46799.072694826842</v>
          </cell>
          <cell r="X161">
            <v>50534.98451640828</v>
          </cell>
          <cell r="AH161">
            <v>56416.877259072207</v>
          </cell>
          <cell r="AI161">
            <v>64808.773457106086</v>
          </cell>
          <cell r="AJ161">
            <v>58508.799153392567</v>
          </cell>
          <cell r="AK161">
            <v>61572.499083365663</v>
          </cell>
          <cell r="AL161">
            <v>56631.95183665659</v>
          </cell>
          <cell r="AM161">
            <v>55322.494819513595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D164">
            <v>4539.4660071690323</v>
          </cell>
          <cell r="E164">
            <v>4545.5180390089618</v>
          </cell>
          <cell r="F164">
            <v>4080.5771935449393</v>
          </cell>
          <cell r="G164">
            <v>6415.4993762993763</v>
          </cell>
          <cell r="H164">
            <v>3323.0735581728891</v>
          </cell>
          <cell r="I164">
            <v>4650.8902596408334</v>
          </cell>
          <cell r="S164">
            <v>2991.9002075745111</v>
          </cell>
          <cell r="T164">
            <v>1999.2940320805158</v>
          </cell>
          <cell r="U164">
            <v>4189.6945915392398</v>
          </cell>
          <cell r="V164">
            <v>6545.981692913384</v>
          </cell>
          <cell r="W164">
            <v>3376.4502490489076</v>
          </cell>
          <cell r="X164">
            <v>3089.1544030849141</v>
          </cell>
          <cell r="AH164">
            <v>5151.0625031563313</v>
          </cell>
          <cell r="AI164">
            <v>5584.4227342444747</v>
          </cell>
          <cell r="AJ164">
            <v>6514.5143920694072</v>
          </cell>
          <cell r="AK164">
            <v>6416.8227374416347</v>
          </cell>
          <cell r="AL164">
            <v>5657.1093133610693</v>
          </cell>
          <cell r="AM164">
            <v>5038.8569306824284</v>
          </cell>
        </row>
        <row r="165">
          <cell r="D165">
            <v>56563.827362476717</v>
          </cell>
          <cell r="E165">
            <v>50098.43373748022</v>
          </cell>
          <cell r="F165">
            <v>54358.32685689858</v>
          </cell>
          <cell r="G165">
            <v>53476.399693620748</v>
          </cell>
          <cell r="H165">
            <v>74860.587205006741</v>
          </cell>
          <cell r="I165">
            <v>61426.625084760584</v>
          </cell>
          <cell r="S165">
            <v>31538.542650687345</v>
          </cell>
          <cell r="T165">
            <v>24528.852531844626</v>
          </cell>
          <cell r="U165">
            <v>44556.191210011704</v>
          </cell>
          <cell r="V165">
            <v>28542.020137795276</v>
          </cell>
          <cell r="W165">
            <v>44291.044240498879</v>
          </cell>
          <cell r="X165">
            <v>38478.781281970572</v>
          </cell>
          <cell r="AH165">
            <v>43991.721051078122</v>
          </cell>
          <cell r="AI165">
            <v>38532.205574447209</v>
          </cell>
          <cell r="AJ165">
            <v>50142.205574447209</v>
          </cell>
          <cell r="AK165">
            <v>43225.903519491469</v>
          </cell>
          <cell r="AL165">
            <v>54205.505958980677</v>
          </cell>
          <cell r="AM165">
            <v>56511.010195240786</v>
          </cell>
        </row>
        <row r="166">
          <cell r="D166">
            <v>43611.775637302999</v>
          </cell>
          <cell r="E166">
            <v>34404.924132841326</v>
          </cell>
          <cell r="F166">
            <v>27763.509372662174</v>
          </cell>
          <cell r="G166">
            <v>27128.192340518654</v>
          </cell>
          <cell r="H166">
            <v>20117.779173366944</v>
          </cell>
          <cell r="I166">
            <v>20916.735350088587</v>
          </cell>
          <cell r="S166">
            <v>35445.780166842917</v>
          </cell>
          <cell r="T166">
            <v>35741.268025632962</v>
          </cell>
          <cell r="U166">
            <v>38073.24319232066</v>
          </cell>
          <cell r="V166">
            <v>30407.230728346462</v>
          </cell>
          <cell r="W166">
            <v>28831.285641448012</v>
          </cell>
          <cell r="X166">
            <v>23706.898127016604</v>
          </cell>
          <cell r="AH166">
            <v>40432.623145182006</v>
          </cell>
          <cell r="AI166">
            <v>36132.582831267107</v>
          </cell>
          <cell r="AJ166">
            <v>39632.607698641121</v>
          </cell>
          <cell r="AK166">
            <v>41533.91421993565</v>
          </cell>
          <cell r="AL166">
            <v>37001.763945903207</v>
          </cell>
          <cell r="AM166">
            <v>26442.561089255818</v>
          </cell>
        </row>
        <row r="167">
          <cell r="D167">
            <v>29461.889981376535</v>
          </cell>
          <cell r="E167">
            <v>30633.288350026356</v>
          </cell>
          <cell r="F167">
            <v>32034.057924548462</v>
          </cell>
          <cell r="G167">
            <v>35015.653047379368</v>
          </cell>
          <cell r="H167">
            <v>28813.086096744752</v>
          </cell>
          <cell r="I167">
            <v>25545.919373537195</v>
          </cell>
          <cell r="S167">
            <v>28807.76845650726</v>
          </cell>
          <cell r="T167">
            <v>24719.034301777006</v>
          </cell>
          <cell r="U167">
            <v>27546.912020784992</v>
          </cell>
          <cell r="V167">
            <v>20876.018169291336</v>
          </cell>
          <cell r="W167">
            <v>21898.790210613013</v>
          </cell>
          <cell r="X167">
            <v>16483.307173211615</v>
          </cell>
          <cell r="AH167">
            <v>29575</v>
          </cell>
          <cell r="AI167">
            <v>29575</v>
          </cell>
          <cell r="AJ167">
            <v>29575</v>
          </cell>
          <cell r="AK167">
            <v>29575</v>
          </cell>
          <cell r="AL167">
            <v>29575</v>
          </cell>
          <cell r="AM167">
            <v>29575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-1.8579713223516592E-3</v>
          </cell>
          <cell r="H168">
            <v>0</v>
          </cell>
          <cell r="I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71">
          <cell r="D171">
            <v>195251.40925566212</v>
          </cell>
          <cell r="E171">
            <v>181176.6803373748</v>
          </cell>
          <cell r="F171">
            <v>182160.59236934915</v>
          </cell>
          <cell r="G171">
            <v>188539.16120144434</v>
          </cell>
          <cell r="H171">
            <v>188225.94786822546</v>
          </cell>
          <cell r="I171">
            <v>176980.02738587395</v>
          </cell>
          <cell r="S171">
            <v>155842.30936435203</v>
          </cell>
          <cell r="T171">
            <v>139128.06386617391</v>
          </cell>
          <cell r="U171">
            <v>167777.20249499218</v>
          </cell>
          <cell r="V171">
            <v>135721.33253937008</v>
          </cell>
          <cell r="W171">
            <v>145196.64303643568</v>
          </cell>
          <cell r="X171">
            <v>132293.125501692</v>
          </cell>
          <cell r="AH171">
            <v>175567.28395848867</v>
          </cell>
          <cell r="AI171">
            <v>174632.9845970649</v>
          </cell>
          <cell r="AJ171">
            <v>184373.12681855028</v>
          </cell>
          <cell r="AK171">
            <v>182324.13956023441</v>
          </cell>
          <cell r="AL171">
            <v>183071.33105490153</v>
          </cell>
          <cell r="AM171">
            <v>172889.92303469262</v>
          </cell>
        </row>
        <row r="172">
          <cell r="D172">
            <v>434640.9313831426</v>
          </cell>
          <cell r="E172">
            <v>341920.69041644747</v>
          </cell>
          <cell r="F172">
            <v>385397.52241102891</v>
          </cell>
          <cell r="G172">
            <v>176037.5396214028</v>
          </cell>
          <cell r="H172">
            <v>-94597.05817288885</v>
          </cell>
          <cell r="I172">
            <v>-151862.21592952296</v>
          </cell>
          <cell r="S172">
            <v>75662.653311400965</v>
          </cell>
          <cell r="T172">
            <v>162595.27337238565</v>
          </cell>
          <cell r="U172">
            <v>116989.36661311745</v>
          </cell>
          <cell r="V172">
            <v>-28221.285629921331</v>
          </cell>
          <cell r="W172">
            <v>-142481.71586853356</v>
          </cell>
          <cell r="X172">
            <v>-145655.6026599512</v>
          </cell>
          <cell r="AH172">
            <v>466819.7329233294</v>
          </cell>
          <cell r="AI172">
            <v>315562.55821380182</v>
          </cell>
          <cell r="AJ172">
            <v>281095.29435642797</v>
          </cell>
          <cell r="AK172">
            <v>29609.59156297514</v>
          </cell>
          <cell r="AL172">
            <v>-80165.821218002471</v>
          </cell>
          <cell r="AM172">
            <v>-118969.55998106519</v>
          </cell>
        </row>
        <row r="176">
          <cell r="D176">
            <v>32315.851492881029</v>
          </cell>
          <cell r="E176">
            <v>23639.071396942541</v>
          </cell>
          <cell r="F176">
            <v>23866.586833386769</v>
          </cell>
          <cell r="G176">
            <v>17905.652981726667</v>
          </cell>
          <cell r="H176">
            <v>7339.6192794124036</v>
          </cell>
          <cell r="I176">
            <v>4999.9993656626639</v>
          </cell>
          <cell r="S176">
            <v>10665.217757411976</v>
          </cell>
          <cell r="T176">
            <v>11849.481050479635</v>
          </cell>
          <cell r="U176">
            <v>27819.295432458697</v>
          </cell>
          <cell r="V176">
            <v>7394.6199015748034</v>
          </cell>
          <cell r="W176">
            <v>4615.6868259010862</v>
          </cell>
          <cell r="X176">
            <v>5000</v>
          </cell>
          <cell r="AH176">
            <v>22763.099729879999</v>
          </cell>
          <cell r="AI176">
            <v>20604.756211632004</v>
          </cell>
          <cell r="AJ176">
            <v>19778.476219595999</v>
          </cell>
          <cell r="AK176">
            <v>11340.174792060001</v>
          </cell>
          <cell r="AL176">
            <v>7197.5446880282079</v>
          </cell>
          <cell r="AM176">
            <v>5406.1814494365526</v>
          </cell>
        </row>
        <row r="177">
          <cell r="D177">
            <v>402325.07989026158</v>
          </cell>
          <cell r="E177">
            <v>318281.61901950493</v>
          </cell>
          <cell r="F177">
            <v>361530.93557764217</v>
          </cell>
          <cell r="G177">
            <v>158131.88663967614</v>
          </cell>
          <cell r="H177">
            <v>-101936.67745230126</v>
          </cell>
          <cell r="I177">
            <v>-156862.21529518563</v>
          </cell>
          <cell r="S177">
            <v>64997.435553988988</v>
          </cell>
          <cell r="T177">
            <v>150745.79232190602</v>
          </cell>
          <cell r="U177">
            <v>89170.071180658764</v>
          </cell>
          <cell r="V177">
            <v>-35615.905531496137</v>
          </cell>
          <cell r="W177">
            <v>-147097.40269443466</v>
          </cell>
          <cell r="X177">
            <v>-150655.6026599512</v>
          </cell>
          <cell r="AH177">
            <v>444056.63319344941</v>
          </cell>
          <cell r="AI177">
            <v>294957.80200216983</v>
          </cell>
          <cell r="AJ177">
            <v>261316.81813683198</v>
          </cell>
          <cell r="AK177">
            <v>18269.416770915137</v>
          </cell>
          <cell r="AL177">
            <v>-87363.365906030682</v>
          </cell>
          <cell r="AM177">
            <v>-124375.74143050174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80">
          <cell r="D180">
            <v>869.08304463624165</v>
          </cell>
          <cell r="E180">
            <v>2002.2329994728518</v>
          </cell>
          <cell r="F180">
            <v>709.57571871326275</v>
          </cell>
          <cell r="G180">
            <v>716.19214356056466</v>
          </cell>
          <cell r="H180">
            <v>4204.7308444521714</v>
          </cell>
          <cell r="I180">
            <v>2279.883675656758</v>
          </cell>
          <cell r="S180">
            <v>1754.1025339756393</v>
          </cell>
          <cell r="T180">
            <v>6324.748584683126</v>
          </cell>
          <cell r="U180">
            <v>1956.8124392614191</v>
          </cell>
          <cell r="V180">
            <v>2354.9595669291339</v>
          </cell>
          <cell r="W180">
            <v>2155.4659175589286</v>
          </cell>
          <cell r="X180">
            <v>1960.922719760762</v>
          </cell>
          <cell r="AH180">
            <v>1754</v>
          </cell>
          <cell r="AI180">
            <v>1754</v>
          </cell>
          <cell r="AJ180">
            <v>1754</v>
          </cell>
          <cell r="AK180">
            <v>1754</v>
          </cell>
          <cell r="AL180">
            <v>1754</v>
          </cell>
          <cell r="AM180">
            <v>1754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D182">
            <v>3359.8764242946108</v>
          </cell>
          <cell r="E182">
            <v>4657.5995150237222</v>
          </cell>
          <cell r="F182">
            <v>4105.4037191407506</v>
          </cell>
          <cell r="G182">
            <v>3696.7623591202541</v>
          </cell>
          <cell r="H182">
            <v>3932.1693033160936</v>
          </cell>
          <cell r="I182">
            <v>3201.7033269899598</v>
          </cell>
          <cell r="S182">
            <v>2365.0721027689656</v>
          </cell>
          <cell r="T182">
            <v>2273.8635791791162</v>
          </cell>
          <cell r="U182">
            <v>2711.0880783800399</v>
          </cell>
          <cell r="V182">
            <v>2690.8616535433071</v>
          </cell>
          <cell r="W182">
            <v>3039.4953720045496</v>
          </cell>
          <cell r="X182">
            <v>3159.4975407255843</v>
          </cell>
          <cell r="AH182">
            <v>5300</v>
          </cell>
          <cell r="AI182">
            <v>5300</v>
          </cell>
          <cell r="AJ182">
            <v>5300</v>
          </cell>
          <cell r="AK182">
            <v>5300</v>
          </cell>
          <cell r="AL182">
            <v>5300</v>
          </cell>
          <cell r="AM182">
            <v>5300</v>
          </cell>
        </row>
        <row r="183">
          <cell r="D183">
            <v>2014.7524480845866</v>
          </cell>
          <cell r="E183">
            <v>4185.7824354243539</v>
          </cell>
          <cell r="F183">
            <v>5588.9920273591979</v>
          </cell>
          <cell r="G183">
            <v>8359.137805011489</v>
          </cell>
          <cell r="H183">
            <v>2128.1510061280369</v>
          </cell>
          <cell r="I183">
            <v>2546.9736421899952</v>
          </cell>
          <cell r="S183">
            <v>2046.3636470450008</v>
          </cell>
          <cell r="T183">
            <v>790.39088300047172</v>
          </cell>
          <cell r="U183">
            <v>4222.9497431625705</v>
          </cell>
          <cell r="V183">
            <v>2876.3603149606297</v>
          </cell>
          <cell r="W183">
            <v>442.87480880103539</v>
          </cell>
          <cell r="X183">
            <v>4941.5354725741718</v>
          </cell>
          <cell r="AH183">
            <v>1200</v>
          </cell>
          <cell r="AI183">
            <v>1200</v>
          </cell>
          <cell r="AJ183">
            <v>1200</v>
          </cell>
          <cell r="AK183">
            <v>1200</v>
          </cell>
          <cell r="AL183">
            <v>1200</v>
          </cell>
          <cell r="AM183">
            <v>1200</v>
          </cell>
        </row>
        <row r="184">
          <cell r="D184">
            <v>6243.7119170154392</v>
          </cell>
          <cell r="E184">
            <v>10845.614949920928</v>
          </cell>
          <cell r="F184">
            <v>10403.971465213212</v>
          </cell>
          <cell r="G184">
            <v>12772.092307692308</v>
          </cell>
          <cell r="H184">
            <v>10265.051153896302</v>
          </cell>
          <cell r="I184">
            <v>8028.5606448367134</v>
          </cell>
          <cell r="S184">
            <v>6165.5382837896059</v>
          </cell>
          <cell r="T184">
            <v>9389.0030468627137</v>
          </cell>
          <cell r="U184">
            <v>8890.8502608040289</v>
          </cell>
          <cell r="V184">
            <v>7922.1815354330702</v>
          </cell>
          <cell r="W184">
            <v>5637.8360983645134</v>
          </cell>
          <cell r="X184">
            <v>10061.955733060517</v>
          </cell>
          <cell r="AH184">
            <v>8254</v>
          </cell>
          <cell r="AI184">
            <v>8254</v>
          </cell>
          <cell r="AJ184">
            <v>8254</v>
          </cell>
          <cell r="AK184">
            <v>8254</v>
          </cell>
          <cell r="AL184">
            <v>8254</v>
          </cell>
          <cell r="AM184">
            <v>8254</v>
          </cell>
        </row>
        <row r="185">
          <cell r="D185">
            <v>396081.36797324615</v>
          </cell>
          <cell r="E185">
            <v>307436.00406958401</v>
          </cell>
          <cell r="F185">
            <v>351126.96411242895</v>
          </cell>
          <cell r="G185">
            <v>145359.79433198384</v>
          </cell>
          <cell r="H185">
            <v>-112201.72860619756</v>
          </cell>
          <cell r="I185">
            <v>-164890.77594002234</v>
          </cell>
          <cell r="S185">
            <v>58831.897270199384</v>
          </cell>
          <cell r="T185">
            <v>141356.78927504329</v>
          </cell>
          <cell r="U185">
            <v>80279.220919854735</v>
          </cell>
          <cell r="V185">
            <v>-43538.087066929205</v>
          </cell>
          <cell r="W185">
            <v>-152735.23879279918</v>
          </cell>
          <cell r="X185">
            <v>-160717.55839301171</v>
          </cell>
          <cell r="AH185">
            <v>435802.63319344941</v>
          </cell>
          <cell r="AI185">
            <v>286703.80200216983</v>
          </cell>
          <cell r="AJ185">
            <v>253062.81813683198</v>
          </cell>
          <cell r="AK185">
            <v>10015.416770915137</v>
          </cell>
          <cell r="AL185">
            <v>-95617.365906030682</v>
          </cell>
          <cell r="AM185">
            <v>-132629.74143050174</v>
          </cell>
        </row>
        <row r="186">
          <cell r="D186">
            <v>34775.318421210723</v>
          </cell>
          <cell r="E186">
            <v>55157.834391143908</v>
          </cell>
          <cell r="F186">
            <v>32124.414962060484</v>
          </cell>
          <cell r="G186">
            <v>45960.602451034036</v>
          </cell>
          <cell r="H186">
            <v>9786.1601112608114</v>
          </cell>
          <cell r="I186">
            <v>6814.2334580134302</v>
          </cell>
          <cell r="S186">
            <v>31400.830004308147</v>
          </cell>
          <cell r="T186">
            <v>44726.436601666923</v>
          </cell>
          <cell r="U186">
            <v>45805.881820868293</v>
          </cell>
          <cell r="V186">
            <v>36952.26037401575</v>
          </cell>
          <cell r="W186">
            <v>4292.4555045691668</v>
          </cell>
          <cell r="X186">
            <v>31692.380007082713</v>
          </cell>
          <cell r="AH186">
            <v>30350.799639839999</v>
          </cell>
          <cell r="AI186">
            <v>27473.008282176004</v>
          </cell>
          <cell r="AJ186">
            <v>26371.301626127999</v>
          </cell>
          <cell r="AK186">
            <v>15120.233056080002</v>
          </cell>
          <cell r="AL186">
            <v>9596.7262507042778</v>
          </cell>
          <cell r="AM186">
            <v>7208.2419325820711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D188">
            <v>361306.0495520354</v>
          </cell>
          <cell r="E188">
            <v>252278.16967844011</v>
          </cell>
          <cell r="F188">
            <v>319002.54915036849</v>
          </cell>
          <cell r="G188">
            <v>99399.191880949802</v>
          </cell>
          <cell r="H188">
            <v>-121987.88871745838</v>
          </cell>
          <cell r="I188">
            <v>-171705.00939803576</v>
          </cell>
          <cell r="S188">
            <v>27431.067265891237</v>
          </cell>
          <cell r="T188">
            <v>96630.352673376372</v>
          </cell>
          <cell r="U188">
            <v>34473.339098986442</v>
          </cell>
          <cell r="V188">
            <v>-80490.347440944955</v>
          </cell>
          <cell r="W188">
            <v>-157027.69429736835</v>
          </cell>
          <cell r="X188">
            <v>-192409.93840009443</v>
          </cell>
          <cell r="AH188">
            <v>405451.83355360944</v>
          </cell>
          <cell r="AI188">
            <v>259230.79371999382</v>
          </cell>
          <cell r="AJ188">
            <v>226691.51651070398</v>
          </cell>
          <cell r="AK188">
            <v>-5104.8162851648649</v>
          </cell>
          <cell r="AL188">
            <v>-105214.09215673496</v>
          </cell>
          <cell r="AM188">
            <v>-139837.98336308383</v>
          </cell>
        </row>
        <row r="189">
          <cell r="D189">
            <v>650.96900094118587</v>
          </cell>
          <cell r="E189">
            <v>1142.3134211913543</v>
          </cell>
          <cell r="F189">
            <v>1106.9025328630969</v>
          </cell>
          <cell r="G189">
            <v>1102.6726118831382</v>
          </cell>
          <cell r="H189">
            <v>256.85820765787287</v>
          </cell>
          <cell r="I189">
            <v>230.41301922698327</v>
          </cell>
          <cell r="S189">
            <v>163.00687345787816</v>
          </cell>
          <cell r="T189">
            <v>-383.18953451800576</v>
          </cell>
          <cell r="U189">
            <v>-286.68610301263357</v>
          </cell>
          <cell r="V189">
            <v>443.07289370078786</v>
          </cell>
          <cell r="W189">
            <v>-1689.1033062713259</v>
          </cell>
          <cell r="X189">
            <v>103.63744392854341</v>
          </cell>
          <cell r="AH189">
            <v>-226.01196490815801</v>
          </cell>
          <cell r="AI189">
            <v>-226.01196490815806</v>
          </cell>
          <cell r="AJ189">
            <v>-226.01196490815806</v>
          </cell>
          <cell r="AK189">
            <v>-226.01196490815806</v>
          </cell>
          <cell r="AL189">
            <v>-226.01196490815806</v>
          </cell>
          <cell r="AM189">
            <v>-226.01196490815806</v>
          </cell>
        </row>
        <row r="191">
          <cell r="D191">
            <v>135984.04447603979</v>
          </cell>
          <cell r="E191">
            <v>26287.542688455458</v>
          </cell>
          <cell r="F191">
            <v>27002.029518007912</v>
          </cell>
          <cell r="G191">
            <v>27670.265368202199</v>
          </cell>
          <cell r="H191">
            <v>28002.444087096352</v>
          </cell>
          <cell r="I191">
            <v>28193.373843428042</v>
          </cell>
          <cell r="S191">
            <v>15217.816727372425</v>
          </cell>
          <cell r="T191">
            <v>15346.635398647586</v>
          </cell>
          <cell r="U191">
            <v>15588.099641022591</v>
          </cell>
          <cell r="V191">
            <v>15471.802598425193</v>
          </cell>
          <cell r="W191">
            <v>15437.664960583603</v>
          </cell>
          <cell r="X191">
            <v>16110.825430864877</v>
          </cell>
          <cell r="AH191">
            <v>135694.68864102103</v>
          </cell>
          <cell r="AI191">
            <v>26583.333333333332</v>
          </cell>
          <cell r="AJ191">
            <v>26583.333333333332</v>
          </cell>
          <cell r="AK191">
            <v>26583.333333333332</v>
          </cell>
          <cell r="AL191">
            <v>26583.333333333332</v>
          </cell>
          <cell r="AM191">
            <v>26583.333333333332</v>
          </cell>
        </row>
        <row r="192">
          <cell r="D192">
            <v>135984.04447603979</v>
          </cell>
          <cell r="E192">
            <v>26287.542688455458</v>
          </cell>
          <cell r="F192">
            <v>27002.029518007912</v>
          </cell>
          <cell r="G192">
            <v>27670.265368202199</v>
          </cell>
          <cell r="H192">
            <v>28002.444087096352</v>
          </cell>
          <cell r="I192">
            <v>28193.373843428042</v>
          </cell>
          <cell r="S192">
            <v>15217.816727372425</v>
          </cell>
          <cell r="T192">
            <v>15346.635398647586</v>
          </cell>
          <cell r="U192">
            <v>15588.099641022591</v>
          </cell>
          <cell r="V192">
            <v>15471.802598425193</v>
          </cell>
          <cell r="W192">
            <v>15437.664960583603</v>
          </cell>
          <cell r="X192">
            <v>16110.825430864877</v>
          </cell>
          <cell r="AH192">
            <v>135694.68864102103</v>
          </cell>
          <cell r="AI192">
            <v>26583.333333333332</v>
          </cell>
          <cell r="AJ192">
            <v>26583.333333333332</v>
          </cell>
          <cell r="AK192">
            <v>26583.333333333332</v>
          </cell>
          <cell r="AL192">
            <v>26583.333333333332</v>
          </cell>
          <cell r="AM192">
            <v>26583.333333333332</v>
          </cell>
        </row>
        <row r="193">
          <cell r="D193">
            <v>225972.97407693681</v>
          </cell>
          <cell r="E193">
            <v>227132.94041117601</v>
          </cell>
          <cell r="F193">
            <v>293107.42216522363</v>
          </cell>
          <cell r="G193">
            <v>72831.599124630739</v>
          </cell>
          <cell r="H193">
            <v>-149733.47459689685</v>
          </cell>
          <cell r="I193">
            <v>-199667.97022223682</v>
          </cell>
          <cell r="S193">
            <v>12376.25741197669</v>
          </cell>
          <cell r="T193">
            <v>80900.527740210775</v>
          </cell>
          <cell r="U193">
            <v>18598.553354951218</v>
          </cell>
          <cell r="V193">
            <v>-95519.077145669362</v>
          </cell>
          <cell r="W193">
            <v>-174154.4625642233</v>
          </cell>
          <cell r="X193">
            <v>-208417.12638703076</v>
          </cell>
          <cell r="AH193">
            <v>269531.13294768025</v>
          </cell>
          <cell r="AI193">
            <v>232421.44842175231</v>
          </cell>
          <cell r="AJ193">
            <v>199882.17121246248</v>
          </cell>
          <cell r="AK193">
            <v>-31914.161583406356</v>
          </cell>
          <cell r="AL193">
            <v>-132023.43745497646</v>
          </cell>
          <cell r="AM193">
            <v>-166647.32866132533</v>
          </cell>
        </row>
      </sheetData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4C02A-53E6-43BF-8D2D-841F3734565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b13f495-f3f2-4b02-969e-18122af7269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workbookViewId="0">
      <selection activeCell="Q17" sqref="Q17"/>
    </sheetView>
  </sheetViews>
  <sheetFormatPr defaultColWidth="9.140625" defaultRowHeight="12.75" x14ac:dyDescent="0.2"/>
  <cols>
    <col min="1" max="1" width="27.42578125" style="1" customWidth="1"/>
    <col min="2" max="2" width="19.85546875" style="1" customWidth="1"/>
    <col min="3" max="4" width="6.28515625" style="1" customWidth="1"/>
    <col min="5" max="5" width="10.42578125" style="1" customWidth="1"/>
    <col min="6" max="6" width="7" style="1" customWidth="1"/>
    <col min="7" max="8" width="6.28515625" style="1" customWidth="1"/>
    <col min="9" max="9" width="9.7109375" style="1" customWidth="1"/>
    <col min="10" max="10" width="10.7109375" style="1" customWidth="1"/>
    <col min="11" max="11" width="10.42578125" style="1" customWidth="1"/>
    <col min="12" max="12" width="7.28515625" style="1" customWidth="1"/>
    <col min="13" max="14" width="6.28515625" style="1" customWidth="1"/>
    <col min="15" max="15" width="9.28515625" style="1" customWidth="1"/>
    <col min="16" max="16" width="9" style="1" customWidth="1"/>
    <col min="17" max="17" width="35.85546875" style="1" customWidth="1"/>
    <col min="18" max="18" width="10.42578125" style="1" customWidth="1"/>
    <col min="19" max="19" width="7.28515625" style="1" customWidth="1"/>
    <col min="20" max="21" width="6.28515625" style="1" customWidth="1"/>
    <col min="22" max="22" width="10.42578125" style="1" customWidth="1"/>
    <col min="23" max="23" width="7.28515625" style="1" customWidth="1"/>
    <col min="24" max="25" width="6.28515625" style="1" customWidth="1"/>
    <col min="26" max="26" width="9.7109375" style="1" customWidth="1"/>
    <col min="27" max="27" width="10.7109375" style="1" customWidth="1"/>
    <col min="28" max="28" width="14" style="1" customWidth="1"/>
    <col min="29" max="29" width="7.28515625" style="1" customWidth="1"/>
    <col min="30" max="31" width="6.28515625" style="1" customWidth="1"/>
    <col min="32" max="32" width="9.28515625" style="1" customWidth="1"/>
    <col min="33" max="33" width="9" style="1" customWidth="1"/>
    <col min="34" max="34" width="9.140625" style="1" customWidth="1"/>
    <col min="35" max="16384" width="9.140625" style="1"/>
  </cols>
  <sheetData>
    <row r="1" spans="1:33" ht="15" x14ac:dyDescent="0.25">
      <c r="A1" s="3" t="s">
        <v>0</v>
      </c>
    </row>
    <row r="2" spans="1:33" ht="15" x14ac:dyDescent="0.25">
      <c r="A2" s="3" t="s">
        <v>1</v>
      </c>
    </row>
    <row r="3" spans="1:33" x14ac:dyDescent="0.2">
      <c r="A3" s="4" t="s">
        <v>2</v>
      </c>
      <c r="B3" s="4" t="s">
        <v>3</v>
      </c>
    </row>
    <row r="4" spans="1:33" x14ac:dyDescent="0.2">
      <c r="A4" s="4" t="s">
        <v>4</v>
      </c>
      <c r="B4" s="4" t="s">
        <v>0</v>
      </c>
    </row>
    <row r="5" spans="1:33" x14ac:dyDescent="0.2">
      <c r="A5" s="2" t="s">
        <v>5</v>
      </c>
    </row>
    <row r="6" spans="1:33" x14ac:dyDescent="0.2">
      <c r="A6" s="5" t="s">
        <v>6</v>
      </c>
      <c r="B6" s="62" t="s">
        <v>5</v>
      </c>
      <c r="C6" s="62"/>
      <c r="D6" s="62"/>
      <c r="E6" s="5" t="s">
        <v>6</v>
      </c>
      <c r="F6" s="62" t="s">
        <v>5</v>
      </c>
      <c r="G6" s="62"/>
      <c r="H6" s="62"/>
      <c r="I6" s="62"/>
      <c r="J6" s="62"/>
      <c r="K6" s="5" t="s">
        <v>6</v>
      </c>
      <c r="L6" s="62" t="s">
        <v>5</v>
      </c>
      <c r="M6" s="62"/>
      <c r="N6" s="62"/>
      <c r="O6" s="62" t="s">
        <v>5</v>
      </c>
      <c r="P6" s="62"/>
      <c r="Q6" s="6" t="s">
        <v>5</v>
      </c>
      <c r="R6" s="5" t="s">
        <v>7</v>
      </c>
      <c r="S6" s="62" t="s">
        <v>5</v>
      </c>
      <c r="T6" s="62"/>
      <c r="U6" s="62"/>
      <c r="V6" s="5" t="s">
        <v>7</v>
      </c>
      <c r="W6" s="62" t="s">
        <v>5</v>
      </c>
      <c r="X6" s="62"/>
      <c r="Y6" s="62"/>
      <c r="Z6" s="62"/>
      <c r="AA6" s="62"/>
      <c r="AB6" s="5" t="s">
        <v>8</v>
      </c>
      <c r="AC6" s="62" t="s">
        <v>5</v>
      </c>
      <c r="AD6" s="62"/>
      <c r="AE6" s="62"/>
      <c r="AF6" s="62" t="s">
        <v>5</v>
      </c>
      <c r="AG6" s="62"/>
    </row>
    <row r="7" spans="1:33" x14ac:dyDescent="0.2">
      <c r="A7" s="7" t="s">
        <v>3</v>
      </c>
      <c r="B7" s="63" t="s">
        <v>5</v>
      </c>
      <c r="C7" s="63"/>
      <c r="D7" s="63"/>
      <c r="E7" s="7" t="s">
        <v>3</v>
      </c>
      <c r="F7" s="63" t="s">
        <v>5</v>
      </c>
      <c r="G7" s="63"/>
      <c r="H7" s="63"/>
      <c r="I7" s="63"/>
      <c r="J7" s="63"/>
      <c r="K7" s="7" t="s">
        <v>9</v>
      </c>
      <c r="L7" s="63" t="s">
        <v>5</v>
      </c>
      <c r="M7" s="63"/>
      <c r="N7" s="63"/>
      <c r="O7" s="63" t="s">
        <v>5</v>
      </c>
      <c r="P7" s="63"/>
      <c r="Q7" s="6" t="s">
        <v>5</v>
      </c>
      <c r="R7" s="7" t="s">
        <v>3</v>
      </c>
      <c r="S7" s="63" t="s">
        <v>5</v>
      </c>
      <c r="T7" s="63"/>
      <c r="U7" s="63"/>
      <c r="V7" s="7" t="s">
        <v>3</v>
      </c>
      <c r="W7" s="63" t="s">
        <v>5</v>
      </c>
      <c r="X7" s="63"/>
      <c r="Y7" s="63"/>
      <c r="Z7" s="63"/>
      <c r="AA7" s="63"/>
      <c r="AB7" s="7" t="s">
        <v>9</v>
      </c>
      <c r="AC7" s="63" t="s">
        <v>5</v>
      </c>
      <c r="AD7" s="63"/>
      <c r="AE7" s="63"/>
      <c r="AF7" s="63" t="s">
        <v>5</v>
      </c>
      <c r="AG7" s="63"/>
    </row>
    <row r="8" spans="1:33" x14ac:dyDescent="0.2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11</v>
      </c>
      <c r="G8" s="8" t="s">
        <v>12</v>
      </c>
      <c r="H8" s="8" t="s">
        <v>13</v>
      </c>
      <c r="I8" s="8" t="s">
        <v>15</v>
      </c>
      <c r="J8" s="8" t="s">
        <v>16</v>
      </c>
      <c r="K8" s="8" t="s">
        <v>17</v>
      </c>
      <c r="L8" s="8" t="s">
        <v>11</v>
      </c>
      <c r="M8" s="8" t="s">
        <v>12</v>
      </c>
      <c r="N8" s="8" t="s">
        <v>13</v>
      </c>
      <c r="O8" s="8" t="s">
        <v>18</v>
      </c>
      <c r="P8" s="8" t="s">
        <v>19</v>
      </c>
      <c r="Q8" s="9" t="s">
        <v>5</v>
      </c>
      <c r="R8" s="8" t="s">
        <v>20</v>
      </c>
      <c r="S8" s="8" t="s">
        <v>11</v>
      </c>
      <c r="T8" s="8" t="s">
        <v>12</v>
      </c>
      <c r="U8" s="8" t="s">
        <v>13</v>
      </c>
      <c r="V8" s="8" t="s">
        <v>21</v>
      </c>
      <c r="W8" s="8" t="s">
        <v>11</v>
      </c>
      <c r="X8" s="8" t="s">
        <v>12</v>
      </c>
      <c r="Y8" s="8" t="s">
        <v>13</v>
      </c>
      <c r="Z8" s="8" t="s">
        <v>22</v>
      </c>
      <c r="AA8" s="8" t="s">
        <v>23</v>
      </c>
      <c r="AB8" s="8" t="s">
        <v>24</v>
      </c>
      <c r="AC8" s="8" t="s">
        <v>11</v>
      </c>
      <c r="AD8" s="8" t="s">
        <v>12</v>
      </c>
      <c r="AE8" s="8" t="s">
        <v>13</v>
      </c>
      <c r="AF8" s="8" t="s">
        <v>25</v>
      </c>
      <c r="AG8" s="8" t="s">
        <v>26</v>
      </c>
    </row>
    <row r="9" spans="1:33" x14ac:dyDescent="0.2">
      <c r="A9" s="10">
        <v>1488</v>
      </c>
      <c r="B9" s="11">
        <v>0</v>
      </c>
      <c r="C9" s="10">
        <v>0</v>
      </c>
      <c r="D9" s="10">
        <v>0</v>
      </c>
      <c r="E9" s="10">
        <v>1488</v>
      </c>
      <c r="F9" s="11">
        <v>0</v>
      </c>
      <c r="G9" s="10">
        <v>0</v>
      </c>
      <c r="H9" s="10">
        <v>0</v>
      </c>
      <c r="I9" s="10">
        <v>0</v>
      </c>
      <c r="J9" s="11">
        <v>0</v>
      </c>
      <c r="K9" s="10">
        <v>1488</v>
      </c>
      <c r="L9" s="11">
        <v>0</v>
      </c>
      <c r="M9" s="10">
        <v>0</v>
      </c>
      <c r="N9" s="10">
        <v>0</v>
      </c>
      <c r="O9" s="10">
        <v>0</v>
      </c>
      <c r="P9" s="12">
        <v>0</v>
      </c>
      <c r="Q9" s="6" t="s">
        <v>27</v>
      </c>
      <c r="R9" s="10">
        <v>4320</v>
      </c>
      <c r="S9" s="11">
        <v>0</v>
      </c>
      <c r="T9" s="10">
        <v>0</v>
      </c>
      <c r="U9" s="10">
        <v>0</v>
      </c>
      <c r="V9" s="10">
        <v>4320</v>
      </c>
      <c r="W9" s="11">
        <v>0</v>
      </c>
      <c r="X9" s="10">
        <v>0</v>
      </c>
      <c r="Y9" s="10">
        <v>0</v>
      </c>
      <c r="Z9" s="10">
        <v>0</v>
      </c>
      <c r="AA9" s="11">
        <v>0</v>
      </c>
      <c r="AB9" s="10">
        <v>4320</v>
      </c>
      <c r="AC9" s="11">
        <v>0</v>
      </c>
      <c r="AD9" s="10">
        <v>0</v>
      </c>
      <c r="AE9" s="10">
        <v>0</v>
      </c>
      <c r="AF9" s="10">
        <v>0</v>
      </c>
      <c r="AG9" s="12">
        <v>0</v>
      </c>
    </row>
    <row r="10" spans="1:33" x14ac:dyDescent="0.2">
      <c r="A10" s="10">
        <v>1008</v>
      </c>
      <c r="B10" s="11">
        <v>0</v>
      </c>
      <c r="C10" s="10">
        <v>0</v>
      </c>
      <c r="D10" s="10">
        <v>0</v>
      </c>
      <c r="E10" s="10">
        <v>988</v>
      </c>
      <c r="F10" s="11">
        <v>0</v>
      </c>
      <c r="G10" s="10">
        <v>0</v>
      </c>
      <c r="H10" s="10">
        <v>0</v>
      </c>
      <c r="I10" s="10">
        <v>20</v>
      </c>
      <c r="J10" s="11">
        <v>0.02</v>
      </c>
      <c r="K10" s="10">
        <v>965</v>
      </c>
      <c r="L10" s="11">
        <v>0</v>
      </c>
      <c r="M10" s="10">
        <v>0</v>
      </c>
      <c r="N10" s="10">
        <v>0</v>
      </c>
      <c r="O10" s="10">
        <v>43</v>
      </c>
      <c r="P10" s="12">
        <v>4.4500000000000005E-2</v>
      </c>
      <c r="Q10" s="6" t="s">
        <v>28</v>
      </c>
      <c r="R10" s="10">
        <v>2800</v>
      </c>
      <c r="S10" s="11">
        <v>0</v>
      </c>
      <c r="T10" s="10">
        <v>0</v>
      </c>
      <c r="U10" s="10">
        <v>0</v>
      </c>
      <c r="V10" s="10">
        <v>2890</v>
      </c>
      <c r="W10" s="11">
        <v>0</v>
      </c>
      <c r="X10" s="10">
        <v>0</v>
      </c>
      <c r="Y10" s="10">
        <v>0</v>
      </c>
      <c r="Z10" s="10">
        <v>-90</v>
      </c>
      <c r="AA10" s="11">
        <v>-3.1E-2</v>
      </c>
      <c r="AB10" s="10">
        <v>2835</v>
      </c>
      <c r="AC10" s="11">
        <v>0</v>
      </c>
      <c r="AD10" s="10">
        <v>0</v>
      </c>
      <c r="AE10" s="10">
        <v>0</v>
      </c>
      <c r="AF10" s="10">
        <v>-35</v>
      </c>
      <c r="AG10" s="12">
        <v>-1.23E-2</v>
      </c>
    </row>
    <row r="11" spans="1:33" x14ac:dyDescent="0.2">
      <c r="A11" s="13">
        <v>147.22</v>
      </c>
      <c r="B11" s="11">
        <v>0</v>
      </c>
      <c r="C11" s="10">
        <v>0</v>
      </c>
      <c r="D11" s="10">
        <v>0</v>
      </c>
      <c r="E11" s="13">
        <v>162.71</v>
      </c>
      <c r="F11" s="11">
        <v>0</v>
      </c>
      <c r="G11" s="10">
        <v>0</v>
      </c>
      <c r="H11" s="10">
        <v>0</v>
      </c>
      <c r="I11" s="13">
        <v>-15.49</v>
      </c>
      <c r="J11" s="11">
        <v>-9.5000000000000001E-2</v>
      </c>
      <c r="K11" s="13">
        <v>155.62</v>
      </c>
      <c r="L11" s="11">
        <v>0</v>
      </c>
      <c r="M11" s="10">
        <v>0</v>
      </c>
      <c r="N11" s="10">
        <v>0</v>
      </c>
      <c r="O11" s="13">
        <v>-8.4</v>
      </c>
      <c r="P11" s="12">
        <v>-5.3899999999999997E-2</v>
      </c>
      <c r="Q11" s="6" t="s">
        <v>29</v>
      </c>
      <c r="R11" s="13">
        <v>142.63</v>
      </c>
      <c r="S11" s="11">
        <v>0</v>
      </c>
      <c r="T11" s="10">
        <v>0</v>
      </c>
      <c r="U11" s="10">
        <v>0</v>
      </c>
      <c r="V11" s="13">
        <v>150.66999999999999</v>
      </c>
      <c r="W11" s="11">
        <v>0</v>
      </c>
      <c r="X11" s="10">
        <v>0</v>
      </c>
      <c r="Y11" s="10">
        <v>0</v>
      </c>
      <c r="Z11" s="13">
        <v>-8.0399999999999991</v>
      </c>
      <c r="AA11" s="11">
        <v>-5.2999999999999999E-2</v>
      </c>
      <c r="AB11" s="13">
        <v>138.66999999999999</v>
      </c>
      <c r="AC11" s="11">
        <v>0</v>
      </c>
      <c r="AD11" s="10">
        <v>0</v>
      </c>
      <c r="AE11" s="10">
        <v>0</v>
      </c>
      <c r="AF11" s="13">
        <v>3.96</v>
      </c>
      <c r="AG11" s="12">
        <v>2.8500000000000001E-2</v>
      </c>
    </row>
    <row r="12" spans="1:33" x14ac:dyDescent="0.2">
      <c r="A12" s="12">
        <v>0.6774</v>
      </c>
      <c r="B12" s="11">
        <v>0</v>
      </c>
      <c r="C12" s="10">
        <v>0</v>
      </c>
      <c r="D12" s="10">
        <v>0</v>
      </c>
      <c r="E12" s="12">
        <v>0.66400000000000003</v>
      </c>
      <c r="F12" s="11">
        <v>0</v>
      </c>
      <c r="G12" s="10">
        <v>0</v>
      </c>
      <c r="H12" s="10">
        <v>0</v>
      </c>
      <c r="I12" s="12">
        <v>1.34E-2</v>
      </c>
      <c r="J12" s="11">
        <v>0.02</v>
      </c>
      <c r="K12" s="12">
        <v>0.64849999999999997</v>
      </c>
      <c r="L12" s="11">
        <v>0</v>
      </c>
      <c r="M12" s="10">
        <v>0</v>
      </c>
      <c r="N12" s="10">
        <v>0</v>
      </c>
      <c r="O12" s="12">
        <v>2.8900000000000002E-2</v>
      </c>
      <c r="P12" s="12">
        <v>4.4500000000000005E-2</v>
      </c>
      <c r="Q12" s="6" t="s">
        <v>30</v>
      </c>
      <c r="R12" s="12">
        <v>0.64810000000000001</v>
      </c>
      <c r="S12" s="11">
        <v>0</v>
      </c>
      <c r="T12" s="10">
        <v>0</v>
      </c>
      <c r="U12" s="10">
        <v>0</v>
      </c>
      <c r="V12" s="12">
        <v>0.66900000000000004</v>
      </c>
      <c r="W12" s="11">
        <v>0</v>
      </c>
      <c r="X12" s="10">
        <v>0</v>
      </c>
      <c r="Y12" s="10">
        <v>0</v>
      </c>
      <c r="Z12" s="12">
        <v>-2.0899999999999998E-2</v>
      </c>
      <c r="AA12" s="11">
        <v>-3.1E-2</v>
      </c>
      <c r="AB12" s="12">
        <v>0.65629999999999999</v>
      </c>
      <c r="AC12" s="11">
        <v>0</v>
      </c>
      <c r="AD12" s="10">
        <v>0</v>
      </c>
      <c r="AE12" s="10">
        <v>0</v>
      </c>
      <c r="AF12" s="12">
        <v>-8.199999999999999E-3</v>
      </c>
      <c r="AG12" s="12">
        <v>-1.24E-2</v>
      </c>
    </row>
    <row r="13" spans="1:33" x14ac:dyDescent="0.2">
      <c r="A13" s="13">
        <v>99.73</v>
      </c>
      <c r="B13" s="11">
        <v>0</v>
      </c>
      <c r="C13" s="10">
        <v>0</v>
      </c>
      <c r="D13" s="10">
        <v>0</v>
      </c>
      <c r="E13" s="13">
        <v>108.04</v>
      </c>
      <c r="F13" s="11">
        <v>0</v>
      </c>
      <c r="G13" s="10">
        <v>0</v>
      </c>
      <c r="H13" s="10">
        <v>0</v>
      </c>
      <c r="I13" s="13">
        <v>-8.31</v>
      </c>
      <c r="J13" s="11">
        <v>-7.6999999999999999E-2</v>
      </c>
      <c r="K13" s="13">
        <v>100.92</v>
      </c>
      <c r="L13" s="11">
        <v>0</v>
      </c>
      <c r="M13" s="10">
        <v>0</v>
      </c>
      <c r="N13" s="10">
        <v>0</v>
      </c>
      <c r="O13" s="13">
        <v>-1.19</v>
      </c>
      <c r="P13" s="12">
        <v>-1.1699999999999999E-2</v>
      </c>
      <c r="Q13" s="6" t="s">
        <v>31</v>
      </c>
      <c r="R13" s="13">
        <v>92.44</v>
      </c>
      <c r="S13" s="11">
        <v>0</v>
      </c>
      <c r="T13" s="10">
        <v>0</v>
      </c>
      <c r="U13" s="10">
        <v>0</v>
      </c>
      <c r="V13" s="13">
        <v>100.8</v>
      </c>
      <c r="W13" s="11">
        <v>0</v>
      </c>
      <c r="X13" s="10">
        <v>0</v>
      </c>
      <c r="Y13" s="10">
        <v>0</v>
      </c>
      <c r="Z13" s="13">
        <v>-8.36</v>
      </c>
      <c r="AA13" s="11">
        <v>-8.3000000000000004E-2</v>
      </c>
      <c r="AB13" s="13">
        <v>91</v>
      </c>
      <c r="AC13" s="11">
        <v>0</v>
      </c>
      <c r="AD13" s="10">
        <v>0</v>
      </c>
      <c r="AE13" s="10">
        <v>0</v>
      </c>
      <c r="AF13" s="13">
        <v>1.44</v>
      </c>
      <c r="AG13" s="12">
        <v>1.5800000000000002E-2</v>
      </c>
    </row>
    <row r="14" spans="1:33" x14ac:dyDescent="0.2">
      <c r="A14" s="10">
        <v>186.31</v>
      </c>
      <c r="B14" s="11">
        <v>0</v>
      </c>
      <c r="C14" s="10">
        <v>0</v>
      </c>
      <c r="D14" s="10">
        <v>0</v>
      </c>
      <c r="E14" s="10">
        <v>197.59</v>
      </c>
      <c r="F14" s="11">
        <v>0</v>
      </c>
      <c r="G14" s="10">
        <v>0</v>
      </c>
      <c r="H14" s="10">
        <v>0</v>
      </c>
      <c r="I14" s="10">
        <v>-11.28</v>
      </c>
      <c r="J14" s="11">
        <v>-5.7000000000000002E-2</v>
      </c>
      <c r="K14" s="10">
        <v>176.95</v>
      </c>
      <c r="L14" s="11">
        <v>0</v>
      </c>
      <c r="M14" s="10">
        <v>0</v>
      </c>
      <c r="N14" s="10">
        <v>0</v>
      </c>
      <c r="O14" s="10">
        <v>9.36</v>
      </c>
      <c r="P14" s="12">
        <v>5.28E-2</v>
      </c>
      <c r="Q14" s="6" t="s">
        <v>32</v>
      </c>
      <c r="R14" s="10">
        <v>177.76</v>
      </c>
      <c r="S14" s="11">
        <v>0</v>
      </c>
      <c r="T14" s="10">
        <v>0</v>
      </c>
      <c r="U14" s="10">
        <v>0</v>
      </c>
      <c r="V14" s="10">
        <v>191.06</v>
      </c>
      <c r="W14" s="11">
        <v>0</v>
      </c>
      <c r="X14" s="10">
        <v>0</v>
      </c>
      <c r="Y14" s="10">
        <v>0</v>
      </c>
      <c r="Z14" s="10">
        <v>-13.3</v>
      </c>
      <c r="AA14" s="11">
        <v>-7.0000000000000007E-2</v>
      </c>
      <c r="AB14" s="10">
        <v>168.27</v>
      </c>
      <c r="AC14" s="11">
        <v>0</v>
      </c>
      <c r="AD14" s="10">
        <v>0</v>
      </c>
      <c r="AE14" s="10">
        <v>0</v>
      </c>
      <c r="AF14" s="10">
        <v>9.49</v>
      </c>
      <c r="AG14" s="12">
        <v>5.6299999999999996E-2</v>
      </c>
    </row>
    <row r="15" spans="1:33" x14ac:dyDescent="0.2">
      <c r="A15" s="6" t="s">
        <v>33</v>
      </c>
      <c r="B15" s="6" t="s">
        <v>33</v>
      </c>
      <c r="C15" s="6" t="s">
        <v>33</v>
      </c>
      <c r="D15" s="6" t="s">
        <v>33</v>
      </c>
      <c r="E15" s="6" t="s">
        <v>33</v>
      </c>
      <c r="F15" s="6" t="s">
        <v>33</v>
      </c>
      <c r="G15" s="6" t="s">
        <v>33</v>
      </c>
      <c r="H15" s="6" t="s">
        <v>33</v>
      </c>
      <c r="I15" s="6" t="s">
        <v>33</v>
      </c>
      <c r="J15" s="6" t="s">
        <v>33</v>
      </c>
      <c r="K15" s="6" t="s">
        <v>33</v>
      </c>
      <c r="L15" s="6" t="s">
        <v>33</v>
      </c>
      <c r="M15" s="6" t="s">
        <v>33</v>
      </c>
      <c r="N15" s="6" t="s">
        <v>33</v>
      </c>
      <c r="O15" s="6" t="s">
        <v>33</v>
      </c>
      <c r="P15" s="6" t="s">
        <v>33</v>
      </c>
      <c r="Q15" s="6" t="s">
        <v>34</v>
      </c>
      <c r="R15" s="6" t="s">
        <v>33</v>
      </c>
      <c r="S15" s="6" t="s">
        <v>33</v>
      </c>
      <c r="T15" s="6" t="s">
        <v>33</v>
      </c>
      <c r="U15" s="6" t="s">
        <v>33</v>
      </c>
      <c r="V15" s="6" t="s">
        <v>33</v>
      </c>
      <c r="W15" s="6" t="s">
        <v>33</v>
      </c>
      <c r="X15" s="6" t="s">
        <v>33</v>
      </c>
      <c r="Y15" s="6" t="s">
        <v>33</v>
      </c>
      <c r="Z15" s="6" t="s">
        <v>33</v>
      </c>
      <c r="AA15" s="6" t="s">
        <v>33</v>
      </c>
      <c r="AB15" s="6" t="s">
        <v>33</v>
      </c>
      <c r="AC15" s="6" t="s">
        <v>33</v>
      </c>
      <c r="AD15" s="6" t="s">
        <v>33</v>
      </c>
      <c r="AE15" s="6" t="s">
        <v>33</v>
      </c>
      <c r="AF15" s="6" t="s">
        <v>33</v>
      </c>
      <c r="AG15" s="6" t="s">
        <v>33</v>
      </c>
    </row>
    <row r="16" spans="1:33" x14ac:dyDescent="0.2">
      <c r="A16" s="10">
        <v>148394.94</v>
      </c>
      <c r="B16" s="11">
        <v>0.53500000000000003</v>
      </c>
      <c r="C16" s="10">
        <v>147.22</v>
      </c>
      <c r="D16" s="10">
        <v>99.73</v>
      </c>
      <c r="E16" s="10">
        <v>160756.71</v>
      </c>
      <c r="F16" s="11">
        <v>0.54700000000000004</v>
      </c>
      <c r="G16" s="10">
        <v>162.71</v>
      </c>
      <c r="H16" s="10">
        <v>108.04</v>
      </c>
      <c r="I16" s="10">
        <v>-12361.77</v>
      </c>
      <c r="J16" s="11">
        <v>-7.6999999999999999E-2</v>
      </c>
      <c r="K16" s="10">
        <v>150174.89000000001</v>
      </c>
      <c r="L16" s="11">
        <v>0.56999999999999995</v>
      </c>
      <c r="M16" s="10">
        <v>155.62</v>
      </c>
      <c r="N16" s="10">
        <v>100.92</v>
      </c>
      <c r="O16" s="10">
        <v>-1779.95</v>
      </c>
      <c r="P16" s="12">
        <v>-1.18E-2</v>
      </c>
      <c r="Q16" s="6" t="s">
        <v>35</v>
      </c>
      <c r="R16" s="10">
        <v>399355.05</v>
      </c>
      <c r="S16" s="11">
        <v>0.52</v>
      </c>
      <c r="T16" s="10">
        <v>142.63</v>
      </c>
      <c r="U16" s="10">
        <v>92.44</v>
      </c>
      <c r="V16" s="10">
        <v>435442.32</v>
      </c>
      <c r="W16" s="11">
        <v>0.52800000000000002</v>
      </c>
      <c r="X16" s="10">
        <v>150.66999999999999</v>
      </c>
      <c r="Y16" s="10">
        <v>100.8</v>
      </c>
      <c r="Z16" s="10">
        <v>-36087.269999999997</v>
      </c>
      <c r="AA16" s="11">
        <v>-8.3000000000000004E-2</v>
      </c>
      <c r="AB16" s="10">
        <v>393127.1</v>
      </c>
      <c r="AC16" s="11">
        <v>0.54100000000000004</v>
      </c>
      <c r="AD16" s="10">
        <v>138.66999999999999</v>
      </c>
      <c r="AE16" s="10">
        <v>91</v>
      </c>
      <c r="AF16" s="10">
        <v>6227.95</v>
      </c>
      <c r="AG16" s="12">
        <v>1.5800000000000002E-2</v>
      </c>
    </row>
    <row r="17" spans="1:33" x14ac:dyDescent="0.2">
      <c r="A17" s="10">
        <v>132443.12</v>
      </c>
      <c r="B17" s="11">
        <v>0.47799999999999998</v>
      </c>
      <c r="C17" s="10">
        <v>131.38999999999999</v>
      </c>
      <c r="D17" s="10">
        <v>89.01</v>
      </c>
      <c r="E17" s="10">
        <v>119805.16</v>
      </c>
      <c r="F17" s="11">
        <v>0.40700000000000003</v>
      </c>
      <c r="G17" s="10">
        <v>121.26</v>
      </c>
      <c r="H17" s="10">
        <v>80.510000000000005</v>
      </c>
      <c r="I17" s="10">
        <v>12637.96</v>
      </c>
      <c r="J17" s="11">
        <v>0.105</v>
      </c>
      <c r="K17" s="10">
        <v>106229.33</v>
      </c>
      <c r="L17" s="11">
        <v>0.40299999999999997</v>
      </c>
      <c r="M17" s="10">
        <v>110.08</v>
      </c>
      <c r="N17" s="10">
        <v>71.39</v>
      </c>
      <c r="O17" s="10">
        <v>26213.79</v>
      </c>
      <c r="P17" s="12">
        <v>0.24670000000000003</v>
      </c>
      <c r="Q17" s="6" t="s">
        <v>36</v>
      </c>
      <c r="R17" s="10">
        <v>342243.97</v>
      </c>
      <c r="S17" s="11">
        <v>0.44600000000000001</v>
      </c>
      <c r="T17" s="10">
        <v>122.23</v>
      </c>
      <c r="U17" s="10">
        <v>79.22</v>
      </c>
      <c r="V17" s="10">
        <v>350563.49</v>
      </c>
      <c r="W17" s="11">
        <v>0.42499999999999999</v>
      </c>
      <c r="X17" s="10">
        <v>121.3</v>
      </c>
      <c r="Y17" s="10">
        <v>81.150000000000006</v>
      </c>
      <c r="Z17" s="10">
        <v>-8319.52</v>
      </c>
      <c r="AA17" s="11">
        <v>-2.4E-2</v>
      </c>
      <c r="AB17" s="10">
        <v>315688.37</v>
      </c>
      <c r="AC17" s="11">
        <v>0.434</v>
      </c>
      <c r="AD17" s="10">
        <v>111.35</v>
      </c>
      <c r="AE17" s="10">
        <v>73.08</v>
      </c>
      <c r="AF17" s="10">
        <v>26555.599999999999</v>
      </c>
      <c r="AG17" s="12">
        <v>8.4100000000000008E-2</v>
      </c>
    </row>
    <row r="18" spans="1:33" x14ac:dyDescent="0.2">
      <c r="A18" s="10">
        <v>-4047.9</v>
      </c>
      <c r="B18" s="11">
        <v>-1.4999999999999999E-2</v>
      </c>
      <c r="C18" s="10">
        <v>-4.0199999999999996</v>
      </c>
      <c r="D18" s="10">
        <v>-2.7199999999999998</v>
      </c>
      <c r="E18" s="10">
        <v>13189.8</v>
      </c>
      <c r="F18" s="11">
        <v>4.4999999999999998E-2</v>
      </c>
      <c r="G18" s="10">
        <v>13.35</v>
      </c>
      <c r="H18" s="10">
        <v>8.86</v>
      </c>
      <c r="I18" s="10">
        <v>-17237.7</v>
      </c>
      <c r="J18" s="11">
        <v>-1.3069999999999999</v>
      </c>
      <c r="K18" s="10">
        <v>6071.67</v>
      </c>
      <c r="L18" s="11">
        <v>2.3E-2</v>
      </c>
      <c r="M18" s="10">
        <v>6.29</v>
      </c>
      <c r="N18" s="10">
        <v>4.08</v>
      </c>
      <c r="O18" s="10">
        <v>-10119.57</v>
      </c>
      <c r="P18" s="12">
        <v>-1.6665999999999999</v>
      </c>
      <c r="Q18" s="6" t="s">
        <v>37</v>
      </c>
      <c r="R18" s="10">
        <v>21790.7</v>
      </c>
      <c r="S18" s="11">
        <v>2.7999999999999997E-2</v>
      </c>
      <c r="T18" s="10">
        <v>7.78</v>
      </c>
      <c r="U18" s="10">
        <v>5.04</v>
      </c>
      <c r="V18" s="10">
        <v>38594.85</v>
      </c>
      <c r="W18" s="11">
        <v>4.7E-2</v>
      </c>
      <c r="X18" s="10">
        <v>13.35</v>
      </c>
      <c r="Y18" s="10">
        <v>8.93</v>
      </c>
      <c r="Z18" s="10">
        <v>-16804.150000000001</v>
      </c>
      <c r="AA18" s="11">
        <v>-0.435</v>
      </c>
      <c r="AB18" s="10">
        <v>14941.73</v>
      </c>
      <c r="AC18" s="11">
        <v>2.1000000000000001E-2</v>
      </c>
      <c r="AD18" s="10">
        <v>5.27</v>
      </c>
      <c r="AE18" s="10">
        <v>3.46</v>
      </c>
      <c r="AF18" s="10">
        <v>6848.97</v>
      </c>
      <c r="AG18" s="12">
        <v>0.45829999999999999</v>
      </c>
    </row>
    <row r="19" spans="1:33" x14ac:dyDescent="0.2">
      <c r="A19" s="10">
        <v>1620.04</v>
      </c>
      <c r="B19" s="11">
        <v>6.0000000000000001E-3</v>
      </c>
      <c r="C19" s="10">
        <v>1.6099999999999999</v>
      </c>
      <c r="D19" s="10">
        <v>1.0900000000000001</v>
      </c>
      <c r="E19" s="10">
        <v>1659.84</v>
      </c>
      <c r="F19" s="11">
        <v>6.0000000000000001E-3</v>
      </c>
      <c r="G19" s="10">
        <v>1.6800000000000002</v>
      </c>
      <c r="H19" s="10">
        <v>1.1200000000000001</v>
      </c>
      <c r="I19" s="10">
        <v>-39.799999999999997</v>
      </c>
      <c r="J19" s="11">
        <v>-2.4E-2</v>
      </c>
      <c r="K19" s="10">
        <v>1085.0999999999999</v>
      </c>
      <c r="L19" s="11">
        <v>4.0000000000000001E-3</v>
      </c>
      <c r="M19" s="10">
        <v>1.1200000000000001</v>
      </c>
      <c r="N19" s="10">
        <v>0.73</v>
      </c>
      <c r="O19" s="10">
        <v>534.94000000000005</v>
      </c>
      <c r="P19" s="12">
        <v>0.4929</v>
      </c>
      <c r="Q19" s="6" t="s">
        <v>38</v>
      </c>
      <c r="R19" s="10">
        <v>6912.14</v>
      </c>
      <c r="S19" s="11">
        <v>9.0000000000000011E-3</v>
      </c>
      <c r="T19" s="10">
        <v>2.4699999999999998</v>
      </c>
      <c r="U19" s="10">
        <v>1.6</v>
      </c>
      <c r="V19" s="10">
        <v>4856.88</v>
      </c>
      <c r="W19" s="11">
        <v>6.0000000000000001E-3</v>
      </c>
      <c r="X19" s="10">
        <v>1.6800000000000002</v>
      </c>
      <c r="Y19" s="10">
        <v>1.1200000000000001</v>
      </c>
      <c r="Z19" s="10">
        <v>2055.2600000000002</v>
      </c>
      <c r="AA19" s="11">
        <v>0.42299999999999999</v>
      </c>
      <c r="AB19" s="10">
        <v>5125.09</v>
      </c>
      <c r="AC19" s="11">
        <v>6.9999999999999993E-3</v>
      </c>
      <c r="AD19" s="10">
        <v>1.81</v>
      </c>
      <c r="AE19" s="10">
        <v>1.19</v>
      </c>
      <c r="AF19" s="10">
        <v>1787.05</v>
      </c>
      <c r="AG19" s="12">
        <v>0.34860000000000002</v>
      </c>
    </row>
    <row r="20" spans="1:33" x14ac:dyDescent="0.2">
      <c r="A20" s="10">
        <v>-1183</v>
      </c>
      <c r="B20" s="11">
        <v>-4.0000000000000001E-3</v>
      </c>
      <c r="C20" s="10">
        <v>-1.17</v>
      </c>
      <c r="D20" s="10">
        <v>-0.8</v>
      </c>
      <c r="E20" s="10">
        <v>-1393.08</v>
      </c>
      <c r="F20" s="11">
        <v>-5.0000000000000001E-3</v>
      </c>
      <c r="G20" s="10">
        <v>-1.41</v>
      </c>
      <c r="H20" s="10">
        <v>-0.94</v>
      </c>
      <c r="I20" s="10">
        <v>210.08</v>
      </c>
      <c r="J20" s="11">
        <v>0.151</v>
      </c>
      <c r="K20" s="10">
        <v>-258.38</v>
      </c>
      <c r="L20" s="11">
        <v>-1E-3</v>
      </c>
      <c r="M20" s="10">
        <v>-0.27</v>
      </c>
      <c r="N20" s="10">
        <v>-0.17</v>
      </c>
      <c r="O20" s="10">
        <v>-924.62</v>
      </c>
      <c r="P20" s="12">
        <v>-3.5785</v>
      </c>
      <c r="Q20" s="6" t="s">
        <v>39</v>
      </c>
      <c r="R20" s="10">
        <v>-2388.4699999999998</v>
      </c>
      <c r="S20" s="11">
        <v>-3.0000000000000001E-3</v>
      </c>
      <c r="T20" s="10">
        <v>-0.85</v>
      </c>
      <c r="U20" s="10">
        <v>-0.55000000000000004</v>
      </c>
      <c r="V20" s="10">
        <v>-4076.31</v>
      </c>
      <c r="W20" s="11">
        <v>-5.0000000000000001E-3</v>
      </c>
      <c r="X20" s="10">
        <v>-1.41</v>
      </c>
      <c r="Y20" s="10">
        <v>-0.94</v>
      </c>
      <c r="Z20" s="10">
        <v>1687.84</v>
      </c>
      <c r="AA20" s="11">
        <v>0.41399999999999998</v>
      </c>
      <c r="AB20" s="10">
        <v>-1942.52</v>
      </c>
      <c r="AC20" s="11">
        <v>-3.0000000000000001E-3</v>
      </c>
      <c r="AD20" s="10">
        <v>-0.69</v>
      </c>
      <c r="AE20" s="10">
        <v>-0.45</v>
      </c>
      <c r="AF20" s="10">
        <v>-445.95</v>
      </c>
      <c r="AG20" s="12">
        <v>-0.22949999999999998</v>
      </c>
    </row>
    <row r="21" spans="1:33" x14ac:dyDescent="0.2">
      <c r="A21" s="14">
        <v>277227.2</v>
      </c>
      <c r="B21" s="15">
        <v>1</v>
      </c>
      <c r="C21" s="14">
        <v>275.02999999999997</v>
      </c>
      <c r="D21" s="14">
        <v>186.31</v>
      </c>
      <c r="E21" s="14">
        <v>294018.43</v>
      </c>
      <c r="F21" s="15">
        <v>1</v>
      </c>
      <c r="G21" s="14">
        <v>297.58999999999997</v>
      </c>
      <c r="H21" s="14">
        <v>197.59</v>
      </c>
      <c r="I21" s="14">
        <v>-16791.23</v>
      </c>
      <c r="J21" s="15">
        <v>-5.7000000000000002E-2</v>
      </c>
      <c r="K21" s="14">
        <v>263302.61</v>
      </c>
      <c r="L21" s="15">
        <v>1</v>
      </c>
      <c r="M21" s="14">
        <v>272.85000000000002</v>
      </c>
      <c r="N21" s="14">
        <v>176.95</v>
      </c>
      <c r="O21" s="14">
        <v>13924.59</v>
      </c>
      <c r="P21" s="16">
        <v>5.28E-2</v>
      </c>
      <c r="Q21" s="6" t="s">
        <v>40</v>
      </c>
      <c r="R21" s="14">
        <v>767913.39</v>
      </c>
      <c r="S21" s="15">
        <v>1</v>
      </c>
      <c r="T21" s="14">
        <v>274.25</v>
      </c>
      <c r="U21" s="14">
        <v>177.76</v>
      </c>
      <c r="V21" s="14">
        <v>825381.23</v>
      </c>
      <c r="W21" s="15">
        <v>1</v>
      </c>
      <c r="X21" s="14">
        <v>285.60000000000002</v>
      </c>
      <c r="Y21" s="14">
        <v>191.06</v>
      </c>
      <c r="Z21" s="14">
        <v>-57467.839999999997</v>
      </c>
      <c r="AA21" s="15">
        <v>-7.0000000000000007E-2</v>
      </c>
      <c r="AB21" s="14">
        <v>726939.77</v>
      </c>
      <c r="AC21" s="15">
        <v>1</v>
      </c>
      <c r="AD21" s="14">
        <v>256.42</v>
      </c>
      <c r="AE21" s="14">
        <v>168.27</v>
      </c>
      <c r="AF21" s="14">
        <v>40973.620000000003</v>
      </c>
      <c r="AG21" s="16">
        <v>5.6299999999999996E-2</v>
      </c>
    </row>
    <row r="22" spans="1:33" x14ac:dyDescent="0.2">
      <c r="A22" s="6" t="s">
        <v>33</v>
      </c>
      <c r="B22" s="6" t="s">
        <v>33</v>
      </c>
      <c r="C22" s="6" t="s">
        <v>33</v>
      </c>
      <c r="D22" s="6" t="s">
        <v>33</v>
      </c>
      <c r="E22" s="6" t="s">
        <v>33</v>
      </c>
      <c r="F22" s="6" t="s">
        <v>33</v>
      </c>
      <c r="G22" s="6" t="s">
        <v>33</v>
      </c>
      <c r="H22" s="6" t="s">
        <v>33</v>
      </c>
      <c r="I22" s="6" t="s">
        <v>33</v>
      </c>
      <c r="J22" s="6" t="s">
        <v>33</v>
      </c>
      <c r="K22" s="6" t="s">
        <v>33</v>
      </c>
      <c r="L22" s="6" t="s">
        <v>33</v>
      </c>
      <c r="M22" s="6" t="s">
        <v>33</v>
      </c>
      <c r="N22" s="6" t="s">
        <v>33</v>
      </c>
      <c r="O22" s="6" t="s">
        <v>33</v>
      </c>
      <c r="P22" s="6" t="s">
        <v>33</v>
      </c>
      <c r="Q22" s="6" t="s">
        <v>41</v>
      </c>
      <c r="R22" s="6" t="s">
        <v>33</v>
      </c>
      <c r="S22" s="6" t="s">
        <v>33</v>
      </c>
      <c r="T22" s="6" t="s">
        <v>33</v>
      </c>
      <c r="U22" s="6" t="s">
        <v>33</v>
      </c>
      <c r="V22" s="6" t="s">
        <v>33</v>
      </c>
      <c r="W22" s="6" t="s">
        <v>33</v>
      </c>
      <c r="X22" s="6" t="s">
        <v>33</v>
      </c>
      <c r="Y22" s="6" t="s">
        <v>33</v>
      </c>
      <c r="Z22" s="6" t="s">
        <v>33</v>
      </c>
      <c r="AA22" s="6" t="s">
        <v>33</v>
      </c>
      <c r="AB22" s="6" t="s">
        <v>33</v>
      </c>
      <c r="AC22" s="6" t="s">
        <v>33</v>
      </c>
      <c r="AD22" s="6" t="s">
        <v>33</v>
      </c>
      <c r="AE22" s="6" t="s">
        <v>33</v>
      </c>
      <c r="AF22" s="6" t="s">
        <v>33</v>
      </c>
      <c r="AG22" s="6" t="s">
        <v>33</v>
      </c>
    </row>
    <row r="23" spans="1:33" x14ac:dyDescent="0.2">
      <c r="A23" s="10">
        <v>65391.44</v>
      </c>
      <c r="B23" s="11">
        <v>0.23600000000000002</v>
      </c>
      <c r="C23" s="10">
        <v>64.87</v>
      </c>
      <c r="D23" s="10">
        <v>43.95</v>
      </c>
      <c r="E23" s="10">
        <v>53672.76</v>
      </c>
      <c r="F23" s="11">
        <v>0.183</v>
      </c>
      <c r="G23" s="10">
        <v>54.33</v>
      </c>
      <c r="H23" s="10">
        <v>36.07</v>
      </c>
      <c r="I23" s="10">
        <v>-11718.68</v>
      </c>
      <c r="J23" s="11">
        <v>-0.218</v>
      </c>
      <c r="K23" s="10">
        <v>56938.81</v>
      </c>
      <c r="L23" s="11">
        <v>0.21600000000000003</v>
      </c>
      <c r="M23" s="10">
        <v>59</v>
      </c>
      <c r="N23" s="10">
        <v>38.270000000000003</v>
      </c>
      <c r="O23" s="10">
        <v>-8452.6299999999992</v>
      </c>
      <c r="P23" s="12">
        <v>-0.1484</v>
      </c>
      <c r="Q23" s="6" t="s">
        <v>42</v>
      </c>
      <c r="R23" s="10">
        <v>154557.4</v>
      </c>
      <c r="S23" s="11">
        <v>0.20100000000000001</v>
      </c>
      <c r="T23" s="10">
        <v>55.2</v>
      </c>
      <c r="U23" s="10">
        <v>35.78</v>
      </c>
      <c r="V23" s="10">
        <v>156998.22</v>
      </c>
      <c r="W23" s="11">
        <v>0.19</v>
      </c>
      <c r="X23" s="10">
        <v>54.32</v>
      </c>
      <c r="Y23" s="10">
        <v>36.340000000000003</v>
      </c>
      <c r="Z23" s="10">
        <v>2440.8200000000002</v>
      </c>
      <c r="AA23" s="11">
        <v>1.6E-2</v>
      </c>
      <c r="AB23" s="10">
        <v>153976.45000000001</v>
      </c>
      <c r="AC23" s="11">
        <v>0.21199999999999999</v>
      </c>
      <c r="AD23" s="10">
        <v>54.31</v>
      </c>
      <c r="AE23" s="10">
        <v>35.64</v>
      </c>
      <c r="AF23" s="10">
        <v>-580.95000000000005</v>
      </c>
      <c r="AG23" s="12">
        <v>-3.7000000000000002E-3</v>
      </c>
    </row>
    <row r="24" spans="1:33" x14ac:dyDescent="0.2">
      <c r="A24" s="10">
        <v>136720.34</v>
      </c>
      <c r="B24" s="11">
        <v>0.49299999999999999</v>
      </c>
      <c r="C24" s="10">
        <v>135.63999999999999</v>
      </c>
      <c r="D24" s="10">
        <v>91.88</v>
      </c>
      <c r="E24" s="10">
        <v>107319.6</v>
      </c>
      <c r="F24" s="11">
        <v>0.36499999999999999</v>
      </c>
      <c r="G24" s="10">
        <v>108.62</v>
      </c>
      <c r="H24" s="10">
        <v>72.12</v>
      </c>
      <c r="I24" s="10">
        <v>-29400.74</v>
      </c>
      <c r="J24" s="11">
        <v>-0.27399999999999997</v>
      </c>
      <c r="K24" s="10">
        <v>96564.85</v>
      </c>
      <c r="L24" s="11">
        <v>0.36700000000000005</v>
      </c>
      <c r="M24" s="10">
        <v>100.07</v>
      </c>
      <c r="N24" s="10">
        <v>64.900000000000006</v>
      </c>
      <c r="O24" s="10">
        <v>-40155.49</v>
      </c>
      <c r="P24" s="12">
        <v>-0.4158</v>
      </c>
      <c r="Q24" s="6" t="s">
        <v>43</v>
      </c>
      <c r="R24" s="10">
        <v>352807.29</v>
      </c>
      <c r="S24" s="11">
        <v>0.45899999999999996</v>
      </c>
      <c r="T24" s="10">
        <v>126</v>
      </c>
      <c r="U24" s="10">
        <v>81.67</v>
      </c>
      <c r="V24" s="10">
        <v>313920.69</v>
      </c>
      <c r="W24" s="11">
        <v>0.38</v>
      </c>
      <c r="X24" s="10">
        <v>108.62</v>
      </c>
      <c r="Y24" s="10">
        <v>72.67</v>
      </c>
      <c r="Z24" s="10">
        <v>-38886.6</v>
      </c>
      <c r="AA24" s="11">
        <v>-0.124</v>
      </c>
      <c r="AB24" s="10">
        <v>308836.69</v>
      </c>
      <c r="AC24" s="11">
        <v>0.42499999999999999</v>
      </c>
      <c r="AD24" s="10">
        <v>108.94</v>
      </c>
      <c r="AE24" s="10">
        <v>71.489999999999995</v>
      </c>
      <c r="AF24" s="10">
        <v>-43970.6</v>
      </c>
      <c r="AG24" s="12">
        <v>-0.14230000000000001</v>
      </c>
    </row>
    <row r="25" spans="1:33" x14ac:dyDescent="0.2">
      <c r="A25" s="10">
        <v>-12226.85</v>
      </c>
      <c r="B25" s="11">
        <v>-4.4000000000000004E-2</v>
      </c>
      <c r="C25" s="10">
        <v>-12.13</v>
      </c>
      <c r="D25" s="10">
        <v>-8.2200000000000006</v>
      </c>
      <c r="E25" s="10">
        <v>4525.04</v>
      </c>
      <c r="F25" s="11">
        <v>1.4999999999999999E-2</v>
      </c>
      <c r="G25" s="10">
        <v>4.58</v>
      </c>
      <c r="H25" s="10">
        <v>3.04</v>
      </c>
      <c r="I25" s="10">
        <v>16751.89</v>
      </c>
      <c r="J25" s="11">
        <v>3.702</v>
      </c>
      <c r="K25" s="10">
        <v>1621.92</v>
      </c>
      <c r="L25" s="11">
        <v>6.0000000000000001E-3</v>
      </c>
      <c r="M25" s="10">
        <v>1.6800000000000002</v>
      </c>
      <c r="N25" s="10">
        <v>1.0900000000000001</v>
      </c>
      <c r="O25" s="10">
        <v>13848.77</v>
      </c>
      <c r="P25" s="12">
        <v>8.5385000000000009</v>
      </c>
      <c r="Q25" s="6" t="s">
        <v>44</v>
      </c>
      <c r="R25" s="10">
        <v>1576.52</v>
      </c>
      <c r="S25" s="11">
        <v>2E-3</v>
      </c>
      <c r="T25" s="10">
        <v>0.56000000000000005</v>
      </c>
      <c r="U25" s="10">
        <v>0.36</v>
      </c>
      <c r="V25" s="10">
        <v>13236.2</v>
      </c>
      <c r="W25" s="11">
        <v>1.6E-2</v>
      </c>
      <c r="X25" s="10">
        <v>4.58</v>
      </c>
      <c r="Y25" s="10">
        <v>3.06</v>
      </c>
      <c r="Z25" s="10">
        <v>11659.68</v>
      </c>
      <c r="AA25" s="11">
        <v>0.88099999999999989</v>
      </c>
      <c r="AB25" s="10">
        <v>3694.65</v>
      </c>
      <c r="AC25" s="11">
        <v>5.0000000000000001E-3</v>
      </c>
      <c r="AD25" s="10">
        <v>1.3</v>
      </c>
      <c r="AE25" s="10">
        <v>0.86</v>
      </c>
      <c r="AF25" s="10">
        <v>2118.13</v>
      </c>
      <c r="AG25" s="12">
        <v>0.57320000000000004</v>
      </c>
    </row>
    <row r="26" spans="1:33" x14ac:dyDescent="0.2">
      <c r="A26" s="14">
        <v>189884.93</v>
      </c>
      <c r="B26" s="15">
        <v>0.68500000000000005</v>
      </c>
      <c r="C26" s="14">
        <v>188.38</v>
      </c>
      <c r="D26" s="14">
        <v>127.61</v>
      </c>
      <c r="E26" s="14">
        <v>165517.4</v>
      </c>
      <c r="F26" s="15">
        <v>0.56299999999999994</v>
      </c>
      <c r="G26" s="14">
        <v>167.53</v>
      </c>
      <c r="H26" s="14">
        <v>111.24</v>
      </c>
      <c r="I26" s="14">
        <v>-24367.53</v>
      </c>
      <c r="J26" s="15">
        <v>-0.14699999999999999</v>
      </c>
      <c r="K26" s="14">
        <v>155125.57999999999</v>
      </c>
      <c r="L26" s="15">
        <v>0.58899999999999997</v>
      </c>
      <c r="M26" s="14">
        <v>160.75</v>
      </c>
      <c r="N26" s="14">
        <v>104.25</v>
      </c>
      <c r="O26" s="14">
        <v>-34759.35</v>
      </c>
      <c r="P26" s="16">
        <v>-0.22399999999999998</v>
      </c>
      <c r="Q26" s="6" t="s">
        <v>45</v>
      </c>
      <c r="R26" s="14">
        <v>508941.21</v>
      </c>
      <c r="S26" s="15">
        <v>0.66299999999999992</v>
      </c>
      <c r="T26" s="14">
        <v>181.76</v>
      </c>
      <c r="U26" s="14">
        <v>117.81</v>
      </c>
      <c r="V26" s="14">
        <v>484155.11</v>
      </c>
      <c r="W26" s="15">
        <v>0.58700000000000008</v>
      </c>
      <c r="X26" s="14">
        <v>167.53</v>
      </c>
      <c r="Y26" s="14">
        <v>112.07</v>
      </c>
      <c r="Z26" s="14">
        <v>-24786.1</v>
      </c>
      <c r="AA26" s="15">
        <v>-5.0999999999999997E-2</v>
      </c>
      <c r="AB26" s="14">
        <v>466507.79</v>
      </c>
      <c r="AC26" s="15">
        <v>0.64200000000000002</v>
      </c>
      <c r="AD26" s="14">
        <v>164.55</v>
      </c>
      <c r="AE26" s="14">
        <v>107.99</v>
      </c>
      <c r="AF26" s="14">
        <v>-42433.42</v>
      </c>
      <c r="AG26" s="16">
        <v>-9.0899999999999995E-2</v>
      </c>
    </row>
    <row r="27" spans="1:33" x14ac:dyDescent="0.2">
      <c r="A27" s="14">
        <v>87342.27</v>
      </c>
      <c r="B27" s="15">
        <v>0.315</v>
      </c>
      <c r="C27" s="14">
        <v>86.65</v>
      </c>
      <c r="D27" s="14">
        <v>58.7</v>
      </c>
      <c r="E27" s="14">
        <v>128501.03</v>
      </c>
      <c r="F27" s="15">
        <v>0.43700000000000006</v>
      </c>
      <c r="G27" s="14">
        <v>130.06</v>
      </c>
      <c r="H27" s="14">
        <v>86.36</v>
      </c>
      <c r="I27" s="14">
        <v>-41158.76</v>
      </c>
      <c r="J27" s="15">
        <v>-0.32</v>
      </c>
      <c r="K27" s="14">
        <v>108177.03</v>
      </c>
      <c r="L27" s="15">
        <v>0.41100000000000003</v>
      </c>
      <c r="M27" s="14">
        <v>112.1</v>
      </c>
      <c r="N27" s="14">
        <v>72.7</v>
      </c>
      <c r="O27" s="14">
        <v>-20834.759999999998</v>
      </c>
      <c r="P27" s="16">
        <v>-0.1925</v>
      </c>
      <c r="Q27" s="6" t="s">
        <v>46</v>
      </c>
      <c r="R27" s="14">
        <v>258972.18</v>
      </c>
      <c r="S27" s="15">
        <v>0.33700000000000002</v>
      </c>
      <c r="T27" s="14">
        <v>92.49</v>
      </c>
      <c r="U27" s="14">
        <v>59.95</v>
      </c>
      <c r="V27" s="14">
        <v>341226.12</v>
      </c>
      <c r="W27" s="15">
        <v>0.41299999999999998</v>
      </c>
      <c r="X27" s="14">
        <v>118.07</v>
      </c>
      <c r="Y27" s="14">
        <v>78.989999999999995</v>
      </c>
      <c r="Z27" s="14">
        <v>-82253.94</v>
      </c>
      <c r="AA27" s="15">
        <v>-0.24100000000000002</v>
      </c>
      <c r="AB27" s="14">
        <v>260431.98</v>
      </c>
      <c r="AC27" s="15">
        <v>0.35799999999999998</v>
      </c>
      <c r="AD27" s="14">
        <v>91.86</v>
      </c>
      <c r="AE27" s="14">
        <v>60.29</v>
      </c>
      <c r="AF27" s="14">
        <v>-1459.8</v>
      </c>
      <c r="AG27" s="16">
        <v>-5.6000000000000008E-3</v>
      </c>
    </row>
    <row r="28" spans="1:33" x14ac:dyDescent="0.2">
      <c r="A28" s="6" t="s">
        <v>33</v>
      </c>
      <c r="B28" s="6" t="s">
        <v>33</v>
      </c>
      <c r="C28" s="6" t="s">
        <v>33</v>
      </c>
      <c r="D28" s="6" t="s">
        <v>33</v>
      </c>
      <c r="E28" s="6" t="s">
        <v>33</v>
      </c>
      <c r="F28" s="6" t="s">
        <v>33</v>
      </c>
      <c r="G28" s="6" t="s">
        <v>33</v>
      </c>
      <c r="H28" s="6" t="s">
        <v>33</v>
      </c>
      <c r="I28" s="6" t="s">
        <v>33</v>
      </c>
      <c r="J28" s="6" t="s">
        <v>33</v>
      </c>
      <c r="K28" s="6" t="s">
        <v>33</v>
      </c>
      <c r="L28" s="6" t="s">
        <v>33</v>
      </c>
      <c r="M28" s="6" t="s">
        <v>33</v>
      </c>
      <c r="N28" s="6" t="s">
        <v>33</v>
      </c>
      <c r="O28" s="6" t="s">
        <v>33</v>
      </c>
      <c r="P28" s="6" t="s">
        <v>33</v>
      </c>
      <c r="Q28" s="6" t="s">
        <v>47</v>
      </c>
      <c r="R28" s="6" t="s">
        <v>33</v>
      </c>
      <c r="S28" s="6" t="s">
        <v>33</v>
      </c>
      <c r="T28" s="6" t="s">
        <v>33</v>
      </c>
      <c r="U28" s="6" t="s">
        <v>33</v>
      </c>
      <c r="V28" s="6" t="s">
        <v>33</v>
      </c>
      <c r="W28" s="6" t="s">
        <v>33</v>
      </c>
      <c r="X28" s="6" t="s">
        <v>33</v>
      </c>
      <c r="Y28" s="6" t="s">
        <v>33</v>
      </c>
      <c r="Z28" s="6" t="s">
        <v>33</v>
      </c>
      <c r="AA28" s="6" t="s">
        <v>33</v>
      </c>
      <c r="AB28" s="6" t="s">
        <v>33</v>
      </c>
      <c r="AC28" s="6" t="s">
        <v>33</v>
      </c>
      <c r="AD28" s="6" t="s">
        <v>33</v>
      </c>
      <c r="AE28" s="6" t="s">
        <v>33</v>
      </c>
      <c r="AF28" s="6" t="s">
        <v>33</v>
      </c>
      <c r="AG28" s="6" t="s">
        <v>33</v>
      </c>
    </row>
    <row r="29" spans="1:33" x14ac:dyDescent="0.2">
      <c r="A29" s="10">
        <v>36233.26</v>
      </c>
      <c r="B29" s="11">
        <v>0.13100000000000001</v>
      </c>
      <c r="C29" s="10">
        <v>35.950000000000003</v>
      </c>
      <c r="D29" s="10">
        <v>24.35</v>
      </c>
      <c r="E29" s="10">
        <v>39846.019999999997</v>
      </c>
      <c r="F29" s="11">
        <v>0.13600000000000001</v>
      </c>
      <c r="G29" s="10">
        <v>40.33</v>
      </c>
      <c r="H29" s="10">
        <v>26.78</v>
      </c>
      <c r="I29" s="10">
        <v>3612.76</v>
      </c>
      <c r="J29" s="11">
        <v>9.0999999999999998E-2</v>
      </c>
      <c r="K29" s="10">
        <v>39107.919999999998</v>
      </c>
      <c r="L29" s="11">
        <v>0.14899999999999999</v>
      </c>
      <c r="M29" s="10">
        <v>40.53</v>
      </c>
      <c r="N29" s="10">
        <v>26.28</v>
      </c>
      <c r="O29" s="10">
        <v>2874.66</v>
      </c>
      <c r="P29" s="12">
        <v>7.3499999999999996E-2</v>
      </c>
      <c r="Q29" s="6" t="s">
        <v>48</v>
      </c>
      <c r="R29" s="10">
        <v>99148.07</v>
      </c>
      <c r="S29" s="11">
        <v>0.129</v>
      </c>
      <c r="T29" s="10">
        <v>35.409999999999997</v>
      </c>
      <c r="U29" s="10">
        <v>22.95</v>
      </c>
      <c r="V29" s="10">
        <v>109174.14</v>
      </c>
      <c r="W29" s="11">
        <v>0.13200000000000001</v>
      </c>
      <c r="X29" s="10">
        <v>37.78</v>
      </c>
      <c r="Y29" s="10">
        <v>25.27</v>
      </c>
      <c r="Z29" s="10">
        <v>10026.07</v>
      </c>
      <c r="AA29" s="11">
        <v>9.1999999999999998E-2</v>
      </c>
      <c r="AB29" s="10">
        <v>122767.57</v>
      </c>
      <c r="AC29" s="11">
        <v>0.16899999999999998</v>
      </c>
      <c r="AD29" s="10">
        <v>43.3</v>
      </c>
      <c r="AE29" s="10">
        <v>28.42</v>
      </c>
      <c r="AF29" s="10">
        <v>23619.5</v>
      </c>
      <c r="AG29" s="12">
        <v>0.1923</v>
      </c>
    </row>
    <row r="30" spans="1:33" x14ac:dyDescent="0.2">
      <c r="A30" s="10">
        <v>4688.28</v>
      </c>
      <c r="B30" s="11">
        <v>1.7000000000000001E-2</v>
      </c>
      <c r="C30" s="10">
        <v>4.6500000000000004</v>
      </c>
      <c r="D30" s="10">
        <v>3.15</v>
      </c>
      <c r="E30" s="10">
        <v>6810.31</v>
      </c>
      <c r="F30" s="11">
        <v>2.3E-2</v>
      </c>
      <c r="G30" s="10">
        <v>6.89</v>
      </c>
      <c r="H30" s="10">
        <v>4.58</v>
      </c>
      <c r="I30" s="10">
        <v>2122.0300000000002</v>
      </c>
      <c r="J30" s="11">
        <v>0.312</v>
      </c>
      <c r="K30" s="10">
        <v>7925.09</v>
      </c>
      <c r="L30" s="11">
        <v>0.03</v>
      </c>
      <c r="M30" s="10">
        <v>8.2100000000000009</v>
      </c>
      <c r="N30" s="10">
        <v>5.33</v>
      </c>
      <c r="O30" s="10">
        <v>3236.81</v>
      </c>
      <c r="P30" s="12">
        <v>0.40840000000000004</v>
      </c>
      <c r="Q30" s="6" t="s">
        <v>49</v>
      </c>
      <c r="R30" s="10">
        <v>13179.1</v>
      </c>
      <c r="S30" s="11">
        <v>1.7000000000000001E-2</v>
      </c>
      <c r="T30" s="10">
        <v>4.71</v>
      </c>
      <c r="U30" s="10">
        <v>3.05</v>
      </c>
      <c r="V30" s="10">
        <v>19166.14</v>
      </c>
      <c r="W30" s="11">
        <v>2.3E-2</v>
      </c>
      <c r="X30" s="10">
        <v>6.63</v>
      </c>
      <c r="Y30" s="10">
        <v>4.4400000000000004</v>
      </c>
      <c r="Z30" s="10">
        <v>5987.04</v>
      </c>
      <c r="AA30" s="11">
        <v>0.312</v>
      </c>
      <c r="AB30" s="10">
        <v>21700.240000000002</v>
      </c>
      <c r="AC30" s="11">
        <v>0.03</v>
      </c>
      <c r="AD30" s="10">
        <v>7.65</v>
      </c>
      <c r="AE30" s="10">
        <v>5.0199999999999996</v>
      </c>
      <c r="AF30" s="10">
        <v>8521.14</v>
      </c>
      <c r="AG30" s="12">
        <v>0.3926</v>
      </c>
    </row>
    <row r="31" spans="1:33" x14ac:dyDescent="0.2">
      <c r="A31" s="10">
        <v>2025</v>
      </c>
      <c r="B31" s="11">
        <v>6.9999999999999993E-3</v>
      </c>
      <c r="C31" s="10">
        <v>2.0099999999999998</v>
      </c>
      <c r="D31" s="10">
        <v>1.3599999999999999</v>
      </c>
      <c r="E31" s="10">
        <v>1901.73</v>
      </c>
      <c r="F31" s="11">
        <v>6.0000000000000001E-3</v>
      </c>
      <c r="G31" s="10">
        <v>1.92</v>
      </c>
      <c r="H31" s="10">
        <v>1.28</v>
      </c>
      <c r="I31" s="10">
        <v>-123.27</v>
      </c>
      <c r="J31" s="11">
        <v>-6.5000000000000002E-2</v>
      </c>
      <c r="K31" s="10">
        <v>1950</v>
      </c>
      <c r="L31" s="11">
        <v>6.9999999999999993E-3</v>
      </c>
      <c r="M31" s="10">
        <v>2.02</v>
      </c>
      <c r="N31" s="10">
        <v>1.31</v>
      </c>
      <c r="O31" s="10">
        <v>-75</v>
      </c>
      <c r="P31" s="12">
        <v>-3.8399999999999997E-2</v>
      </c>
      <c r="Q31" s="6" t="s">
        <v>50</v>
      </c>
      <c r="R31" s="10">
        <v>5586</v>
      </c>
      <c r="S31" s="11">
        <v>6.9999999999999993E-3</v>
      </c>
      <c r="T31" s="10">
        <v>2</v>
      </c>
      <c r="U31" s="10">
        <v>1.29</v>
      </c>
      <c r="V31" s="10">
        <v>5562.75</v>
      </c>
      <c r="W31" s="11">
        <v>6.9999999999999993E-3</v>
      </c>
      <c r="X31" s="10">
        <v>1.92</v>
      </c>
      <c r="Y31" s="10">
        <v>1.29</v>
      </c>
      <c r="Z31" s="10">
        <v>-23.25</v>
      </c>
      <c r="AA31" s="11">
        <v>-4.0000000000000001E-3</v>
      </c>
      <c r="AB31" s="10">
        <v>5697</v>
      </c>
      <c r="AC31" s="11">
        <v>8.0000000000000002E-3</v>
      </c>
      <c r="AD31" s="10">
        <v>2.0099999999999998</v>
      </c>
      <c r="AE31" s="10">
        <v>1.32</v>
      </c>
      <c r="AF31" s="10">
        <v>111</v>
      </c>
      <c r="AG31" s="12">
        <v>1.9400000000000001E-2</v>
      </c>
    </row>
    <row r="32" spans="1:33" x14ac:dyDescent="0.2">
      <c r="A32" s="10">
        <v>9236.48</v>
      </c>
      <c r="B32" s="11">
        <v>3.3000000000000002E-2</v>
      </c>
      <c r="C32" s="10">
        <v>9.16</v>
      </c>
      <c r="D32" s="10">
        <v>6.21</v>
      </c>
      <c r="E32" s="10">
        <v>7514.99</v>
      </c>
      <c r="F32" s="11">
        <v>2.6000000000000002E-2</v>
      </c>
      <c r="G32" s="10">
        <v>7.61</v>
      </c>
      <c r="H32" s="10">
        <v>5.05</v>
      </c>
      <c r="I32" s="10">
        <v>-1721.49</v>
      </c>
      <c r="J32" s="11">
        <v>-0.22899999999999998</v>
      </c>
      <c r="K32" s="10">
        <v>8320.6200000000008</v>
      </c>
      <c r="L32" s="11">
        <v>3.2000000000000001E-2</v>
      </c>
      <c r="M32" s="10">
        <v>8.6199999999999992</v>
      </c>
      <c r="N32" s="10">
        <v>5.59</v>
      </c>
      <c r="O32" s="10">
        <v>-915.86</v>
      </c>
      <c r="P32" s="12">
        <v>-0.11</v>
      </c>
      <c r="Q32" s="6" t="s">
        <v>51</v>
      </c>
      <c r="R32" s="10">
        <v>24808.36</v>
      </c>
      <c r="S32" s="11">
        <v>3.2000000000000001E-2</v>
      </c>
      <c r="T32" s="10">
        <v>8.86</v>
      </c>
      <c r="U32" s="10">
        <v>5.74</v>
      </c>
      <c r="V32" s="10">
        <v>21982.11</v>
      </c>
      <c r="W32" s="11">
        <v>2.7000000000000003E-2</v>
      </c>
      <c r="X32" s="10">
        <v>7.61</v>
      </c>
      <c r="Y32" s="10">
        <v>5.09</v>
      </c>
      <c r="Z32" s="10">
        <v>-2826.25</v>
      </c>
      <c r="AA32" s="11">
        <v>-0.129</v>
      </c>
      <c r="AB32" s="10">
        <v>25077.21</v>
      </c>
      <c r="AC32" s="11">
        <v>3.4000000000000002E-2</v>
      </c>
      <c r="AD32" s="10">
        <v>8.85</v>
      </c>
      <c r="AE32" s="10">
        <v>5.8</v>
      </c>
      <c r="AF32" s="10">
        <v>268.85000000000002</v>
      </c>
      <c r="AG32" s="12">
        <v>1.0700000000000001E-2</v>
      </c>
    </row>
    <row r="33" spans="1:33" x14ac:dyDescent="0.2">
      <c r="A33" s="10">
        <v>30849.33</v>
      </c>
      <c r="B33" s="11">
        <v>0.111</v>
      </c>
      <c r="C33" s="10">
        <v>30.6</v>
      </c>
      <c r="D33" s="10">
        <v>20.73</v>
      </c>
      <c r="E33" s="10">
        <v>24587.17</v>
      </c>
      <c r="F33" s="11">
        <v>8.4000000000000005E-2</v>
      </c>
      <c r="G33" s="10">
        <v>24.89</v>
      </c>
      <c r="H33" s="10">
        <v>16.52</v>
      </c>
      <c r="I33" s="10">
        <v>-6262.16</v>
      </c>
      <c r="J33" s="11">
        <v>-0.255</v>
      </c>
      <c r="K33" s="10">
        <v>26966.7</v>
      </c>
      <c r="L33" s="11">
        <v>0.10199999999999999</v>
      </c>
      <c r="M33" s="10">
        <v>27.94</v>
      </c>
      <c r="N33" s="10">
        <v>18.12</v>
      </c>
      <c r="O33" s="10">
        <v>-3882.63</v>
      </c>
      <c r="P33" s="12">
        <v>-0.1439</v>
      </c>
      <c r="Q33" s="6" t="s">
        <v>52</v>
      </c>
      <c r="R33" s="10">
        <v>77820.47</v>
      </c>
      <c r="S33" s="11">
        <v>0.10099999999999999</v>
      </c>
      <c r="T33" s="10">
        <v>27.79</v>
      </c>
      <c r="U33" s="10">
        <v>18.010000000000002</v>
      </c>
      <c r="V33" s="10">
        <v>70070.41</v>
      </c>
      <c r="W33" s="11">
        <v>8.5000000000000006E-2</v>
      </c>
      <c r="X33" s="10">
        <v>24.25</v>
      </c>
      <c r="Y33" s="10">
        <v>16.22</v>
      </c>
      <c r="Z33" s="10">
        <v>-7750.06</v>
      </c>
      <c r="AA33" s="11">
        <v>-0.111</v>
      </c>
      <c r="AB33" s="10">
        <v>72560.12</v>
      </c>
      <c r="AC33" s="11">
        <v>0.1</v>
      </c>
      <c r="AD33" s="10">
        <v>25.59</v>
      </c>
      <c r="AE33" s="10">
        <v>16.8</v>
      </c>
      <c r="AF33" s="10">
        <v>-5260.35</v>
      </c>
      <c r="AG33" s="12">
        <v>-7.2400000000000006E-2</v>
      </c>
    </row>
    <row r="34" spans="1:33" x14ac:dyDescent="0.2">
      <c r="A34" s="10">
        <v>8038.29</v>
      </c>
      <c r="B34" s="11">
        <v>2.8999999999999998E-2</v>
      </c>
      <c r="C34" s="10">
        <v>7.97</v>
      </c>
      <c r="D34" s="10">
        <v>5.4</v>
      </c>
      <c r="E34" s="10">
        <v>12107.43</v>
      </c>
      <c r="F34" s="11">
        <v>4.0999999999999995E-2</v>
      </c>
      <c r="G34" s="10">
        <v>12.25</v>
      </c>
      <c r="H34" s="10">
        <v>8.14</v>
      </c>
      <c r="I34" s="10">
        <v>4069.14</v>
      </c>
      <c r="J34" s="11">
        <v>0.33600000000000002</v>
      </c>
      <c r="K34" s="10">
        <v>14335.3</v>
      </c>
      <c r="L34" s="11">
        <v>5.4000000000000006E-2</v>
      </c>
      <c r="M34" s="10">
        <v>14.86</v>
      </c>
      <c r="N34" s="10">
        <v>9.6300000000000008</v>
      </c>
      <c r="O34" s="10">
        <v>6297.01</v>
      </c>
      <c r="P34" s="12">
        <v>0.43920000000000003</v>
      </c>
      <c r="Q34" s="6" t="s">
        <v>53</v>
      </c>
      <c r="R34" s="10">
        <v>26305.53</v>
      </c>
      <c r="S34" s="11">
        <v>3.4000000000000002E-2</v>
      </c>
      <c r="T34" s="10">
        <v>9.39</v>
      </c>
      <c r="U34" s="10">
        <v>6.09</v>
      </c>
      <c r="V34" s="10">
        <v>35415.47</v>
      </c>
      <c r="W34" s="11">
        <v>4.2999999999999997E-2</v>
      </c>
      <c r="X34" s="10">
        <v>12.25</v>
      </c>
      <c r="Y34" s="10">
        <v>8.1999999999999993</v>
      </c>
      <c r="Z34" s="10">
        <v>9109.94</v>
      </c>
      <c r="AA34" s="11">
        <v>0.25700000000000001</v>
      </c>
      <c r="AB34" s="10">
        <v>37222.25</v>
      </c>
      <c r="AC34" s="11">
        <v>5.0999999999999997E-2</v>
      </c>
      <c r="AD34" s="10">
        <v>13.13</v>
      </c>
      <c r="AE34" s="10">
        <v>8.6199999999999992</v>
      </c>
      <c r="AF34" s="10">
        <v>10916.72</v>
      </c>
      <c r="AG34" s="12">
        <v>0.29320000000000002</v>
      </c>
    </row>
    <row r="35" spans="1:33" x14ac:dyDescent="0.2">
      <c r="A35" s="10">
        <v>10837.09</v>
      </c>
      <c r="B35" s="11">
        <v>3.9E-2</v>
      </c>
      <c r="C35" s="10">
        <v>10.75</v>
      </c>
      <c r="D35" s="10">
        <v>7.28</v>
      </c>
      <c r="E35" s="10">
        <v>8986.07</v>
      </c>
      <c r="F35" s="11">
        <v>3.1E-2</v>
      </c>
      <c r="G35" s="10">
        <v>9.1</v>
      </c>
      <c r="H35" s="10">
        <v>6.04</v>
      </c>
      <c r="I35" s="10">
        <v>-1851.02</v>
      </c>
      <c r="J35" s="11">
        <v>-0.20600000000000002</v>
      </c>
      <c r="K35" s="10">
        <v>11318.7</v>
      </c>
      <c r="L35" s="11">
        <v>4.2999999999999997E-2</v>
      </c>
      <c r="M35" s="10">
        <v>11.73</v>
      </c>
      <c r="N35" s="10">
        <v>7.61</v>
      </c>
      <c r="O35" s="10">
        <v>481.61</v>
      </c>
      <c r="P35" s="12">
        <v>4.2500000000000003E-2</v>
      </c>
      <c r="Q35" s="6" t="s">
        <v>54</v>
      </c>
      <c r="R35" s="10">
        <v>35656.879999999997</v>
      </c>
      <c r="S35" s="11">
        <v>4.5999999999999999E-2</v>
      </c>
      <c r="T35" s="10">
        <v>12.73</v>
      </c>
      <c r="U35" s="10">
        <v>8.25</v>
      </c>
      <c r="V35" s="10">
        <v>26285.16</v>
      </c>
      <c r="W35" s="11">
        <v>3.2000000000000001E-2</v>
      </c>
      <c r="X35" s="10">
        <v>9.1</v>
      </c>
      <c r="Y35" s="10">
        <v>6.08</v>
      </c>
      <c r="Z35" s="10">
        <v>-9371.7199999999993</v>
      </c>
      <c r="AA35" s="11">
        <v>-0.35700000000000004</v>
      </c>
      <c r="AB35" s="10">
        <v>35721.699999999997</v>
      </c>
      <c r="AC35" s="11">
        <v>4.9000000000000002E-2</v>
      </c>
      <c r="AD35" s="10">
        <v>12.6</v>
      </c>
      <c r="AE35" s="10">
        <v>8.27</v>
      </c>
      <c r="AF35" s="10">
        <v>64.819999999999993</v>
      </c>
      <c r="AG35" s="12">
        <v>1.8E-3</v>
      </c>
    </row>
    <row r="36" spans="1:33" x14ac:dyDescent="0.2">
      <c r="A36" s="10">
        <v>0</v>
      </c>
      <c r="B36" s="11">
        <v>0</v>
      </c>
      <c r="C36" s="10">
        <v>0</v>
      </c>
      <c r="D36" s="10">
        <v>0</v>
      </c>
      <c r="E36" s="10">
        <v>20.63</v>
      </c>
      <c r="F36" s="11">
        <v>0</v>
      </c>
      <c r="G36" s="10">
        <v>0.02</v>
      </c>
      <c r="H36" s="10">
        <v>0.01</v>
      </c>
      <c r="I36" s="10">
        <v>20.63</v>
      </c>
      <c r="J36" s="11">
        <v>1</v>
      </c>
      <c r="K36" s="10">
        <v>0</v>
      </c>
      <c r="L36" s="11">
        <v>0</v>
      </c>
      <c r="M36" s="10">
        <v>0</v>
      </c>
      <c r="N36" s="10">
        <v>0</v>
      </c>
      <c r="O36" s="10">
        <v>0</v>
      </c>
      <c r="P36" s="12">
        <v>0</v>
      </c>
      <c r="Q36" s="6" t="s">
        <v>55</v>
      </c>
      <c r="R36" s="10">
        <v>0</v>
      </c>
      <c r="S36" s="11">
        <v>0</v>
      </c>
      <c r="T36" s="10">
        <v>0</v>
      </c>
      <c r="U36" s="10">
        <v>0</v>
      </c>
      <c r="V36" s="10">
        <v>60.34</v>
      </c>
      <c r="W36" s="11">
        <v>0</v>
      </c>
      <c r="X36" s="10">
        <v>0.02</v>
      </c>
      <c r="Y36" s="10">
        <v>0.01</v>
      </c>
      <c r="Z36" s="10">
        <v>60.34</v>
      </c>
      <c r="AA36" s="11">
        <v>1</v>
      </c>
      <c r="AB36" s="10">
        <v>0</v>
      </c>
      <c r="AC36" s="11">
        <v>0</v>
      </c>
      <c r="AD36" s="10">
        <v>0</v>
      </c>
      <c r="AE36" s="10">
        <v>0</v>
      </c>
      <c r="AF36" s="10">
        <v>0</v>
      </c>
      <c r="AG36" s="12">
        <v>0</v>
      </c>
    </row>
    <row r="37" spans="1:33" x14ac:dyDescent="0.2">
      <c r="A37" s="14">
        <v>101907.73</v>
      </c>
      <c r="B37" s="15">
        <v>0.36799999999999999</v>
      </c>
      <c r="C37" s="14">
        <v>101.1</v>
      </c>
      <c r="D37" s="14">
        <v>68.489999999999995</v>
      </c>
      <c r="E37" s="14">
        <v>101774.35</v>
      </c>
      <c r="F37" s="15">
        <v>0.34600000000000003</v>
      </c>
      <c r="G37" s="14">
        <v>103.01</v>
      </c>
      <c r="H37" s="14">
        <v>68.400000000000006</v>
      </c>
      <c r="I37" s="14">
        <v>-133.38</v>
      </c>
      <c r="J37" s="15">
        <v>-1E-3</v>
      </c>
      <c r="K37" s="14">
        <v>109924.33</v>
      </c>
      <c r="L37" s="15">
        <v>0.41700000000000004</v>
      </c>
      <c r="M37" s="14">
        <v>113.91</v>
      </c>
      <c r="N37" s="14">
        <v>73.87</v>
      </c>
      <c r="O37" s="14">
        <v>8016.6</v>
      </c>
      <c r="P37" s="16">
        <v>7.2900000000000006E-2</v>
      </c>
      <c r="Q37" s="6" t="s">
        <v>56</v>
      </c>
      <c r="R37" s="14">
        <v>282504.40999999997</v>
      </c>
      <c r="S37" s="15">
        <v>0.36799999999999999</v>
      </c>
      <c r="T37" s="14">
        <v>100.89</v>
      </c>
      <c r="U37" s="14">
        <v>65.39</v>
      </c>
      <c r="V37" s="14">
        <v>287716.52</v>
      </c>
      <c r="W37" s="15">
        <v>0.34899999999999998</v>
      </c>
      <c r="X37" s="14">
        <v>99.56</v>
      </c>
      <c r="Y37" s="14">
        <v>66.599999999999994</v>
      </c>
      <c r="Z37" s="14">
        <v>5212.1099999999997</v>
      </c>
      <c r="AA37" s="15">
        <v>1.8000000000000002E-2</v>
      </c>
      <c r="AB37" s="14">
        <v>320746.09000000003</v>
      </c>
      <c r="AC37" s="15">
        <v>0.441</v>
      </c>
      <c r="AD37" s="14">
        <v>113.14</v>
      </c>
      <c r="AE37" s="14">
        <v>74.25</v>
      </c>
      <c r="AF37" s="14">
        <v>38241.68</v>
      </c>
      <c r="AG37" s="16">
        <v>0.1192</v>
      </c>
    </row>
    <row r="38" spans="1:33" x14ac:dyDescent="0.2">
      <c r="A38" s="14">
        <v>-14565.46</v>
      </c>
      <c r="B38" s="15">
        <v>-5.2999999999999999E-2</v>
      </c>
      <c r="C38" s="14">
        <v>-14.45</v>
      </c>
      <c r="D38" s="14">
        <v>-9.7899999999999991</v>
      </c>
      <c r="E38" s="14">
        <v>26726.68</v>
      </c>
      <c r="F38" s="15">
        <v>9.0999999999999998E-2</v>
      </c>
      <c r="G38" s="14">
        <v>27.05</v>
      </c>
      <c r="H38" s="14">
        <v>17.96</v>
      </c>
      <c r="I38" s="14">
        <v>-41292.14</v>
      </c>
      <c r="J38" s="15">
        <v>-1.5449999999999999</v>
      </c>
      <c r="K38" s="14">
        <v>-1747.3</v>
      </c>
      <c r="L38" s="15">
        <v>-6.9999999999999993E-3</v>
      </c>
      <c r="M38" s="14">
        <v>-1.81</v>
      </c>
      <c r="N38" s="14">
        <v>-1.17</v>
      </c>
      <c r="O38" s="14">
        <v>-12818.16</v>
      </c>
      <c r="P38" s="16">
        <v>-7.3359000000000005</v>
      </c>
      <c r="Q38" s="6" t="s">
        <v>57</v>
      </c>
      <c r="R38" s="14">
        <v>-23532.23</v>
      </c>
      <c r="S38" s="15">
        <v>-3.1E-2</v>
      </c>
      <c r="T38" s="14">
        <v>-8.4</v>
      </c>
      <c r="U38" s="14">
        <v>-5.45</v>
      </c>
      <c r="V38" s="14">
        <v>53509.599999999999</v>
      </c>
      <c r="W38" s="15">
        <v>6.5000000000000002E-2</v>
      </c>
      <c r="X38" s="14">
        <v>18.52</v>
      </c>
      <c r="Y38" s="14">
        <v>12.39</v>
      </c>
      <c r="Z38" s="14">
        <v>-77041.83</v>
      </c>
      <c r="AA38" s="15">
        <v>-1.44</v>
      </c>
      <c r="AB38" s="14">
        <v>-60314.11</v>
      </c>
      <c r="AC38" s="15">
        <v>-8.3000000000000004E-2</v>
      </c>
      <c r="AD38" s="14">
        <v>-21.27</v>
      </c>
      <c r="AE38" s="14">
        <v>-13.96</v>
      </c>
      <c r="AF38" s="14">
        <v>36781.879999999997</v>
      </c>
      <c r="AG38" s="16">
        <v>0.60980000000000001</v>
      </c>
    </row>
    <row r="39" spans="1:33" x14ac:dyDescent="0.2">
      <c r="A39" s="10">
        <v>5596.74</v>
      </c>
      <c r="B39" s="11">
        <v>0.02</v>
      </c>
      <c r="C39" s="10">
        <v>5.55</v>
      </c>
      <c r="D39" s="10">
        <v>3.76</v>
      </c>
      <c r="E39" s="10">
        <v>8820.5499999999993</v>
      </c>
      <c r="F39" s="11">
        <v>0.03</v>
      </c>
      <c r="G39" s="10">
        <v>8.93</v>
      </c>
      <c r="H39" s="10">
        <v>5.93</v>
      </c>
      <c r="I39" s="10">
        <v>3223.81</v>
      </c>
      <c r="J39" s="11">
        <v>0.36499999999999999</v>
      </c>
      <c r="K39" s="10">
        <v>5350.1</v>
      </c>
      <c r="L39" s="11">
        <v>0.02</v>
      </c>
      <c r="M39" s="10">
        <v>5.54</v>
      </c>
      <c r="N39" s="10">
        <v>3.6</v>
      </c>
      <c r="O39" s="10">
        <v>-246.64</v>
      </c>
      <c r="P39" s="12">
        <v>-4.6100000000000002E-2</v>
      </c>
      <c r="Q39" s="6" t="s">
        <v>58</v>
      </c>
      <c r="R39" s="10">
        <v>15578.57</v>
      </c>
      <c r="S39" s="11">
        <v>0.02</v>
      </c>
      <c r="T39" s="10">
        <v>5.5600000000000005</v>
      </c>
      <c r="U39" s="10">
        <v>3.61</v>
      </c>
      <c r="V39" s="10">
        <v>24761.439999999999</v>
      </c>
      <c r="W39" s="11">
        <v>0.03</v>
      </c>
      <c r="X39" s="10">
        <v>8.57</v>
      </c>
      <c r="Y39" s="10">
        <v>5.73</v>
      </c>
      <c r="Z39" s="10">
        <v>9182.8700000000008</v>
      </c>
      <c r="AA39" s="11">
        <v>0.371</v>
      </c>
      <c r="AB39" s="10">
        <v>14727.69</v>
      </c>
      <c r="AC39" s="11">
        <v>0.02</v>
      </c>
      <c r="AD39" s="10">
        <v>5.19</v>
      </c>
      <c r="AE39" s="10">
        <v>3.41</v>
      </c>
      <c r="AF39" s="10">
        <v>-850.88</v>
      </c>
      <c r="AG39" s="12">
        <v>-5.7699999999999994E-2</v>
      </c>
    </row>
    <row r="40" spans="1:33" x14ac:dyDescent="0.2">
      <c r="A40" s="14">
        <v>-20162.2</v>
      </c>
      <c r="B40" s="15">
        <v>-7.2999999999999995E-2</v>
      </c>
      <c r="C40" s="14">
        <v>-20</v>
      </c>
      <c r="D40" s="14">
        <v>-13.55</v>
      </c>
      <c r="E40" s="14">
        <v>17906.13</v>
      </c>
      <c r="F40" s="15">
        <v>6.0999999999999999E-2</v>
      </c>
      <c r="G40" s="14">
        <v>18.12</v>
      </c>
      <c r="H40" s="14">
        <v>12.03</v>
      </c>
      <c r="I40" s="14">
        <v>-38068.33</v>
      </c>
      <c r="J40" s="15">
        <v>-2.1259999999999999</v>
      </c>
      <c r="K40" s="14">
        <v>-7097.4</v>
      </c>
      <c r="L40" s="15">
        <v>-2.7000000000000003E-2</v>
      </c>
      <c r="M40" s="14">
        <v>-7.35</v>
      </c>
      <c r="N40" s="14">
        <v>-4.7699999999999996</v>
      </c>
      <c r="O40" s="14">
        <v>-13064.8</v>
      </c>
      <c r="P40" s="16">
        <v>-1.8407</v>
      </c>
      <c r="Q40" s="6" t="s">
        <v>59</v>
      </c>
      <c r="R40" s="14">
        <v>-39110.800000000003</v>
      </c>
      <c r="S40" s="15">
        <v>-5.0999999999999997E-2</v>
      </c>
      <c r="T40" s="14">
        <v>-13.97</v>
      </c>
      <c r="U40" s="14">
        <v>-9.0500000000000007</v>
      </c>
      <c r="V40" s="14">
        <v>28748.16</v>
      </c>
      <c r="W40" s="15">
        <v>3.5000000000000003E-2</v>
      </c>
      <c r="X40" s="14">
        <v>9.9499999999999993</v>
      </c>
      <c r="Y40" s="14">
        <v>6.65</v>
      </c>
      <c r="Z40" s="14">
        <v>-67858.960000000006</v>
      </c>
      <c r="AA40" s="15">
        <v>-2.36</v>
      </c>
      <c r="AB40" s="14">
        <v>-75041.8</v>
      </c>
      <c r="AC40" s="15">
        <v>-0.10300000000000001</v>
      </c>
      <c r="AD40" s="14">
        <v>-26.47</v>
      </c>
      <c r="AE40" s="14">
        <v>-17.37</v>
      </c>
      <c r="AF40" s="14">
        <v>35931</v>
      </c>
      <c r="AG40" s="16">
        <v>0.4788</v>
      </c>
    </row>
    <row r="41" spans="1:33" x14ac:dyDescent="0.2">
      <c r="A41" s="10">
        <v>4371.1099999999997</v>
      </c>
      <c r="B41" s="11">
        <v>1.6E-2</v>
      </c>
      <c r="C41" s="10">
        <v>4.34</v>
      </c>
      <c r="D41" s="10">
        <v>2.94</v>
      </c>
      <c r="E41" s="10">
        <v>3637</v>
      </c>
      <c r="F41" s="11">
        <v>1.2E-2</v>
      </c>
      <c r="G41" s="10">
        <v>3.68</v>
      </c>
      <c r="H41" s="10">
        <v>2.44</v>
      </c>
      <c r="I41" s="10">
        <v>734.11</v>
      </c>
      <c r="J41" s="11">
        <v>0.20199999999999999</v>
      </c>
      <c r="K41" s="10">
        <v>4226.96</v>
      </c>
      <c r="L41" s="11">
        <v>1.6E-2</v>
      </c>
      <c r="M41" s="10">
        <v>4.38</v>
      </c>
      <c r="N41" s="10">
        <v>2.84</v>
      </c>
      <c r="O41" s="10">
        <v>144.15</v>
      </c>
      <c r="P41" s="12">
        <v>3.4099999999999998E-2</v>
      </c>
      <c r="Q41" s="6" t="s">
        <v>60</v>
      </c>
      <c r="R41" s="10">
        <v>12863.13</v>
      </c>
      <c r="S41" s="11">
        <v>1.7000000000000001E-2</v>
      </c>
      <c r="T41" s="10">
        <v>4.59</v>
      </c>
      <c r="U41" s="10">
        <v>2.98</v>
      </c>
      <c r="V41" s="10">
        <v>10075</v>
      </c>
      <c r="W41" s="11">
        <v>1.2E-2</v>
      </c>
      <c r="X41" s="10">
        <v>3.49</v>
      </c>
      <c r="Y41" s="10">
        <v>2.33</v>
      </c>
      <c r="Z41" s="10">
        <v>2788.13</v>
      </c>
      <c r="AA41" s="11">
        <v>0.27699999999999997</v>
      </c>
      <c r="AB41" s="10">
        <v>12443.85</v>
      </c>
      <c r="AC41" s="11">
        <v>1.7000000000000001E-2</v>
      </c>
      <c r="AD41" s="10">
        <v>4.3899999999999997</v>
      </c>
      <c r="AE41" s="10">
        <v>2.88</v>
      </c>
      <c r="AF41" s="10">
        <v>419.28</v>
      </c>
      <c r="AG41" s="12">
        <v>3.3599999999999998E-2</v>
      </c>
    </row>
    <row r="42" spans="1:33" x14ac:dyDescent="0.2">
      <c r="A42" s="6" t="s">
        <v>33</v>
      </c>
      <c r="B42" s="6" t="s">
        <v>33</v>
      </c>
      <c r="C42" s="6" t="s">
        <v>33</v>
      </c>
      <c r="D42" s="6" t="s">
        <v>33</v>
      </c>
      <c r="E42" s="6" t="s">
        <v>33</v>
      </c>
      <c r="F42" s="6" t="s">
        <v>33</v>
      </c>
      <c r="G42" s="6" t="s">
        <v>33</v>
      </c>
      <c r="H42" s="6" t="s">
        <v>33</v>
      </c>
      <c r="I42" s="6" t="s">
        <v>33</v>
      </c>
      <c r="J42" s="6" t="s">
        <v>33</v>
      </c>
      <c r="K42" s="6" t="s">
        <v>33</v>
      </c>
      <c r="L42" s="6" t="s">
        <v>33</v>
      </c>
      <c r="M42" s="6" t="s">
        <v>33</v>
      </c>
      <c r="N42" s="6" t="s">
        <v>33</v>
      </c>
      <c r="O42" s="6" t="s">
        <v>33</v>
      </c>
      <c r="P42" s="6" t="s">
        <v>33</v>
      </c>
      <c r="Q42" s="6" t="s">
        <v>61</v>
      </c>
      <c r="R42" s="6" t="s">
        <v>33</v>
      </c>
      <c r="S42" s="6" t="s">
        <v>33</v>
      </c>
      <c r="T42" s="6" t="s">
        <v>33</v>
      </c>
      <c r="U42" s="6" t="s">
        <v>33</v>
      </c>
      <c r="V42" s="6" t="s">
        <v>33</v>
      </c>
      <c r="W42" s="6" t="s">
        <v>33</v>
      </c>
      <c r="X42" s="6" t="s">
        <v>33</v>
      </c>
      <c r="Y42" s="6" t="s">
        <v>33</v>
      </c>
      <c r="Z42" s="6" t="s">
        <v>33</v>
      </c>
      <c r="AA42" s="6" t="s">
        <v>33</v>
      </c>
      <c r="AB42" s="6" t="s">
        <v>33</v>
      </c>
      <c r="AC42" s="6" t="s">
        <v>33</v>
      </c>
      <c r="AD42" s="6" t="s">
        <v>33</v>
      </c>
      <c r="AE42" s="6" t="s">
        <v>33</v>
      </c>
      <c r="AF42" s="6" t="s">
        <v>33</v>
      </c>
      <c r="AG42" s="6" t="s">
        <v>33</v>
      </c>
    </row>
    <row r="43" spans="1:33" x14ac:dyDescent="0.2">
      <c r="A43" s="10">
        <v>876.14</v>
      </c>
      <c r="B43" s="11">
        <v>3.0000000000000001E-3</v>
      </c>
      <c r="C43" s="10">
        <v>0.87</v>
      </c>
      <c r="D43" s="10">
        <v>0.59</v>
      </c>
      <c r="E43" s="10">
        <v>601.54</v>
      </c>
      <c r="F43" s="11">
        <v>2E-3</v>
      </c>
      <c r="G43" s="10">
        <v>0.61</v>
      </c>
      <c r="H43" s="10">
        <v>0.4</v>
      </c>
      <c r="I43" s="10">
        <v>-274.60000000000002</v>
      </c>
      <c r="J43" s="11">
        <v>-0.45600000000000002</v>
      </c>
      <c r="K43" s="10">
        <v>934.09</v>
      </c>
      <c r="L43" s="11">
        <v>4.0000000000000001E-3</v>
      </c>
      <c r="M43" s="10">
        <v>0.97</v>
      </c>
      <c r="N43" s="10">
        <v>0.63</v>
      </c>
      <c r="O43" s="10">
        <v>57.95</v>
      </c>
      <c r="P43" s="12">
        <v>6.2E-2</v>
      </c>
      <c r="Q43" s="6" t="s">
        <v>62</v>
      </c>
      <c r="R43" s="10">
        <v>2569.87</v>
      </c>
      <c r="S43" s="11">
        <v>3.0000000000000001E-3</v>
      </c>
      <c r="T43" s="10">
        <v>0.92</v>
      </c>
      <c r="U43" s="10">
        <v>0.59</v>
      </c>
      <c r="V43" s="10">
        <v>1759.56</v>
      </c>
      <c r="W43" s="11">
        <v>2E-3</v>
      </c>
      <c r="X43" s="10">
        <v>0.61</v>
      </c>
      <c r="Y43" s="10">
        <v>0.41</v>
      </c>
      <c r="Z43" s="10">
        <v>-810.31</v>
      </c>
      <c r="AA43" s="11">
        <v>-0.46100000000000002</v>
      </c>
      <c r="AB43" s="10">
        <v>2263.09</v>
      </c>
      <c r="AC43" s="11">
        <v>3.0000000000000001E-3</v>
      </c>
      <c r="AD43" s="10">
        <v>0.8</v>
      </c>
      <c r="AE43" s="10">
        <v>0.52</v>
      </c>
      <c r="AF43" s="10">
        <v>-306.77999999999997</v>
      </c>
      <c r="AG43" s="12">
        <v>-0.13550000000000001</v>
      </c>
    </row>
    <row r="44" spans="1:33" x14ac:dyDescent="0.2">
      <c r="A44" s="10">
        <v>3116.57</v>
      </c>
      <c r="B44" s="11">
        <v>1.1000000000000001E-2</v>
      </c>
      <c r="C44" s="10">
        <v>3.09</v>
      </c>
      <c r="D44" s="10">
        <v>2.09</v>
      </c>
      <c r="E44" s="10">
        <v>2575.2399999999998</v>
      </c>
      <c r="F44" s="11">
        <v>9.0000000000000011E-3</v>
      </c>
      <c r="G44" s="10">
        <v>2.61</v>
      </c>
      <c r="H44" s="10">
        <v>1.73</v>
      </c>
      <c r="I44" s="10">
        <v>-541.33000000000004</v>
      </c>
      <c r="J44" s="11">
        <v>-0.21</v>
      </c>
      <c r="K44" s="10">
        <v>3116.57</v>
      </c>
      <c r="L44" s="11">
        <v>1.2E-2</v>
      </c>
      <c r="M44" s="10">
        <v>3.23</v>
      </c>
      <c r="N44" s="10">
        <v>2.09</v>
      </c>
      <c r="O44" s="10">
        <v>0</v>
      </c>
      <c r="P44" s="12">
        <v>0</v>
      </c>
      <c r="Q44" s="6" t="s">
        <v>63</v>
      </c>
      <c r="R44" s="10">
        <v>9349.7099999999991</v>
      </c>
      <c r="S44" s="11">
        <v>1.2E-2</v>
      </c>
      <c r="T44" s="10">
        <v>3.34</v>
      </c>
      <c r="U44" s="10">
        <v>2.16</v>
      </c>
      <c r="V44" s="10">
        <v>7532.84</v>
      </c>
      <c r="W44" s="11">
        <v>9.0000000000000011E-3</v>
      </c>
      <c r="X44" s="10">
        <v>2.61</v>
      </c>
      <c r="Y44" s="10">
        <v>1.74</v>
      </c>
      <c r="Z44" s="10">
        <v>-1816.87</v>
      </c>
      <c r="AA44" s="11">
        <v>-0.24100000000000002</v>
      </c>
      <c r="AB44" s="10">
        <v>9349.7099999999991</v>
      </c>
      <c r="AC44" s="11">
        <v>1.3000000000000001E-2</v>
      </c>
      <c r="AD44" s="10">
        <v>3.3</v>
      </c>
      <c r="AE44" s="10">
        <v>2.16</v>
      </c>
      <c r="AF44" s="10">
        <v>0</v>
      </c>
      <c r="AG44" s="12">
        <v>0</v>
      </c>
    </row>
    <row r="45" spans="1:33" x14ac:dyDescent="0.2">
      <c r="A45" s="10">
        <v>10207.299999999999</v>
      </c>
      <c r="B45" s="11">
        <v>3.7000000000000005E-2</v>
      </c>
      <c r="C45" s="10">
        <v>10.130000000000001</v>
      </c>
      <c r="D45" s="10">
        <v>6.86</v>
      </c>
      <c r="E45" s="10">
        <v>7872.85</v>
      </c>
      <c r="F45" s="11">
        <v>2.7000000000000003E-2</v>
      </c>
      <c r="G45" s="10">
        <v>7.97</v>
      </c>
      <c r="H45" s="10">
        <v>5.29</v>
      </c>
      <c r="I45" s="10">
        <v>-2334.4499999999998</v>
      </c>
      <c r="J45" s="11">
        <v>-0.29699999999999999</v>
      </c>
      <c r="K45" s="10">
        <v>8912.07</v>
      </c>
      <c r="L45" s="11">
        <v>3.4000000000000002E-2</v>
      </c>
      <c r="M45" s="10">
        <v>9.24</v>
      </c>
      <c r="N45" s="10">
        <v>5.99</v>
      </c>
      <c r="O45" s="10">
        <v>-1295.23</v>
      </c>
      <c r="P45" s="12">
        <v>-0.14529999999999998</v>
      </c>
      <c r="Q45" s="6" t="s">
        <v>64</v>
      </c>
      <c r="R45" s="10">
        <v>30621.9</v>
      </c>
      <c r="S45" s="11">
        <v>0.04</v>
      </c>
      <c r="T45" s="10">
        <v>10.94</v>
      </c>
      <c r="U45" s="10">
        <v>7.09</v>
      </c>
      <c r="V45" s="10">
        <v>23028.880000000001</v>
      </c>
      <c r="W45" s="11">
        <v>2.7999999999999997E-2</v>
      </c>
      <c r="X45" s="10">
        <v>7.97</v>
      </c>
      <c r="Y45" s="10">
        <v>5.33</v>
      </c>
      <c r="Z45" s="10">
        <v>-7593.02</v>
      </c>
      <c r="AA45" s="11">
        <v>-0.33</v>
      </c>
      <c r="AB45" s="10">
        <v>26736.21</v>
      </c>
      <c r="AC45" s="11">
        <v>3.7000000000000005E-2</v>
      </c>
      <c r="AD45" s="10">
        <v>9.43</v>
      </c>
      <c r="AE45" s="10">
        <v>6.19</v>
      </c>
      <c r="AF45" s="10">
        <v>-3885.69</v>
      </c>
      <c r="AG45" s="12">
        <v>-0.14529999999999998</v>
      </c>
    </row>
    <row r="46" spans="1:33" x14ac:dyDescent="0.2">
      <c r="A46" s="10">
        <v>0</v>
      </c>
      <c r="B46" s="11">
        <v>0</v>
      </c>
      <c r="C46" s="10">
        <v>0</v>
      </c>
      <c r="D46" s="10">
        <v>0</v>
      </c>
      <c r="E46" s="10">
        <v>-59.39</v>
      </c>
      <c r="F46" s="11">
        <v>0</v>
      </c>
      <c r="G46" s="10">
        <v>-0.06</v>
      </c>
      <c r="H46" s="10">
        <v>-0.04</v>
      </c>
      <c r="I46" s="10">
        <v>-59.39</v>
      </c>
      <c r="J46" s="11">
        <v>-1</v>
      </c>
      <c r="K46" s="10">
        <v>0</v>
      </c>
      <c r="L46" s="11">
        <v>0</v>
      </c>
      <c r="M46" s="10">
        <v>0</v>
      </c>
      <c r="N46" s="10">
        <v>0</v>
      </c>
      <c r="O46" s="10">
        <v>0</v>
      </c>
      <c r="P46" s="12">
        <v>0</v>
      </c>
      <c r="Q46" s="6" t="s">
        <v>65</v>
      </c>
      <c r="R46" s="10">
        <v>0</v>
      </c>
      <c r="S46" s="11">
        <v>0</v>
      </c>
      <c r="T46" s="10">
        <v>0</v>
      </c>
      <c r="U46" s="10">
        <v>0</v>
      </c>
      <c r="V46" s="10">
        <v>-173.73</v>
      </c>
      <c r="W46" s="11">
        <v>0</v>
      </c>
      <c r="X46" s="10">
        <v>-0.06</v>
      </c>
      <c r="Y46" s="10">
        <v>-0.04</v>
      </c>
      <c r="Z46" s="10">
        <v>-173.73</v>
      </c>
      <c r="AA46" s="11">
        <v>-1</v>
      </c>
      <c r="AB46" s="10">
        <v>0</v>
      </c>
      <c r="AC46" s="11">
        <v>0</v>
      </c>
      <c r="AD46" s="10">
        <v>0</v>
      </c>
      <c r="AE46" s="10">
        <v>0</v>
      </c>
      <c r="AF46" s="10">
        <v>0</v>
      </c>
      <c r="AG46" s="12">
        <v>0</v>
      </c>
    </row>
    <row r="47" spans="1:33" x14ac:dyDescent="0.2">
      <c r="A47" s="14">
        <v>14200.01</v>
      </c>
      <c r="B47" s="15">
        <v>5.0999999999999997E-2</v>
      </c>
      <c r="C47" s="14">
        <v>14.09</v>
      </c>
      <c r="D47" s="14">
        <v>9.5399999999999991</v>
      </c>
      <c r="E47" s="14">
        <v>10990.24</v>
      </c>
      <c r="F47" s="15">
        <v>3.7000000000000005E-2</v>
      </c>
      <c r="G47" s="14">
        <v>11.12</v>
      </c>
      <c r="H47" s="14">
        <v>7.39</v>
      </c>
      <c r="I47" s="14">
        <v>-3209.77</v>
      </c>
      <c r="J47" s="15">
        <v>-0.29199999999999998</v>
      </c>
      <c r="K47" s="14">
        <v>12962.73</v>
      </c>
      <c r="L47" s="15">
        <v>4.9000000000000002E-2</v>
      </c>
      <c r="M47" s="14">
        <v>13.43</v>
      </c>
      <c r="N47" s="14">
        <v>8.7100000000000009</v>
      </c>
      <c r="O47" s="14">
        <v>-1237.28</v>
      </c>
      <c r="P47" s="16">
        <v>-9.5399999999999985E-2</v>
      </c>
      <c r="Q47" s="6" t="s">
        <v>66</v>
      </c>
      <c r="R47" s="14">
        <v>42541.48</v>
      </c>
      <c r="S47" s="15">
        <v>5.5E-2</v>
      </c>
      <c r="T47" s="14">
        <v>15.19</v>
      </c>
      <c r="U47" s="14">
        <v>9.85</v>
      </c>
      <c r="V47" s="14">
        <v>32147.55</v>
      </c>
      <c r="W47" s="15">
        <v>3.9E-2</v>
      </c>
      <c r="X47" s="14">
        <v>11.12</v>
      </c>
      <c r="Y47" s="14">
        <v>7.44</v>
      </c>
      <c r="Z47" s="14">
        <v>-10393.93</v>
      </c>
      <c r="AA47" s="15">
        <v>-0.32299999999999995</v>
      </c>
      <c r="AB47" s="14">
        <v>38349.01</v>
      </c>
      <c r="AC47" s="15">
        <v>5.2999999999999999E-2</v>
      </c>
      <c r="AD47" s="14">
        <v>13.53</v>
      </c>
      <c r="AE47" s="14">
        <v>8.8800000000000008</v>
      </c>
      <c r="AF47" s="14">
        <v>-4192.47</v>
      </c>
      <c r="AG47" s="16">
        <v>-0.10929999999999999</v>
      </c>
    </row>
    <row r="48" spans="1:33" x14ac:dyDescent="0.2">
      <c r="A48" s="17">
        <v>-29991.1</v>
      </c>
      <c r="B48" s="18">
        <v>-0.10800000000000001</v>
      </c>
      <c r="C48" s="17">
        <v>-29.75</v>
      </c>
      <c r="D48" s="17">
        <v>-20.16</v>
      </c>
      <c r="E48" s="17">
        <v>10552.89</v>
      </c>
      <c r="F48" s="18">
        <v>3.6000000000000004E-2</v>
      </c>
      <c r="G48" s="17">
        <v>10.68</v>
      </c>
      <c r="H48" s="17">
        <v>7.09</v>
      </c>
      <c r="I48" s="17">
        <v>-40543.99</v>
      </c>
      <c r="J48" s="18">
        <v>-3.8420000000000001</v>
      </c>
      <c r="K48" s="17">
        <v>-15833.17</v>
      </c>
      <c r="L48" s="18">
        <v>-0.06</v>
      </c>
      <c r="M48" s="17">
        <v>-16.41</v>
      </c>
      <c r="N48" s="17">
        <v>-10.64</v>
      </c>
      <c r="O48" s="17">
        <v>-14157.93</v>
      </c>
      <c r="P48" s="19">
        <v>-0.89410000000000001</v>
      </c>
      <c r="Q48" s="6" t="s">
        <v>67</v>
      </c>
      <c r="R48" s="17">
        <v>-68789.149999999994</v>
      </c>
      <c r="S48" s="18">
        <v>-0.09</v>
      </c>
      <c r="T48" s="17">
        <v>-24.57</v>
      </c>
      <c r="U48" s="17">
        <v>-15.92</v>
      </c>
      <c r="V48" s="17">
        <v>6675.61</v>
      </c>
      <c r="W48" s="18">
        <v>8.0000000000000002E-3</v>
      </c>
      <c r="X48" s="17">
        <v>2.31</v>
      </c>
      <c r="Y48" s="17">
        <v>1.55</v>
      </c>
      <c r="Z48" s="17">
        <v>-75464.759999999995</v>
      </c>
      <c r="AA48" s="18">
        <v>-11.305</v>
      </c>
      <c r="AB48" s="17">
        <v>-100946.96</v>
      </c>
      <c r="AC48" s="18">
        <v>-0.13900000000000001</v>
      </c>
      <c r="AD48" s="17">
        <v>-35.61</v>
      </c>
      <c r="AE48" s="17">
        <v>-23.37</v>
      </c>
      <c r="AF48" s="17">
        <v>32157.81</v>
      </c>
      <c r="AG48" s="19">
        <v>0.31850000000000001</v>
      </c>
    </row>
    <row r="49" spans="1:33" x14ac:dyDescent="0.2">
      <c r="A49" s="14">
        <v>363.15</v>
      </c>
      <c r="B49" s="15">
        <v>1E-3</v>
      </c>
      <c r="C49" s="14">
        <v>0.36</v>
      </c>
      <c r="D49" s="14">
        <v>0.24</v>
      </c>
      <c r="E49" s="14">
        <v>1793.05</v>
      </c>
      <c r="F49" s="15">
        <v>6.0000000000000001E-3</v>
      </c>
      <c r="G49" s="14">
        <v>1.81</v>
      </c>
      <c r="H49" s="14">
        <v>1.21</v>
      </c>
      <c r="I49" s="14">
        <v>1429.9</v>
      </c>
      <c r="J49" s="15">
        <v>0.79700000000000004</v>
      </c>
      <c r="K49" s="14">
        <v>2138.8200000000002</v>
      </c>
      <c r="L49" s="15">
        <v>8.0000000000000002E-3</v>
      </c>
      <c r="M49" s="14">
        <v>2.2200000000000002</v>
      </c>
      <c r="N49" s="14">
        <v>1.44</v>
      </c>
      <c r="O49" s="14">
        <v>1775.67</v>
      </c>
      <c r="P49" s="16">
        <v>0.83019999999999994</v>
      </c>
      <c r="Q49" s="6" t="s">
        <v>68</v>
      </c>
      <c r="R49" s="14">
        <v>1527.6</v>
      </c>
      <c r="S49" s="15">
        <v>2E-3</v>
      </c>
      <c r="T49" s="14">
        <v>0.55000000000000004</v>
      </c>
      <c r="U49" s="14">
        <v>0.35</v>
      </c>
      <c r="V49" s="14">
        <v>5244.86</v>
      </c>
      <c r="W49" s="15">
        <v>6.0000000000000001E-3</v>
      </c>
      <c r="X49" s="14">
        <v>1.81</v>
      </c>
      <c r="Y49" s="14">
        <v>1.21</v>
      </c>
      <c r="Z49" s="14">
        <v>3717.26</v>
      </c>
      <c r="AA49" s="15">
        <v>0.70900000000000007</v>
      </c>
      <c r="AB49" s="14">
        <v>3967.16</v>
      </c>
      <c r="AC49" s="15">
        <v>5.0000000000000001E-3</v>
      </c>
      <c r="AD49" s="14">
        <v>1.4</v>
      </c>
      <c r="AE49" s="14">
        <v>0.92</v>
      </c>
      <c r="AF49" s="14">
        <v>2439.56</v>
      </c>
      <c r="AG49" s="16">
        <v>0.6149</v>
      </c>
    </row>
    <row r="50" spans="1:33" x14ac:dyDescent="0.2">
      <c r="A50" s="10">
        <v>27678.57</v>
      </c>
      <c r="B50" s="11">
        <v>0.1</v>
      </c>
      <c r="C50" s="10">
        <v>27.46</v>
      </c>
      <c r="D50" s="10">
        <v>18.600000000000001</v>
      </c>
      <c r="E50" s="10">
        <v>2716.78</v>
      </c>
      <c r="F50" s="11">
        <v>9.0000000000000011E-3</v>
      </c>
      <c r="G50" s="10">
        <v>2.75</v>
      </c>
      <c r="H50" s="10">
        <v>1.83</v>
      </c>
      <c r="I50" s="10">
        <v>-24961.79</v>
      </c>
      <c r="J50" s="11">
        <v>-9.1879999999999988</v>
      </c>
      <c r="K50" s="10">
        <v>9226.19</v>
      </c>
      <c r="L50" s="11">
        <v>3.5000000000000003E-2</v>
      </c>
      <c r="M50" s="10">
        <v>9.56</v>
      </c>
      <c r="N50" s="10">
        <v>6.2</v>
      </c>
      <c r="O50" s="10">
        <v>-18452.38</v>
      </c>
      <c r="P50" s="12">
        <v>-2</v>
      </c>
      <c r="Q50" s="6" t="s">
        <v>69</v>
      </c>
      <c r="R50" s="10">
        <v>27678.57</v>
      </c>
      <c r="S50" s="11">
        <v>3.6000000000000004E-2</v>
      </c>
      <c r="T50" s="10">
        <v>9.89</v>
      </c>
      <c r="U50" s="10">
        <v>6.41</v>
      </c>
      <c r="V50" s="10">
        <v>7946.85</v>
      </c>
      <c r="W50" s="11">
        <v>0.01</v>
      </c>
      <c r="X50" s="10">
        <v>2.75</v>
      </c>
      <c r="Y50" s="10">
        <v>1.8399999999999999</v>
      </c>
      <c r="Z50" s="10">
        <v>-19731.72</v>
      </c>
      <c r="AA50" s="11">
        <v>-2.4830000000000001</v>
      </c>
      <c r="AB50" s="10">
        <v>9226.19</v>
      </c>
      <c r="AC50" s="11">
        <v>1.3000000000000001E-2</v>
      </c>
      <c r="AD50" s="10">
        <v>3.25</v>
      </c>
      <c r="AE50" s="10">
        <v>2.14</v>
      </c>
      <c r="AF50" s="10">
        <v>-18452.38</v>
      </c>
      <c r="AG50" s="12">
        <v>-2</v>
      </c>
    </row>
    <row r="51" spans="1:33" x14ac:dyDescent="0.2">
      <c r="A51" s="20">
        <v>-58032.82</v>
      </c>
      <c r="B51" s="21">
        <v>-0.20899999999999999</v>
      </c>
      <c r="C51" s="20">
        <v>-57.57</v>
      </c>
      <c r="D51" s="20">
        <v>-39</v>
      </c>
      <c r="E51" s="20">
        <v>6043.06</v>
      </c>
      <c r="F51" s="21">
        <v>2.1000000000000001E-2</v>
      </c>
      <c r="G51" s="20">
        <v>6.12</v>
      </c>
      <c r="H51" s="20">
        <v>4.0599999999999996</v>
      </c>
      <c r="I51" s="20">
        <v>-64075.88</v>
      </c>
      <c r="J51" s="21">
        <v>-10.603</v>
      </c>
      <c r="K51" s="20">
        <v>-27198.18</v>
      </c>
      <c r="L51" s="21">
        <v>-0.10300000000000001</v>
      </c>
      <c r="M51" s="20">
        <v>-28.18</v>
      </c>
      <c r="N51" s="20">
        <v>-18.28</v>
      </c>
      <c r="O51" s="20">
        <v>-30834.639999999999</v>
      </c>
      <c r="P51" s="22">
        <v>-1.1337000000000002</v>
      </c>
      <c r="Q51" s="6" t="s">
        <v>70</v>
      </c>
      <c r="R51" s="20">
        <v>-97995.32</v>
      </c>
      <c r="S51" s="21">
        <v>-0.128</v>
      </c>
      <c r="T51" s="20">
        <v>-35</v>
      </c>
      <c r="U51" s="20">
        <v>-22.68</v>
      </c>
      <c r="V51" s="20">
        <v>-6516.1</v>
      </c>
      <c r="W51" s="21">
        <v>-8.0000000000000002E-3</v>
      </c>
      <c r="X51" s="20">
        <v>-2.25</v>
      </c>
      <c r="Y51" s="20">
        <v>-1.51</v>
      </c>
      <c r="Z51" s="20">
        <v>-91479.22</v>
      </c>
      <c r="AA51" s="21">
        <v>-14.039000000000001</v>
      </c>
      <c r="AB51" s="20">
        <v>-114140.31</v>
      </c>
      <c r="AC51" s="21">
        <v>-0.157</v>
      </c>
      <c r="AD51" s="20">
        <v>-40.26</v>
      </c>
      <c r="AE51" s="20">
        <v>-26.42</v>
      </c>
      <c r="AF51" s="20">
        <v>16144.99</v>
      </c>
      <c r="AG51" s="22">
        <v>0.1414</v>
      </c>
    </row>
    <row r="52" spans="1:33" x14ac:dyDescent="0.2">
      <c r="A52" s="24">
        <v>-24237.18</v>
      </c>
      <c r="B52" s="25">
        <v>-8.6999999999999994E-2</v>
      </c>
      <c r="C52" s="24">
        <v>-24.04</v>
      </c>
      <c r="D52" s="24">
        <v>-16.29</v>
      </c>
      <c r="E52" s="24">
        <v>0</v>
      </c>
      <c r="F52" s="25">
        <v>0</v>
      </c>
      <c r="G52" s="24">
        <v>0</v>
      </c>
      <c r="H52" s="24">
        <v>0</v>
      </c>
      <c r="I52" s="24">
        <v>-24237.18</v>
      </c>
      <c r="J52" s="25">
        <v>-1</v>
      </c>
      <c r="K52" s="24">
        <v>-23512.5</v>
      </c>
      <c r="L52" s="25">
        <v>-8.900000000000001E-2</v>
      </c>
      <c r="M52" s="24">
        <v>-24.37</v>
      </c>
      <c r="N52" s="24">
        <v>-15.8</v>
      </c>
      <c r="O52" s="24">
        <v>-724.68</v>
      </c>
      <c r="P52" s="26">
        <v>-3.0800000000000001E-2</v>
      </c>
      <c r="Q52" s="6" t="s">
        <v>71</v>
      </c>
      <c r="R52" s="24">
        <v>-46635.5</v>
      </c>
      <c r="S52" s="25">
        <v>-6.0999999999999999E-2</v>
      </c>
      <c r="T52" s="24">
        <v>-16.66</v>
      </c>
      <c r="U52" s="24">
        <v>-10.8</v>
      </c>
      <c r="V52" s="24">
        <v>0</v>
      </c>
      <c r="W52" s="25">
        <v>0</v>
      </c>
      <c r="X52" s="24">
        <v>0</v>
      </c>
      <c r="Y52" s="24">
        <v>0</v>
      </c>
      <c r="Z52" s="24">
        <v>-46635.5</v>
      </c>
      <c r="AA52" s="25">
        <v>-1</v>
      </c>
      <c r="AB52" s="24">
        <v>-75131.25</v>
      </c>
      <c r="AC52" s="25">
        <v>-0.10300000000000001</v>
      </c>
      <c r="AD52" s="24">
        <v>-26.5</v>
      </c>
      <c r="AE52" s="24">
        <v>-17.39</v>
      </c>
      <c r="AF52" s="24">
        <v>28495.75</v>
      </c>
      <c r="AG52" s="26">
        <v>0.37920000000000004</v>
      </c>
    </row>
    <row r="53" spans="1:33" x14ac:dyDescent="0.2">
      <c r="A53" s="27" t="s">
        <v>33</v>
      </c>
      <c r="B53" s="27" t="s">
        <v>33</v>
      </c>
      <c r="C53" s="27" t="s">
        <v>33</v>
      </c>
      <c r="D53" s="27" t="s">
        <v>33</v>
      </c>
      <c r="E53" s="27" t="s">
        <v>33</v>
      </c>
      <c r="F53" s="27" t="s">
        <v>33</v>
      </c>
      <c r="G53" s="27" t="s">
        <v>33</v>
      </c>
      <c r="H53" s="27" t="s">
        <v>33</v>
      </c>
      <c r="I53" s="27" t="s">
        <v>33</v>
      </c>
      <c r="J53" s="27" t="s">
        <v>33</v>
      </c>
      <c r="K53" s="27" t="s">
        <v>33</v>
      </c>
      <c r="L53" s="27" t="s">
        <v>33</v>
      </c>
      <c r="M53" s="27" t="s">
        <v>33</v>
      </c>
      <c r="N53" s="27" t="s">
        <v>33</v>
      </c>
      <c r="O53" s="27" t="s">
        <v>33</v>
      </c>
      <c r="P53" s="27" t="s">
        <v>33</v>
      </c>
      <c r="Q53" s="6" t="s">
        <v>72</v>
      </c>
      <c r="R53" s="27" t="s">
        <v>33</v>
      </c>
      <c r="S53" s="27" t="s">
        <v>33</v>
      </c>
      <c r="T53" s="27" t="s">
        <v>33</v>
      </c>
      <c r="U53" s="27" t="s">
        <v>33</v>
      </c>
      <c r="V53" s="27" t="s">
        <v>33</v>
      </c>
      <c r="W53" s="27" t="s">
        <v>33</v>
      </c>
      <c r="X53" s="27" t="s">
        <v>33</v>
      </c>
      <c r="Y53" s="27" t="s">
        <v>33</v>
      </c>
      <c r="Z53" s="27" t="s">
        <v>33</v>
      </c>
      <c r="AA53" s="27" t="s">
        <v>33</v>
      </c>
      <c r="AB53" s="27" t="s">
        <v>33</v>
      </c>
      <c r="AC53" s="27" t="s">
        <v>33</v>
      </c>
      <c r="AD53" s="27" t="s">
        <v>33</v>
      </c>
      <c r="AE53" s="27" t="s">
        <v>33</v>
      </c>
      <c r="AF53" s="27" t="s">
        <v>33</v>
      </c>
      <c r="AG53" s="27" t="s">
        <v>33</v>
      </c>
    </row>
    <row r="54" spans="1:33" x14ac:dyDescent="0.2">
      <c r="A54" s="10">
        <v>0</v>
      </c>
      <c r="B54" s="11">
        <v>0</v>
      </c>
      <c r="C54" s="10">
        <v>0</v>
      </c>
      <c r="D54" s="10">
        <v>0</v>
      </c>
      <c r="E54" s="10">
        <v>26311.9</v>
      </c>
      <c r="F54" s="11">
        <v>8.900000000000001E-2</v>
      </c>
      <c r="G54" s="10">
        <v>26.63</v>
      </c>
      <c r="H54" s="10">
        <v>17.68</v>
      </c>
      <c r="I54" s="10">
        <v>26311.9</v>
      </c>
      <c r="J54" s="11">
        <v>1</v>
      </c>
      <c r="K54" s="10">
        <v>0</v>
      </c>
      <c r="L54" s="11">
        <v>0</v>
      </c>
      <c r="M54" s="10">
        <v>0</v>
      </c>
      <c r="N54" s="10">
        <v>0</v>
      </c>
      <c r="O54" s="10">
        <v>0</v>
      </c>
      <c r="P54" s="12">
        <v>0</v>
      </c>
      <c r="Q54" s="6" t="s">
        <v>73</v>
      </c>
      <c r="R54" s="10">
        <v>0</v>
      </c>
      <c r="S54" s="11">
        <v>0</v>
      </c>
      <c r="T54" s="10">
        <v>0</v>
      </c>
      <c r="U54" s="10">
        <v>0</v>
      </c>
      <c r="V54" s="10">
        <v>76964.960000000006</v>
      </c>
      <c r="W54" s="11">
        <v>9.3000000000000013E-2</v>
      </c>
      <c r="X54" s="10">
        <v>26.63</v>
      </c>
      <c r="Y54" s="10">
        <v>17.82</v>
      </c>
      <c r="Z54" s="10">
        <v>76964.960000000006</v>
      </c>
      <c r="AA54" s="11">
        <v>1</v>
      </c>
      <c r="AB54" s="10">
        <v>0</v>
      </c>
      <c r="AC54" s="11">
        <v>0</v>
      </c>
      <c r="AD54" s="10">
        <v>0</v>
      </c>
      <c r="AE54" s="10">
        <v>0</v>
      </c>
      <c r="AF54" s="10">
        <v>0</v>
      </c>
      <c r="AG54" s="12">
        <v>0</v>
      </c>
    </row>
    <row r="55" spans="1:33" x14ac:dyDescent="0.2">
      <c r="A55" s="17">
        <v>0</v>
      </c>
      <c r="B55" s="18">
        <v>0</v>
      </c>
      <c r="C55" s="17">
        <v>0</v>
      </c>
      <c r="D55" s="17">
        <v>0</v>
      </c>
      <c r="E55" s="17">
        <v>26311.9</v>
      </c>
      <c r="F55" s="18">
        <v>8.900000000000001E-2</v>
      </c>
      <c r="G55" s="17">
        <v>26.63</v>
      </c>
      <c r="H55" s="17">
        <v>17.68</v>
      </c>
      <c r="I55" s="17">
        <v>26311.9</v>
      </c>
      <c r="J55" s="18">
        <v>1</v>
      </c>
      <c r="K55" s="17">
        <v>0</v>
      </c>
      <c r="L55" s="18">
        <v>0</v>
      </c>
      <c r="M55" s="17">
        <v>0</v>
      </c>
      <c r="N55" s="17">
        <v>0</v>
      </c>
      <c r="O55" s="17">
        <v>0</v>
      </c>
      <c r="P55" s="19">
        <v>0</v>
      </c>
      <c r="Q55" s="6" t="s">
        <v>74</v>
      </c>
      <c r="R55" s="17">
        <v>0</v>
      </c>
      <c r="S55" s="18">
        <v>0</v>
      </c>
      <c r="T55" s="17">
        <v>0</v>
      </c>
      <c r="U55" s="17">
        <v>0</v>
      </c>
      <c r="V55" s="17">
        <v>76964.960000000006</v>
      </c>
      <c r="W55" s="18">
        <v>9.3000000000000013E-2</v>
      </c>
      <c r="X55" s="17">
        <v>26.63</v>
      </c>
      <c r="Y55" s="17">
        <v>17.82</v>
      </c>
      <c r="Z55" s="17">
        <v>76964.960000000006</v>
      </c>
      <c r="AA55" s="18">
        <v>1</v>
      </c>
      <c r="AB55" s="17">
        <v>0</v>
      </c>
      <c r="AC55" s="18">
        <v>0</v>
      </c>
      <c r="AD55" s="17">
        <v>0</v>
      </c>
      <c r="AE55" s="17">
        <v>0</v>
      </c>
      <c r="AF55" s="17">
        <v>0</v>
      </c>
      <c r="AG55" s="19">
        <v>0</v>
      </c>
    </row>
    <row r="56" spans="1:33" x14ac:dyDescent="0.2">
      <c r="A56" s="20">
        <v>-82270</v>
      </c>
      <c r="B56" s="21">
        <v>-0.29699999999999999</v>
      </c>
      <c r="C56" s="20">
        <v>-81.62</v>
      </c>
      <c r="D56" s="20">
        <v>-55.29</v>
      </c>
      <c r="E56" s="20">
        <v>-20268.84</v>
      </c>
      <c r="F56" s="21">
        <v>-6.9000000000000006E-2</v>
      </c>
      <c r="G56" s="20">
        <v>-20.52</v>
      </c>
      <c r="H56" s="20">
        <v>-13.62</v>
      </c>
      <c r="I56" s="20">
        <v>-62001.16</v>
      </c>
      <c r="J56" s="21">
        <v>-3.0589999999999997</v>
      </c>
      <c r="K56" s="20">
        <v>-50710.68</v>
      </c>
      <c r="L56" s="21">
        <v>-0.193</v>
      </c>
      <c r="M56" s="20">
        <v>-52.55</v>
      </c>
      <c r="N56" s="20">
        <v>-34.08</v>
      </c>
      <c r="O56" s="20">
        <v>-31559.32</v>
      </c>
      <c r="P56" s="22">
        <v>-0.62229999999999996</v>
      </c>
      <c r="Q56" s="6" t="s">
        <v>75</v>
      </c>
      <c r="R56" s="20">
        <v>-144630.82</v>
      </c>
      <c r="S56" s="21">
        <v>-0.188</v>
      </c>
      <c r="T56" s="20">
        <v>-51.65</v>
      </c>
      <c r="U56" s="20">
        <v>-33.479999999999997</v>
      </c>
      <c r="V56" s="20">
        <v>-83481.06</v>
      </c>
      <c r="W56" s="21">
        <v>-0.10099999999999999</v>
      </c>
      <c r="X56" s="20">
        <v>-28.89</v>
      </c>
      <c r="Y56" s="20">
        <v>-19.32</v>
      </c>
      <c r="Z56" s="20">
        <v>-61149.760000000002</v>
      </c>
      <c r="AA56" s="21">
        <v>-0.73199999999999998</v>
      </c>
      <c r="AB56" s="20">
        <v>-189271.56</v>
      </c>
      <c r="AC56" s="21">
        <v>-0.26</v>
      </c>
      <c r="AD56" s="20">
        <v>-66.760000000000005</v>
      </c>
      <c r="AE56" s="20">
        <v>-43.81</v>
      </c>
      <c r="AF56" s="20">
        <v>44640.74</v>
      </c>
      <c r="AG56" s="22">
        <v>0.23579999999999998</v>
      </c>
    </row>
    <row r="57" spans="1:33" x14ac:dyDescent="0.2">
      <c r="A57" s="23" t="s">
        <v>5</v>
      </c>
    </row>
    <row r="58" spans="1:33" x14ac:dyDescent="0.2">
      <c r="A58" s="2" t="s">
        <v>5</v>
      </c>
    </row>
    <row r="59" spans="1:33" x14ac:dyDescent="0.2">
      <c r="A59" s="4" t="s">
        <v>76</v>
      </c>
    </row>
  </sheetData>
  <mergeCells count="16">
    <mergeCell ref="W6:AA6"/>
    <mergeCell ref="AC6:AE6"/>
    <mergeCell ref="AF6:AG6"/>
    <mergeCell ref="B7:D7"/>
    <mergeCell ref="F7:J7"/>
    <mergeCell ref="L7:N7"/>
    <mergeCell ref="O7:P7"/>
    <mergeCell ref="S7:U7"/>
    <mergeCell ref="W7:AA7"/>
    <mergeCell ref="AC7:AE7"/>
    <mergeCell ref="AF7:AG7"/>
    <mergeCell ref="B6:D6"/>
    <mergeCell ref="F6:J6"/>
    <mergeCell ref="L6:N6"/>
    <mergeCell ref="O6:P6"/>
    <mergeCell ref="S6:U6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8FB-AABA-463F-A286-7E310F606B8E}">
  <sheetPr>
    <pageSetUpPr fitToPage="1"/>
  </sheetPr>
  <dimension ref="A1:AG59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12" sqref="K12"/>
    </sheetView>
  </sheetViews>
  <sheetFormatPr defaultColWidth="9.140625" defaultRowHeight="15" x14ac:dyDescent="0.2"/>
  <cols>
    <col min="1" max="1" width="40.85546875" style="29" bestFit="1" customWidth="1"/>
    <col min="2" max="2" width="14" style="29" bestFit="1" customWidth="1"/>
    <col min="3" max="3" width="12.85546875" style="29" bestFit="1" customWidth="1"/>
    <col min="4" max="4" width="11" style="29" bestFit="1" customWidth="1"/>
    <col min="5" max="5" width="16.7109375" style="29" bestFit="1" customWidth="1"/>
    <col min="6" max="6" width="14" style="29" bestFit="1" customWidth="1"/>
    <col min="7" max="7" width="12.140625" style="29" bestFit="1" customWidth="1"/>
    <col min="8" max="8" width="11" style="29" bestFit="1" customWidth="1"/>
    <col min="9" max="9" width="19.140625" style="29" bestFit="1" customWidth="1"/>
    <col min="10" max="10" width="22.140625" style="29" bestFit="1" customWidth="1"/>
    <col min="11" max="11" width="17.140625" style="29" bestFit="1" customWidth="1"/>
    <col min="12" max="12" width="14" style="29" bestFit="1" customWidth="1"/>
    <col min="13" max="13" width="12.85546875" style="29" bestFit="1" customWidth="1"/>
    <col min="14" max="14" width="11" style="29" bestFit="1" customWidth="1"/>
    <col min="15" max="15" width="14.28515625" style="29" bestFit="1" customWidth="1"/>
    <col min="16" max="16" width="16.85546875" style="29" bestFit="1" customWidth="1"/>
    <col min="17" max="17" width="59.28515625" style="29" bestFit="1" customWidth="1"/>
    <col min="18" max="18" width="16.7109375" style="29" bestFit="1" customWidth="1"/>
    <col min="19" max="19" width="14" style="29" bestFit="1" customWidth="1"/>
    <col min="20" max="20" width="12.140625" style="29" bestFit="1" customWidth="1"/>
    <col min="21" max="21" width="10.28515625" style="29" bestFit="1" customWidth="1"/>
    <col min="22" max="22" width="16.7109375" style="29" bestFit="1" customWidth="1"/>
    <col min="23" max="23" width="14" style="29" bestFit="1" customWidth="1"/>
    <col min="24" max="24" width="12.140625" style="29" bestFit="1" customWidth="1"/>
    <col min="25" max="25" width="10.28515625" style="29" bestFit="1" customWidth="1"/>
    <col min="26" max="26" width="19" style="29" bestFit="1" customWidth="1"/>
    <col min="27" max="27" width="22" style="29" bestFit="1" customWidth="1"/>
    <col min="28" max="28" width="21.28515625" style="29" bestFit="1" customWidth="1"/>
    <col min="29" max="29" width="14" style="29" bestFit="1" customWidth="1"/>
    <col min="30" max="30" width="11" style="29" bestFit="1" customWidth="1"/>
    <col min="31" max="31" width="10.28515625" style="29" bestFit="1" customWidth="1"/>
    <col min="32" max="33" width="16.7109375" style="29" bestFit="1" customWidth="1"/>
    <col min="34" max="34" width="9.140625" style="29" customWidth="1"/>
    <col min="35" max="16384" width="9.140625" style="29"/>
  </cols>
  <sheetData>
    <row r="1" spans="1:33" ht="15.75" x14ac:dyDescent="0.25">
      <c r="A1" s="28" t="s">
        <v>77</v>
      </c>
    </row>
    <row r="2" spans="1:33" ht="15.75" x14ac:dyDescent="0.25">
      <c r="A2" s="28" t="s">
        <v>1</v>
      </c>
    </row>
    <row r="3" spans="1:33" x14ac:dyDescent="0.2">
      <c r="A3" s="30" t="s">
        <v>2</v>
      </c>
      <c r="B3" s="31">
        <v>46203</v>
      </c>
    </row>
    <row r="4" spans="1:33" ht="15.75" x14ac:dyDescent="0.25">
      <c r="A4" s="30" t="s">
        <v>4</v>
      </c>
      <c r="B4" s="28" t="s">
        <v>77</v>
      </c>
    </row>
    <row r="5" spans="1:33" x14ac:dyDescent="0.2">
      <c r="A5" s="32" t="s">
        <v>5</v>
      </c>
    </row>
    <row r="6" spans="1:33" ht="15.75" x14ac:dyDescent="0.25">
      <c r="A6" s="33" t="s">
        <v>6</v>
      </c>
      <c r="B6" s="60" t="s">
        <v>5</v>
      </c>
      <c r="C6" s="60"/>
      <c r="D6" s="60"/>
      <c r="E6" s="33" t="s">
        <v>6</v>
      </c>
      <c r="F6" s="60" t="s">
        <v>5</v>
      </c>
      <c r="G6" s="60"/>
      <c r="H6" s="60"/>
      <c r="I6" s="60"/>
      <c r="J6" s="60"/>
      <c r="K6" s="33" t="s">
        <v>6</v>
      </c>
      <c r="L6" s="60" t="s">
        <v>5</v>
      </c>
      <c r="M6" s="60"/>
      <c r="N6" s="60"/>
      <c r="O6" s="60" t="s">
        <v>5</v>
      </c>
      <c r="P6" s="60"/>
      <c r="Q6" s="28" t="s">
        <v>5</v>
      </c>
      <c r="R6" s="33" t="s">
        <v>7</v>
      </c>
      <c r="S6" s="60" t="s">
        <v>5</v>
      </c>
      <c r="T6" s="60"/>
      <c r="U6" s="60"/>
      <c r="V6" s="33" t="s">
        <v>7</v>
      </c>
      <c r="W6" s="60" t="s">
        <v>5</v>
      </c>
      <c r="X6" s="60"/>
      <c r="Y6" s="60"/>
      <c r="Z6" s="60"/>
      <c r="AA6" s="60"/>
      <c r="AB6" s="33" t="s">
        <v>8</v>
      </c>
      <c r="AC6" s="60" t="s">
        <v>5</v>
      </c>
      <c r="AD6" s="60"/>
      <c r="AE6" s="60"/>
      <c r="AF6" s="60" t="s">
        <v>5</v>
      </c>
      <c r="AG6" s="60"/>
    </row>
    <row r="7" spans="1:33" ht="15.75" x14ac:dyDescent="0.25">
      <c r="A7" s="34">
        <v>46203</v>
      </c>
      <c r="B7" s="61" t="s">
        <v>5</v>
      </c>
      <c r="C7" s="61"/>
      <c r="D7" s="61"/>
      <c r="E7" s="34">
        <v>46203</v>
      </c>
      <c r="F7" s="61" t="s">
        <v>5</v>
      </c>
      <c r="G7" s="61"/>
      <c r="H7" s="61"/>
      <c r="I7" s="61"/>
      <c r="J7" s="61"/>
      <c r="K7" s="34">
        <v>45838</v>
      </c>
      <c r="L7" s="61" t="s">
        <v>5</v>
      </c>
      <c r="M7" s="61"/>
      <c r="N7" s="61"/>
      <c r="O7" s="61" t="s">
        <v>5</v>
      </c>
      <c r="P7" s="61"/>
      <c r="Q7" s="28" t="s">
        <v>5</v>
      </c>
      <c r="R7" s="34">
        <v>46203</v>
      </c>
      <c r="S7" s="61" t="s">
        <v>5</v>
      </c>
      <c r="T7" s="61"/>
      <c r="U7" s="61"/>
      <c r="V7" s="34">
        <v>46203</v>
      </c>
      <c r="W7" s="61" t="s">
        <v>5</v>
      </c>
      <c r="X7" s="61"/>
      <c r="Y7" s="61"/>
      <c r="Z7" s="61"/>
      <c r="AA7" s="61"/>
      <c r="AB7" s="34">
        <v>45838</v>
      </c>
      <c r="AC7" s="61" t="s">
        <v>5</v>
      </c>
      <c r="AD7" s="61"/>
      <c r="AE7" s="61"/>
      <c r="AF7" s="61" t="s">
        <v>5</v>
      </c>
      <c r="AG7" s="61"/>
    </row>
    <row r="8" spans="1:33" ht="15.75" x14ac:dyDescent="0.25">
      <c r="A8" s="35" t="s">
        <v>10</v>
      </c>
      <c r="B8" s="35" t="s">
        <v>11</v>
      </c>
      <c r="C8" s="35" t="s">
        <v>12</v>
      </c>
      <c r="D8" s="35" t="s">
        <v>13</v>
      </c>
      <c r="E8" s="35" t="s">
        <v>14</v>
      </c>
      <c r="F8" s="35" t="s">
        <v>11</v>
      </c>
      <c r="G8" s="35" t="s">
        <v>12</v>
      </c>
      <c r="H8" s="35" t="s">
        <v>13</v>
      </c>
      <c r="I8" s="35" t="s">
        <v>15</v>
      </c>
      <c r="J8" s="35" t="s">
        <v>16</v>
      </c>
      <c r="K8" s="35" t="s">
        <v>17</v>
      </c>
      <c r="L8" s="35" t="s">
        <v>11</v>
      </c>
      <c r="M8" s="35" t="s">
        <v>12</v>
      </c>
      <c r="N8" s="35" t="s">
        <v>13</v>
      </c>
      <c r="O8" s="35" t="s">
        <v>18</v>
      </c>
      <c r="P8" s="35" t="s">
        <v>19</v>
      </c>
      <c r="Q8" s="28" t="s">
        <v>5</v>
      </c>
      <c r="R8" s="35" t="s">
        <v>20</v>
      </c>
      <c r="S8" s="35" t="s">
        <v>11</v>
      </c>
      <c r="T8" s="35" t="s">
        <v>12</v>
      </c>
      <c r="U8" s="35" t="s">
        <v>13</v>
      </c>
      <c r="V8" s="35" t="s">
        <v>21</v>
      </c>
      <c r="W8" s="35" t="s">
        <v>11</v>
      </c>
      <c r="X8" s="35" t="s">
        <v>12</v>
      </c>
      <c r="Y8" s="35" t="s">
        <v>13</v>
      </c>
      <c r="Z8" s="35" t="s">
        <v>22</v>
      </c>
      <c r="AA8" s="35" t="s">
        <v>23</v>
      </c>
      <c r="AB8" s="35" t="s">
        <v>24</v>
      </c>
      <c r="AC8" s="35" t="s">
        <v>11</v>
      </c>
      <c r="AD8" s="35" t="s">
        <v>12</v>
      </c>
      <c r="AE8" s="35" t="s">
        <v>13</v>
      </c>
      <c r="AF8" s="35" t="s">
        <v>25</v>
      </c>
      <c r="AG8" s="35" t="s">
        <v>26</v>
      </c>
    </row>
    <row r="9" spans="1:33" ht="15.75" x14ac:dyDescent="0.25">
      <c r="A9" s="36">
        <f>+'[6]Ken format'!I137</f>
        <v>900</v>
      </c>
      <c r="B9" s="37"/>
      <c r="C9" s="38"/>
      <c r="D9" s="38"/>
      <c r="E9" s="36">
        <f>+'[6]Ken format'!AM137</f>
        <v>900</v>
      </c>
      <c r="F9" s="37"/>
      <c r="G9" s="38"/>
      <c r="H9" s="38"/>
      <c r="I9" s="36">
        <f t="shared" ref="I9:I14" si="0">+A9-E9</f>
        <v>0</v>
      </c>
      <c r="J9" s="37">
        <f t="shared" ref="J9:J14" si="1">IFERROR(I9/ABS(E9),0)</f>
        <v>0</v>
      </c>
      <c r="K9" s="36">
        <f>+'[6]Ken format'!X137</f>
        <v>900</v>
      </c>
      <c r="L9" s="37"/>
      <c r="M9" s="38"/>
      <c r="N9" s="38"/>
      <c r="O9" s="36">
        <f t="shared" ref="O9:O14" si="2">+A9-K9</f>
        <v>0</v>
      </c>
      <c r="P9" s="37">
        <f t="shared" ref="P9:P14" si="3">IFERROR(O9/ABS(K9),0)</f>
        <v>0</v>
      </c>
      <c r="Q9" s="28" t="s">
        <v>27</v>
      </c>
      <c r="R9" s="36">
        <f>SUM('[6]Ken format'!D137:I137)</f>
        <v>5430</v>
      </c>
      <c r="S9" s="37"/>
      <c r="T9" s="38"/>
      <c r="U9" s="38"/>
      <c r="V9" s="36">
        <f>SUM('[6]Ken format'!AH137:AM137)</f>
        <v>5430</v>
      </c>
      <c r="W9" s="37"/>
      <c r="X9" s="38"/>
      <c r="Y9" s="38"/>
      <c r="Z9" s="36">
        <f t="shared" ref="Z9:Z14" si="4">+R9-V9</f>
        <v>0</v>
      </c>
      <c r="AA9" s="37">
        <f t="shared" ref="AA9:AA14" si="5">IFERROR(Z9/ABS(V9),0)</f>
        <v>0</v>
      </c>
      <c r="AB9" s="36">
        <f>SUM('[6]Ken format'!S137:X137)</f>
        <v>5430</v>
      </c>
      <c r="AC9" s="37"/>
      <c r="AD9" s="38"/>
      <c r="AE9" s="38"/>
      <c r="AF9" s="36">
        <f t="shared" ref="AF9:AF14" si="6">+R9-AB9</f>
        <v>0</v>
      </c>
      <c r="AG9" s="37">
        <f t="shared" ref="AG9:AG14" si="7">IFERROR(AF9/ABS(AB9),0)</f>
        <v>0</v>
      </c>
    </row>
    <row r="10" spans="1:33" ht="15.75" x14ac:dyDescent="0.25">
      <c r="A10" s="36">
        <f>+'[6]Ken format'!I138</f>
        <v>162</v>
      </c>
      <c r="B10" s="37"/>
      <c r="C10" s="38"/>
      <c r="D10" s="38"/>
      <c r="E10" s="36">
        <f>+'[6]Ken format'!AM138</f>
        <v>167.65517241379311</v>
      </c>
      <c r="F10" s="37"/>
      <c r="G10" s="38"/>
      <c r="H10" s="38"/>
      <c r="I10" s="36">
        <f t="shared" si="0"/>
        <v>-5.6551724137931103</v>
      </c>
      <c r="J10" s="37">
        <f t="shared" si="1"/>
        <v>-3.3730974907445532E-2</v>
      </c>
      <c r="K10" s="36">
        <f>+'[6]Ken format'!X138</f>
        <v>102</v>
      </c>
      <c r="L10" s="37"/>
      <c r="M10" s="38"/>
      <c r="N10" s="38"/>
      <c r="O10" s="36">
        <f t="shared" si="2"/>
        <v>60</v>
      </c>
      <c r="P10" s="37">
        <f t="shared" si="3"/>
        <v>0.58823529411764708</v>
      </c>
      <c r="Q10" s="28" t="s">
        <v>28</v>
      </c>
      <c r="R10" s="36">
        <f>SUM('[6]Ken format'!D138:I138)</f>
        <v>2854</v>
      </c>
      <c r="S10" s="37"/>
      <c r="T10" s="38"/>
      <c r="U10" s="38"/>
      <c r="V10" s="36">
        <f>SUM('[6]Ken format'!AH138:AM138)</f>
        <v>2675.7413793103451</v>
      </c>
      <c r="W10" s="37"/>
      <c r="X10" s="38"/>
      <c r="Y10" s="38"/>
      <c r="Z10" s="36">
        <f t="shared" si="4"/>
        <v>178.25862068965489</v>
      </c>
      <c r="AA10" s="37">
        <f t="shared" si="5"/>
        <v>6.6620272821583337E-2</v>
      </c>
      <c r="AB10" s="36">
        <f>SUM('[6]Ken format'!S138:X138)</f>
        <v>1907</v>
      </c>
      <c r="AC10" s="37"/>
      <c r="AD10" s="38"/>
      <c r="AE10" s="38"/>
      <c r="AF10" s="36">
        <f t="shared" si="6"/>
        <v>947</v>
      </c>
      <c r="AG10" s="37">
        <f t="shared" si="7"/>
        <v>0.49659150498164656</v>
      </c>
    </row>
    <row r="11" spans="1:33" ht="15.75" x14ac:dyDescent="0.25">
      <c r="A11" s="38">
        <v>478.63</v>
      </c>
      <c r="B11" s="37"/>
      <c r="C11" s="38"/>
      <c r="D11" s="38"/>
      <c r="E11" s="38">
        <f>IFERROR(E16/E10,0)</f>
        <v>553.70169683257927</v>
      </c>
      <c r="F11" s="37"/>
      <c r="G11" s="38"/>
      <c r="H11" s="38"/>
      <c r="I11" s="38">
        <f t="shared" si="0"/>
        <v>-75.071696832579278</v>
      </c>
      <c r="J11" s="37">
        <f t="shared" si="1"/>
        <v>-0.13558148234333192</v>
      </c>
      <c r="K11" s="38">
        <f>IFERROR(K16/K10,0)</f>
        <v>379.47716867497763</v>
      </c>
      <c r="L11" s="37"/>
      <c r="M11" s="38"/>
      <c r="N11" s="38"/>
      <c r="O11" s="38">
        <f t="shared" si="2"/>
        <v>99.152831325022362</v>
      </c>
      <c r="P11" s="37">
        <f t="shared" si="3"/>
        <v>0.26128800230916344</v>
      </c>
      <c r="Q11" s="28" t="s">
        <v>29</v>
      </c>
      <c r="R11" s="38">
        <v>619.33000000000004</v>
      </c>
      <c r="S11" s="37"/>
      <c r="T11" s="38"/>
      <c r="U11" s="38"/>
      <c r="V11" s="38">
        <f>IFERROR(V16/V10,0)</f>
        <v>587.42071708131164</v>
      </c>
      <c r="W11" s="37"/>
      <c r="X11" s="38"/>
      <c r="Y11" s="38"/>
      <c r="Z11" s="38">
        <f t="shared" si="4"/>
        <v>31.909282918688405</v>
      </c>
      <c r="AA11" s="37">
        <f t="shared" si="5"/>
        <v>5.4321003653453839E-2</v>
      </c>
      <c r="AB11" s="38">
        <f>IFERROR(AB16/AB10,0)</f>
        <v>492.65716037052772</v>
      </c>
      <c r="AC11" s="37"/>
      <c r="AD11" s="38"/>
      <c r="AE11" s="38"/>
      <c r="AF11" s="38">
        <f t="shared" si="6"/>
        <v>126.67283962947232</v>
      </c>
      <c r="AG11" s="37">
        <f t="shared" si="7"/>
        <v>0.25712168586812301</v>
      </c>
    </row>
    <row r="12" spans="1:33" ht="15.75" x14ac:dyDescent="0.25">
      <c r="A12" s="37">
        <f>IFERROR(A10/A9,0)</f>
        <v>0.18</v>
      </c>
      <c r="B12" s="37"/>
      <c r="C12" s="38"/>
      <c r="D12" s="38"/>
      <c r="E12" s="37">
        <f>IFERROR(E10/E9,0)</f>
        <v>0.18628352490421457</v>
      </c>
      <c r="F12" s="37"/>
      <c r="G12" s="38"/>
      <c r="H12" s="38"/>
      <c r="I12" s="37">
        <f t="shared" si="0"/>
        <v>-6.2835249042145769E-3</v>
      </c>
      <c r="J12" s="37">
        <f t="shared" si="1"/>
        <v>-3.3730974907445588E-2</v>
      </c>
      <c r="K12" s="37">
        <f>IFERROR(K10/K9,0)</f>
        <v>0.11333333333333333</v>
      </c>
      <c r="L12" s="37"/>
      <c r="M12" s="38"/>
      <c r="N12" s="38"/>
      <c r="O12" s="37">
        <f t="shared" si="2"/>
        <v>6.6666666666666666E-2</v>
      </c>
      <c r="P12" s="37">
        <f t="shared" si="3"/>
        <v>0.58823529411764708</v>
      </c>
      <c r="Q12" s="28" t="s">
        <v>30</v>
      </c>
      <c r="R12" s="37">
        <f>IFERROR(R10/R9,0)</f>
        <v>0.52559852670349905</v>
      </c>
      <c r="S12" s="37"/>
      <c r="T12" s="38"/>
      <c r="U12" s="38"/>
      <c r="V12" s="37">
        <f>IFERROR(V10/V9,0)</f>
        <v>0.49277005143836927</v>
      </c>
      <c r="W12" s="37"/>
      <c r="X12" s="38"/>
      <c r="Y12" s="38"/>
      <c r="Z12" s="37">
        <f t="shared" si="4"/>
        <v>3.2828475265129775E-2</v>
      </c>
      <c r="AA12" s="37">
        <f t="shared" si="5"/>
        <v>6.6620272821583254E-2</v>
      </c>
      <c r="AB12" s="37">
        <f>IFERROR(AB10/AB9,0)</f>
        <v>0.35119705340699814</v>
      </c>
      <c r="AC12" s="37"/>
      <c r="AD12" s="38"/>
      <c r="AE12" s="38"/>
      <c r="AF12" s="37">
        <f t="shared" si="6"/>
        <v>0.17440147329650091</v>
      </c>
      <c r="AG12" s="37">
        <f t="shared" si="7"/>
        <v>0.49659150498164656</v>
      </c>
    </row>
    <row r="13" spans="1:33" ht="15.75" x14ac:dyDescent="0.25">
      <c r="A13" s="38">
        <f>IFERROR(A16/A9,0)</f>
        <v>88.122900914563672</v>
      </c>
      <c r="B13" s="37"/>
      <c r="C13" s="38"/>
      <c r="D13" s="38"/>
      <c r="E13" s="38">
        <f>IFERROR(E16/E9,0)</f>
        <v>103.14550383141766</v>
      </c>
      <c r="F13" s="37"/>
      <c r="G13" s="38"/>
      <c r="H13" s="38"/>
      <c r="I13" s="38">
        <f t="shared" si="0"/>
        <v>-15.022602916853984</v>
      </c>
      <c r="J13" s="37">
        <f t="shared" si="1"/>
        <v>-0.14564476742880736</v>
      </c>
      <c r="K13" s="38">
        <f>IFERROR(K16/K9,0)</f>
        <v>43.007412449830802</v>
      </c>
      <c r="L13" s="37"/>
      <c r="M13" s="38"/>
      <c r="N13" s="38"/>
      <c r="O13" s="38">
        <f t="shared" si="2"/>
        <v>45.11548846473287</v>
      </c>
      <c r="P13" s="37">
        <f t="shared" si="3"/>
        <v>1.0490165740001491</v>
      </c>
      <c r="Q13" s="28" t="s">
        <v>31</v>
      </c>
      <c r="R13" s="38">
        <f>IFERROR(R16/R9,0)</f>
        <v>328.81044407987434</v>
      </c>
      <c r="S13" s="37"/>
      <c r="T13" s="38"/>
      <c r="U13" s="38"/>
      <c r="V13" s="38">
        <f>IFERROR(V16/V9,0)</f>
        <v>289.46333697212168</v>
      </c>
      <c r="W13" s="37"/>
      <c r="X13" s="38"/>
      <c r="Y13" s="38"/>
      <c r="Z13" s="38">
        <f t="shared" si="4"/>
        <v>39.347107107752663</v>
      </c>
      <c r="AA13" s="37">
        <f t="shared" si="5"/>
        <v>0.13593122887110984</v>
      </c>
      <c r="AB13" s="38">
        <f>IFERROR(AB16/AB9,0)</f>
        <v>173.01974306198827</v>
      </c>
      <c r="AC13" s="37"/>
      <c r="AD13" s="38"/>
      <c r="AE13" s="38"/>
      <c r="AF13" s="38">
        <f t="shared" si="6"/>
        <v>155.79070101788608</v>
      </c>
      <c r="AG13" s="37">
        <f t="shared" si="7"/>
        <v>0.90042152566410016</v>
      </c>
    </row>
    <row r="14" spans="1:33" ht="15.75" x14ac:dyDescent="0.25">
      <c r="A14" s="38">
        <f>IFERROR(A21/A9,0)</f>
        <v>171.00299196627554</v>
      </c>
      <c r="B14" s="37"/>
      <c r="C14" s="38"/>
      <c r="D14" s="38"/>
      <c r="E14" s="38">
        <f>IFERROR(E21/E9,0)</f>
        <v>200.22894257172419</v>
      </c>
      <c r="F14" s="37"/>
      <c r="G14" s="38"/>
      <c r="H14" s="38"/>
      <c r="I14" s="38">
        <f t="shared" si="0"/>
        <v>-29.225950605448645</v>
      </c>
      <c r="J14" s="37">
        <f t="shared" si="1"/>
        <v>-0.14596266768466598</v>
      </c>
      <c r="K14" s="38">
        <f>IFERROR(K21/K9,0)</f>
        <v>93.054494067137114</v>
      </c>
      <c r="L14" s="37"/>
      <c r="M14" s="38"/>
      <c r="N14" s="38"/>
      <c r="O14" s="38">
        <f t="shared" si="2"/>
        <v>77.948497899138431</v>
      </c>
      <c r="P14" s="37">
        <f t="shared" si="3"/>
        <v>0.83766505509019284</v>
      </c>
      <c r="Q14" s="28" t="s">
        <v>32</v>
      </c>
      <c r="R14" s="38">
        <f>IFERROR(R21/R9,0)</f>
        <v>634.88514441682184</v>
      </c>
      <c r="S14" s="37"/>
      <c r="T14" s="38"/>
      <c r="U14" s="38"/>
      <c r="V14" s="38">
        <f>IFERROR(V21/V9,0)</f>
        <v>550.92142631841591</v>
      </c>
      <c r="W14" s="37"/>
      <c r="X14" s="38"/>
      <c r="Y14" s="38"/>
      <c r="Z14" s="38">
        <f t="shared" si="4"/>
        <v>83.963718098405934</v>
      </c>
      <c r="AA14" s="37">
        <f t="shared" si="5"/>
        <v>0.15240597676423906</v>
      </c>
      <c r="AB14" s="38">
        <f>IFERROR(AB21/AB9,0)</f>
        <v>323.37097616228647</v>
      </c>
      <c r="AC14" s="37"/>
      <c r="AD14" s="38"/>
      <c r="AE14" s="38"/>
      <c r="AF14" s="38">
        <f t="shared" si="6"/>
        <v>311.51416825453538</v>
      </c>
      <c r="AG14" s="37">
        <f t="shared" si="7"/>
        <v>0.96333372880749613</v>
      </c>
    </row>
    <row r="15" spans="1:33" ht="15.75" x14ac:dyDescent="0.25">
      <c r="A15" s="39"/>
      <c r="B15" s="40"/>
      <c r="C15" s="39"/>
      <c r="D15" s="39"/>
      <c r="E15" s="39"/>
      <c r="F15" s="40"/>
      <c r="G15" s="39"/>
      <c r="H15" s="39"/>
      <c r="I15" s="39"/>
      <c r="J15" s="40"/>
      <c r="K15" s="39"/>
      <c r="L15" s="40"/>
      <c r="M15" s="39"/>
      <c r="N15" s="39"/>
      <c r="O15" s="39"/>
      <c r="P15" s="40"/>
      <c r="Q15" s="28" t="s">
        <v>34</v>
      </c>
      <c r="R15" s="39"/>
      <c r="S15" s="40"/>
      <c r="T15" s="39"/>
      <c r="U15" s="39"/>
      <c r="V15" s="39"/>
      <c r="W15" s="40"/>
      <c r="X15" s="39"/>
      <c r="Y15" s="39"/>
      <c r="Z15" s="39"/>
      <c r="AA15" s="40"/>
      <c r="AB15" s="39"/>
      <c r="AC15" s="40"/>
      <c r="AD15" s="39"/>
      <c r="AE15" s="39"/>
      <c r="AF15" s="39"/>
      <c r="AG15" s="40"/>
    </row>
    <row r="16" spans="1:33" ht="15.75" x14ac:dyDescent="0.25">
      <c r="A16" s="38">
        <f>+'[6]Ken format'!I146</f>
        <v>79310.610823107301</v>
      </c>
      <c r="B16" s="37">
        <f t="shared" ref="B16:B21" si="8">IFERROR(A16/A$21,0)</f>
        <v>0.5153295851802574</v>
      </c>
      <c r="C16" s="38">
        <f>IFERROR(A16/A$10,0)</f>
        <v>489.57167174757592</v>
      </c>
      <c r="D16" s="38">
        <f>IFERROR(A16/A$9,0)</f>
        <v>88.122900914563672</v>
      </c>
      <c r="E16" s="38">
        <f>+'[6]Ken format'!AM146</f>
        <v>92830.95344827589</v>
      </c>
      <c r="F16" s="37">
        <f t="shared" ref="F16:F21" si="9">IFERROR(E16/E$21,0)</f>
        <v>0.5151378342542553</v>
      </c>
      <c r="G16" s="38">
        <f t="shared" ref="G16:G21" si="10">IFERROR(E16/E$10,0)</f>
        <v>553.70169683257927</v>
      </c>
      <c r="H16" s="38">
        <f t="shared" ref="H16:H21" si="11">IFERROR(E16/E$9,0)</f>
        <v>103.14550383141766</v>
      </c>
      <c r="I16" s="38">
        <f t="shared" ref="I16:I21" si="12">+A16-E16</f>
        <v>-13520.342625168589</v>
      </c>
      <c r="J16" s="37">
        <f t="shared" ref="J16:J21" si="13">IFERROR(I16/ABS(E16),0)</f>
        <v>-0.14564476742880741</v>
      </c>
      <c r="K16" s="38">
        <f>+'[6]Ken format'!X146</f>
        <v>38706.67120484772</v>
      </c>
      <c r="L16" s="37">
        <f t="shared" ref="L16:L21" si="14">IFERROR(K16/K$21,0)</f>
        <v>0.46217448045874859</v>
      </c>
      <c r="M16" s="38">
        <f t="shared" ref="M16:M21" si="15">IFERROR(K16/K$10,0)</f>
        <v>379.47716867497763</v>
      </c>
      <c r="N16" s="38">
        <f t="shared" ref="N16:N21" si="16">IFERROR(K16/K$9,0)</f>
        <v>43.007412449830802</v>
      </c>
      <c r="O16" s="38">
        <f t="shared" ref="O16:O21" si="17">+A16-K16</f>
        <v>40603.939618259581</v>
      </c>
      <c r="P16" s="37">
        <f t="shared" ref="P16:P21" si="18">IFERROR(O16/ABS(K16),0)</f>
        <v>1.0490165740001491</v>
      </c>
      <c r="Q16" s="28" t="s">
        <v>35</v>
      </c>
      <c r="R16" s="38">
        <f>SUM('[6]Ken format'!D146:I146)</f>
        <v>1785440.7113537178</v>
      </c>
      <c r="S16" s="37">
        <f t="shared" ref="S16:S21" si="19">IFERROR(R16/R$21,0)</f>
        <v>0.51790539906537814</v>
      </c>
      <c r="T16" s="38">
        <f t="shared" ref="T16:T21" si="20">IFERROR(R16/R$10,0)</f>
        <v>625.59240061447713</v>
      </c>
      <c r="U16" s="38">
        <f t="shared" ref="U16:U21" si="21">IFERROR(R16/R$9,0)</f>
        <v>328.81044407987434</v>
      </c>
      <c r="V16" s="38">
        <f>SUM('[6]Ken format'!AH146:AM146)</f>
        <v>1571785.9197586207</v>
      </c>
      <c r="W16" s="37">
        <f t="shared" ref="W16:W21" si="22">IFERROR(V16/V$21,0)</f>
        <v>0.52541673484454499</v>
      </c>
      <c r="X16" s="38">
        <f t="shared" ref="X16:X21" si="23">IFERROR(V16/V$10,0)</f>
        <v>587.42071708131164</v>
      </c>
      <c r="Y16" s="38">
        <f t="shared" ref="Y16:Y21" si="24">IFERROR(V16/V$9,0)</f>
        <v>289.46333697212168</v>
      </c>
      <c r="Z16" s="38">
        <f t="shared" ref="Z16:Z21" si="25">+R16-V16</f>
        <v>213654.79159509717</v>
      </c>
      <c r="AA16" s="37">
        <f t="shared" ref="AA16:AA21" si="26">IFERROR(Z16/ABS(V16),0)</f>
        <v>0.13593122887110998</v>
      </c>
      <c r="AB16" s="38">
        <f>SUM('[6]Ken format'!S146:X146)</f>
        <v>939497.20482659631</v>
      </c>
      <c r="AC16" s="37">
        <f t="shared" ref="AC16:AC21" si="27">IFERROR(AB16/AB$21,0)</f>
        <v>0.5350503162508834</v>
      </c>
      <c r="AD16" s="38">
        <f t="shared" ref="AD16:AD21" si="28">IFERROR(AB16/AB$10,0)</f>
        <v>492.65716037052772</v>
      </c>
      <c r="AE16" s="38">
        <f t="shared" ref="AE16:AE21" si="29">IFERROR(AB16/AB$9,0)</f>
        <v>173.01974306198827</v>
      </c>
      <c r="AF16" s="38">
        <f t="shared" ref="AF16:AF21" si="30">+R16-AB16</f>
        <v>845943.50652712153</v>
      </c>
      <c r="AG16" s="37">
        <f t="shared" ref="AG16:AG21" si="31">IFERROR(AF16/ABS(AB16),0)</f>
        <v>0.90042152566410028</v>
      </c>
    </row>
    <row r="17" spans="1:33" ht="15.75" x14ac:dyDescent="0.25">
      <c r="A17" s="38">
        <f>+'[6]Ken format'!I147</f>
        <v>29688.15565325808</v>
      </c>
      <c r="B17" s="37">
        <f t="shared" si="8"/>
        <v>0.19290211963798107</v>
      </c>
      <c r="C17" s="38">
        <f t="shared" ref="C17:C21" si="32">IFERROR(A17/A$10,0)</f>
        <v>183.26022008184</v>
      </c>
      <c r="D17" s="38">
        <f t="shared" ref="D17" si="33">IFERROR(A17/A$9,0)</f>
        <v>32.986839614731203</v>
      </c>
      <c r="E17" s="38">
        <f>+'[6]Ken format'!AM147</f>
        <v>36511.047499034488</v>
      </c>
      <c r="F17" s="37">
        <f t="shared" si="9"/>
        <v>0.20260722567593306</v>
      </c>
      <c r="G17" s="38">
        <f t="shared" si="10"/>
        <v>217.77465600000002</v>
      </c>
      <c r="H17" s="38">
        <f t="shared" si="11"/>
        <v>40.567830554482768</v>
      </c>
      <c r="I17" s="38">
        <f t="shared" si="12"/>
        <v>-6822.8918457764084</v>
      </c>
      <c r="J17" s="37">
        <f t="shared" si="13"/>
        <v>-0.1868719829513748</v>
      </c>
      <c r="K17" s="38">
        <f>+'[6]Ken format'!X147</f>
        <v>17792.870956952858</v>
      </c>
      <c r="L17" s="37">
        <f t="shared" si="14"/>
        <v>0.21245461400900123</v>
      </c>
      <c r="M17" s="38">
        <f t="shared" si="15"/>
        <v>174.43991134267509</v>
      </c>
      <c r="N17" s="38">
        <f t="shared" si="16"/>
        <v>19.76985661883651</v>
      </c>
      <c r="O17" s="38">
        <f t="shared" si="17"/>
        <v>11895.284696305222</v>
      </c>
      <c r="P17" s="37">
        <f t="shared" si="18"/>
        <v>0.66854217765553692</v>
      </c>
      <c r="Q17" s="28" t="s">
        <v>36</v>
      </c>
      <c r="R17" s="38">
        <f>SUM('[6]Ken format'!D147:I147)</f>
        <v>617150.66488361952</v>
      </c>
      <c r="S17" s="37">
        <f t="shared" si="19"/>
        <v>0.17901779619311742</v>
      </c>
      <c r="T17" s="38">
        <f t="shared" si="20"/>
        <v>216.24059736636983</v>
      </c>
      <c r="U17" s="38">
        <f t="shared" si="21"/>
        <v>113.65573938924854</v>
      </c>
      <c r="V17" s="38">
        <f>SUM('[6]Ken format'!AH147:AM147)</f>
        <v>582708.65842427593</v>
      </c>
      <c r="W17" s="37">
        <f t="shared" si="22"/>
        <v>0.1947879013459709</v>
      </c>
      <c r="X17" s="38">
        <f t="shared" si="23"/>
        <v>217.77465599999999</v>
      </c>
      <c r="Y17" s="38">
        <f t="shared" si="24"/>
        <v>107.31282843909317</v>
      </c>
      <c r="Z17" s="38">
        <f t="shared" si="25"/>
        <v>34442.006459343596</v>
      </c>
      <c r="AA17" s="37">
        <f t="shared" si="26"/>
        <v>5.9106735349496099E-2</v>
      </c>
      <c r="AB17" s="38">
        <f>SUM('[6]Ken format'!S147:X147)</f>
        <v>356740.02437049785</v>
      </c>
      <c r="AC17" s="37">
        <f t="shared" si="27"/>
        <v>0.20316597205205358</v>
      </c>
      <c r="AD17" s="38">
        <f t="shared" si="28"/>
        <v>187.06870706371151</v>
      </c>
      <c r="AE17" s="38">
        <f t="shared" si="29"/>
        <v>65.697978705432391</v>
      </c>
      <c r="AF17" s="38">
        <f t="shared" si="30"/>
        <v>260410.64051312167</v>
      </c>
      <c r="AG17" s="37">
        <f t="shared" si="31"/>
        <v>0.72997315334224511</v>
      </c>
    </row>
    <row r="18" spans="1:33" ht="15.75" x14ac:dyDescent="0.25">
      <c r="A18" s="38">
        <f>+'[6]Ken format'!I148</f>
        <v>35312.561432289964</v>
      </c>
      <c r="B18" s="37">
        <f t="shared" si="8"/>
        <v>0.22944732672834789</v>
      </c>
      <c r="C18" s="38">
        <f t="shared" si="32"/>
        <v>217.97877427339483</v>
      </c>
      <c r="D18" s="38">
        <f>IFERROR(A18/A$9,0)</f>
        <v>39.236179369211072</v>
      </c>
      <c r="E18" s="38">
        <f>+'[6]Ken format'!AM148</f>
        <v>42414.226677586215</v>
      </c>
      <c r="F18" s="37">
        <f t="shared" si="9"/>
        <v>0.23536516711998304</v>
      </c>
      <c r="G18" s="38">
        <f t="shared" si="10"/>
        <v>252.98489791238177</v>
      </c>
      <c r="H18" s="38">
        <f t="shared" si="11"/>
        <v>47.126918530651352</v>
      </c>
      <c r="I18" s="38">
        <f t="shared" si="12"/>
        <v>-7101.6652452962517</v>
      </c>
      <c r="J18" s="37">
        <f t="shared" si="13"/>
        <v>-0.16743592425437581</v>
      </c>
      <c r="K18" s="38">
        <f>+'[6]Ken format'!X148</f>
        <v>23452.278743999381</v>
      </c>
      <c r="L18" s="37">
        <f t="shared" si="14"/>
        <v>0.28003040320150696</v>
      </c>
      <c r="M18" s="38">
        <f t="shared" si="15"/>
        <v>229.92430141175865</v>
      </c>
      <c r="N18" s="38">
        <f t="shared" si="16"/>
        <v>26.058087493332646</v>
      </c>
      <c r="O18" s="38">
        <f t="shared" si="17"/>
        <v>11860.282688290583</v>
      </c>
      <c r="P18" s="37">
        <f t="shared" si="18"/>
        <v>0.50571984145997817</v>
      </c>
      <c r="Q18" s="28" t="s">
        <v>37</v>
      </c>
      <c r="R18" s="38">
        <f>SUM('[6]Ken format'!D148:I148)</f>
        <v>785643.54413219541</v>
      </c>
      <c r="S18" s="37">
        <f t="shared" si="19"/>
        <v>0.22789277216515366</v>
      </c>
      <c r="T18" s="38">
        <f t="shared" si="20"/>
        <v>275.27804629719532</v>
      </c>
      <c r="U18" s="38">
        <f t="shared" si="21"/>
        <v>144.68573556762345</v>
      </c>
      <c r="V18" s="38">
        <f>SUM('[6]Ken format'!AH148:AM148)</f>
        <v>613655.82598762074</v>
      </c>
      <c r="W18" s="37">
        <f t="shared" si="22"/>
        <v>0.20513292322803275</v>
      </c>
      <c r="X18" s="38">
        <f t="shared" si="23"/>
        <v>229.34048512034693</v>
      </c>
      <c r="Y18" s="38">
        <f t="shared" si="24"/>
        <v>113.01212264965392</v>
      </c>
      <c r="Z18" s="38">
        <f t="shared" si="25"/>
        <v>171987.71814457467</v>
      </c>
      <c r="AA18" s="37">
        <f t="shared" si="26"/>
        <v>0.28026739234126358</v>
      </c>
      <c r="AB18" s="38">
        <f>SUM('[6]Ken format'!S148:X148)</f>
        <v>395767.21907020209</v>
      </c>
      <c r="AC18" s="37">
        <f t="shared" si="27"/>
        <v>0.22539223601450536</v>
      </c>
      <c r="AD18" s="38">
        <f t="shared" si="28"/>
        <v>207.53393763513481</v>
      </c>
      <c r="AE18" s="38">
        <f t="shared" si="29"/>
        <v>72.88530737941106</v>
      </c>
      <c r="AF18" s="38">
        <f t="shared" si="30"/>
        <v>389876.32506199332</v>
      </c>
      <c r="AG18" s="37">
        <f t="shared" si="31"/>
        <v>0.98511525532092181</v>
      </c>
    </row>
    <row r="19" spans="1:33" ht="15.75" x14ac:dyDescent="0.25">
      <c r="A19" s="38">
        <f>+'[6]Ken format'!I149</f>
        <v>9591.3648609926367</v>
      </c>
      <c r="B19" s="37">
        <f t="shared" si="8"/>
        <v>6.2320968453413596E-2</v>
      </c>
      <c r="C19" s="38">
        <f t="shared" si="32"/>
        <v>59.205955932053314</v>
      </c>
      <c r="D19" s="38">
        <f>IFERROR(A19/A$9,0)</f>
        <v>10.657072067769596</v>
      </c>
      <c r="E19" s="38">
        <f>+'[6]Ken format'!AM149</f>
        <v>8449.8206896551728</v>
      </c>
      <c r="F19" s="37">
        <f t="shared" si="9"/>
        <v>4.6889772949828587E-2</v>
      </c>
      <c r="G19" s="38">
        <f t="shared" si="10"/>
        <v>50.4</v>
      </c>
      <c r="H19" s="38">
        <f t="shared" si="11"/>
        <v>9.3886896551724135</v>
      </c>
      <c r="I19" s="38">
        <f t="shared" si="12"/>
        <v>1141.5441713374639</v>
      </c>
      <c r="J19" s="37">
        <f t="shared" si="13"/>
        <v>0.13509685155035508</v>
      </c>
      <c r="K19" s="38">
        <f>+'[6]Ken format'!X149</f>
        <v>3797.2237546234401</v>
      </c>
      <c r="L19" s="37">
        <f t="shared" si="14"/>
        <v>4.534050233074316E-2</v>
      </c>
      <c r="M19" s="38">
        <f t="shared" si="15"/>
        <v>37.227683868857255</v>
      </c>
      <c r="N19" s="38">
        <f t="shared" si="16"/>
        <v>4.219137505137156</v>
      </c>
      <c r="O19" s="38">
        <f t="shared" si="17"/>
        <v>5794.1411063691967</v>
      </c>
      <c r="P19" s="37">
        <f t="shared" si="18"/>
        <v>1.5258887757968809</v>
      </c>
      <c r="Q19" s="28" t="s">
        <v>38</v>
      </c>
      <c r="R19" s="38">
        <f>SUM('[6]Ken format'!D149:I149)</f>
        <v>259191.41381380992</v>
      </c>
      <c r="S19" s="37">
        <f t="shared" si="19"/>
        <v>7.5184032576350757E-2</v>
      </c>
      <c r="T19" s="38">
        <f t="shared" si="20"/>
        <v>90.816893417592823</v>
      </c>
      <c r="U19" s="38">
        <f t="shared" si="21"/>
        <v>47.733225380075496</v>
      </c>
      <c r="V19" s="38">
        <f>SUM('[6]Ken format'!AH149:AM149)</f>
        <v>223352.94073848033</v>
      </c>
      <c r="W19" s="37">
        <f t="shared" si="22"/>
        <v>7.4662440581451106E-2</v>
      </c>
      <c r="X19" s="38">
        <f t="shared" si="23"/>
        <v>83.473291725991885</v>
      </c>
      <c r="Y19" s="38">
        <f t="shared" si="24"/>
        <v>41.133138257547024</v>
      </c>
      <c r="Z19" s="38">
        <f t="shared" si="25"/>
        <v>35838.473075329588</v>
      </c>
      <c r="AA19" s="37">
        <f t="shared" si="26"/>
        <v>0.16045668777333078</v>
      </c>
      <c r="AB19" s="38">
        <f>SUM('[6]Ken format'!S149:X149)</f>
        <v>63899.952293919268</v>
      </c>
      <c r="AC19" s="37">
        <f t="shared" si="27"/>
        <v>3.6391475682557552E-2</v>
      </c>
      <c r="AD19" s="38">
        <f t="shared" si="28"/>
        <v>33.508102933360917</v>
      </c>
      <c r="AE19" s="38">
        <f t="shared" si="29"/>
        <v>11.767947015454746</v>
      </c>
      <c r="AF19" s="38">
        <f t="shared" si="30"/>
        <v>195291.46151989064</v>
      </c>
      <c r="AG19" s="37">
        <f t="shared" si="31"/>
        <v>3.0562066873166449</v>
      </c>
    </row>
    <row r="20" spans="1:33" ht="15.75" x14ac:dyDescent="0.25">
      <c r="A20" s="38">
        <f>+'[6]Ken format'!I150</f>
        <v>0</v>
      </c>
      <c r="B20" s="37">
        <f t="shared" si="8"/>
        <v>0</v>
      </c>
      <c r="C20" s="38">
        <f t="shared" si="32"/>
        <v>0</v>
      </c>
      <c r="D20" s="38">
        <f>IFERROR(A20/A$9,0)</f>
        <v>0</v>
      </c>
      <c r="E20" s="38">
        <f>+'[6]Ken format'!AM150</f>
        <v>0</v>
      </c>
      <c r="F20" s="37">
        <f t="shared" si="9"/>
        <v>0</v>
      </c>
      <c r="G20" s="38">
        <f t="shared" si="10"/>
        <v>0</v>
      </c>
      <c r="H20" s="38">
        <f t="shared" si="11"/>
        <v>0</v>
      </c>
      <c r="I20" s="38">
        <f t="shared" si="12"/>
        <v>0</v>
      </c>
      <c r="J20" s="37">
        <f t="shared" si="13"/>
        <v>0</v>
      </c>
      <c r="K20" s="38">
        <f>+'[6]Ken format'!X150</f>
        <v>0</v>
      </c>
      <c r="L20" s="37">
        <f t="shared" si="14"/>
        <v>0</v>
      </c>
      <c r="M20" s="38">
        <f t="shared" si="15"/>
        <v>0</v>
      </c>
      <c r="N20" s="38">
        <f t="shared" si="16"/>
        <v>0</v>
      </c>
      <c r="O20" s="38">
        <f t="shared" si="17"/>
        <v>0</v>
      </c>
      <c r="P20" s="37">
        <f t="shared" si="18"/>
        <v>0</v>
      </c>
      <c r="Q20" s="28" t="s">
        <v>39</v>
      </c>
      <c r="R20" s="38">
        <f>SUM('[6]Ken format'!D150:I150)</f>
        <v>0</v>
      </c>
      <c r="S20" s="37">
        <f t="shared" si="19"/>
        <v>0</v>
      </c>
      <c r="T20" s="38">
        <f t="shared" si="20"/>
        <v>0</v>
      </c>
      <c r="U20" s="38">
        <f t="shared" si="21"/>
        <v>0</v>
      </c>
      <c r="V20" s="38">
        <f>SUM('[6]Ken format'!AH150:AM150)</f>
        <v>0</v>
      </c>
      <c r="W20" s="37">
        <f t="shared" si="22"/>
        <v>0</v>
      </c>
      <c r="X20" s="38">
        <f t="shared" si="23"/>
        <v>0</v>
      </c>
      <c r="Y20" s="38">
        <f t="shared" si="24"/>
        <v>0</v>
      </c>
      <c r="Z20" s="38">
        <f t="shared" si="25"/>
        <v>0</v>
      </c>
      <c r="AA20" s="37">
        <f t="shared" si="26"/>
        <v>0</v>
      </c>
      <c r="AB20" s="38">
        <f>SUM('[6]Ken format'!S150:X150)</f>
        <v>0</v>
      </c>
      <c r="AC20" s="37">
        <f t="shared" si="27"/>
        <v>0</v>
      </c>
      <c r="AD20" s="38">
        <f t="shared" si="28"/>
        <v>0</v>
      </c>
      <c r="AE20" s="38">
        <f t="shared" si="29"/>
        <v>0</v>
      </c>
      <c r="AF20" s="38">
        <f t="shared" si="30"/>
        <v>0</v>
      </c>
      <c r="AG20" s="37">
        <f t="shared" si="31"/>
        <v>0</v>
      </c>
    </row>
    <row r="21" spans="1:33" ht="15.75" x14ac:dyDescent="0.25">
      <c r="A21" s="48">
        <f>+'[6]Ken format'!I152</f>
        <v>153902.69276964798</v>
      </c>
      <c r="B21" s="49">
        <f t="shared" si="8"/>
        <v>1</v>
      </c>
      <c r="C21" s="48">
        <f t="shared" si="32"/>
        <v>950.0166220348641</v>
      </c>
      <c r="D21" s="48">
        <f>IFERROR(A21/A$9,0)</f>
        <v>171.00299196627554</v>
      </c>
      <c r="E21" s="48">
        <f>+'[6]Ken format'!AM152</f>
        <v>180206.04831455176</v>
      </c>
      <c r="F21" s="49">
        <f t="shared" si="9"/>
        <v>1</v>
      </c>
      <c r="G21" s="48">
        <f t="shared" si="10"/>
        <v>1074.8612507449611</v>
      </c>
      <c r="H21" s="48">
        <f t="shared" si="11"/>
        <v>200.22894257172419</v>
      </c>
      <c r="I21" s="48">
        <f t="shared" si="12"/>
        <v>-26303.355544903781</v>
      </c>
      <c r="J21" s="49">
        <f t="shared" si="13"/>
        <v>-0.14596266768466598</v>
      </c>
      <c r="K21" s="48">
        <f>+'[6]Ken format'!X152</f>
        <v>83749.044660423402</v>
      </c>
      <c r="L21" s="49">
        <f t="shared" si="14"/>
        <v>1</v>
      </c>
      <c r="M21" s="48">
        <f t="shared" si="15"/>
        <v>821.0690652982687</v>
      </c>
      <c r="N21" s="48">
        <f t="shared" si="16"/>
        <v>93.054494067137114</v>
      </c>
      <c r="O21" s="48">
        <f t="shared" si="17"/>
        <v>70153.648109224581</v>
      </c>
      <c r="P21" s="49">
        <f t="shared" si="18"/>
        <v>0.83766505509019273</v>
      </c>
      <c r="Q21" s="50" t="s">
        <v>40</v>
      </c>
      <c r="R21" s="48">
        <f>SUM('[6]Ken format'!D152:I152)</f>
        <v>3447426.3341833428</v>
      </c>
      <c r="S21" s="49">
        <f t="shared" si="19"/>
        <v>1</v>
      </c>
      <c r="T21" s="48">
        <f t="shared" si="20"/>
        <v>1207.9279376956351</v>
      </c>
      <c r="U21" s="48">
        <f t="shared" si="21"/>
        <v>634.88514441682184</v>
      </c>
      <c r="V21" s="48">
        <f>SUM('[6]Ken format'!AH152:AM152)</f>
        <v>2991503.3449089983</v>
      </c>
      <c r="W21" s="49">
        <f t="shared" si="22"/>
        <v>1</v>
      </c>
      <c r="X21" s="48">
        <f t="shared" si="23"/>
        <v>1118.0091499276507</v>
      </c>
      <c r="Y21" s="48">
        <f t="shared" si="24"/>
        <v>550.92142631841591</v>
      </c>
      <c r="Z21" s="48">
        <f t="shared" si="25"/>
        <v>455922.98927434441</v>
      </c>
      <c r="AA21" s="49">
        <f t="shared" si="26"/>
        <v>0.15240597676423911</v>
      </c>
      <c r="AB21" s="48">
        <f>SUM('[6]Ken format'!S152:X152)</f>
        <v>1755904.4005612156</v>
      </c>
      <c r="AC21" s="49">
        <f t="shared" si="27"/>
        <v>1</v>
      </c>
      <c r="AD21" s="48">
        <f t="shared" si="28"/>
        <v>920.767908002735</v>
      </c>
      <c r="AE21" s="48">
        <f t="shared" si="29"/>
        <v>323.37097616228647</v>
      </c>
      <c r="AF21" s="48">
        <f t="shared" si="30"/>
        <v>1691521.9336221272</v>
      </c>
      <c r="AG21" s="49">
        <f t="shared" si="31"/>
        <v>0.96333372880749613</v>
      </c>
    </row>
    <row r="22" spans="1:33" ht="15.75" x14ac:dyDescent="0.25">
      <c r="A22" s="39"/>
      <c r="B22" s="40"/>
      <c r="C22" s="39"/>
      <c r="D22" s="39"/>
      <c r="E22" s="39"/>
      <c r="F22" s="40"/>
      <c r="G22" s="39"/>
      <c r="H22" s="39"/>
      <c r="I22" s="39"/>
      <c r="J22" s="40"/>
      <c r="K22" s="39"/>
      <c r="L22" s="40"/>
      <c r="M22" s="39"/>
      <c r="N22" s="39"/>
      <c r="O22" s="39"/>
      <c r="P22" s="40"/>
      <c r="Q22" s="28" t="s">
        <v>41</v>
      </c>
      <c r="R22" s="39"/>
      <c r="S22" s="40"/>
      <c r="T22" s="39"/>
      <c r="U22" s="39"/>
      <c r="V22" s="39"/>
      <c r="W22" s="40"/>
      <c r="X22" s="39"/>
      <c r="Y22" s="39"/>
      <c r="Z22" s="39"/>
      <c r="AA22" s="40"/>
      <c r="AB22" s="39"/>
      <c r="AC22" s="40"/>
      <c r="AD22" s="39"/>
      <c r="AE22" s="39"/>
      <c r="AF22" s="39"/>
      <c r="AG22" s="40"/>
    </row>
    <row r="23" spans="1:33" ht="15.75" x14ac:dyDescent="0.25">
      <c r="A23" s="38">
        <f>+'[6]Ken format'!I154</f>
        <v>41692.89800293107</v>
      </c>
      <c r="B23" s="37">
        <f>IFERROR(A23/A$21,0)</f>
        <v>0.27090427888311491</v>
      </c>
      <c r="C23" s="38">
        <f>IFERROR(A23/A$10,0)</f>
        <v>257.36356791932758</v>
      </c>
      <c r="D23" s="38">
        <f>IFERROR(A23/A$9,0)</f>
        <v>46.325442225478966</v>
      </c>
      <c r="E23" s="38">
        <f>+'[6]Ken format'!AM154</f>
        <v>44655.060047198043</v>
      </c>
      <c r="F23" s="37">
        <f>IFERROR(E23/E$21,0)</f>
        <v>0.24780000707441358</v>
      </c>
      <c r="G23" s="38">
        <f>IFERROR(E23/E$10,0)</f>
        <v>266.35062553861439</v>
      </c>
      <c r="H23" s="38">
        <f>IFERROR(E23/E$9,0)</f>
        <v>49.616733385775603</v>
      </c>
      <c r="I23" s="38">
        <f>+A23-E23</f>
        <v>-2962.1620442669737</v>
      </c>
      <c r="J23" s="37">
        <f>IFERROR(I23/ABS(E23),0)</f>
        <v>-6.6334297639195308E-2</v>
      </c>
      <c r="K23" s="38">
        <f>+'[6]Ken format'!X154</f>
        <v>32809.281478712517</v>
      </c>
      <c r="L23" s="37">
        <f>IFERROR(K23/K$21,0)</f>
        <v>0.39175708345980609</v>
      </c>
      <c r="M23" s="38">
        <f>IFERROR(K23/K$10,0)</f>
        <v>321.65962234031878</v>
      </c>
      <c r="N23" s="38">
        <f>IFERROR(K23/K$9,0)</f>
        <v>36.45475719856946</v>
      </c>
      <c r="O23" s="38">
        <f>+A23-K23</f>
        <v>8883.6165242185525</v>
      </c>
      <c r="P23" s="37">
        <f>IFERROR(O23/ABS(K23),0)</f>
        <v>0.27076534821350673</v>
      </c>
      <c r="Q23" s="28" t="s">
        <v>42</v>
      </c>
      <c r="R23" s="38">
        <f>SUM('[6]Ken format'!D154:I154)</f>
        <v>362816.82829626126</v>
      </c>
      <c r="S23" s="37">
        <f>IFERROR(R23/R$21,0)</f>
        <v>0.10524280814899807</v>
      </c>
      <c r="T23" s="38">
        <f>IFERROR(R23/R$10,0)</f>
        <v>127.12572820471662</v>
      </c>
      <c r="U23" s="38">
        <f>IFERROR(R23/R$9,0)</f>
        <v>66.817095450508518</v>
      </c>
      <c r="V23" s="38">
        <f>SUM('[6]Ken format'!AH154:AM154)</f>
        <v>309448.6472191377</v>
      </c>
      <c r="W23" s="37">
        <f>IFERROR(V23/V$21,0)</f>
        <v>0.10344252088026702</v>
      </c>
      <c r="X23" s="38">
        <f>IFERROR(V23/V$10,0)</f>
        <v>115.64968483572058</v>
      </c>
      <c r="Y23" s="38">
        <f>IFERROR(V23/V$9,0)</f>
        <v>56.988701145329223</v>
      </c>
      <c r="Z23" s="38">
        <f>+R23-V23</f>
        <v>53368.181077123561</v>
      </c>
      <c r="AA23" s="37">
        <f>IFERROR(Z23/ABS(V23),0)</f>
        <v>0.17246215666708214</v>
      </c>
      <c r="AB23" s="38">
        <f>SUM('[6]Ken format'!S154:X154)</f>
        <v>248669.80604497934</v>
      </c>
      <c r="AC23" s="37">
        <f>IFERROR(AB23/AB$21,0)</f>
        <v>0.14161921683521064</v>
      </c>
      <c r="AD23" s="38">
        <f>IFERROR(AB23/AB$10,0)</f>
        <v>130.39843001834259</v>
      </c>
      <c r="AE23" s="38">
        <f>IFERROR(AB23/AB$9,0)</f>
        <v>45.795544391340577</v>
      </c>
      <c r="AF23" s="38">
        <f>+R23-AB23</f>
        <v>114147.02225128192</v>
      </c>
      <c r="AG23" s="37">
        <f>IFERROR(AF23/ABS(AB23),0)</f>
        <v>0.45903048732275531</v>
      </c>
    </row>
    <row r="24" spans="1:33" ht="15.75" x14ac:dyDescent="0.25">
      <c r="A24" s="38">
        <f>+'[6]Ken format'!I155</f>
        <v>42947.657370343608</v>
      </c>
      <c r="B24" s="37">
        <f>IFERROR(A24/A$21,0)</f>
        <v>0.27905721854149101</v>
      </c>
      <c r="C24" s="38">
        <f>IFERROR(A24/A$10,0)</f>
        <v>265.10899611323214</v>
      </c>
      <c r="D24" s="38">
        <f>IFERROR(A24/A$9,0)</f>
        <v>47.719619300381787</v>
      </c>
      <c r="E24" s="38">
        <f>+'[6]Ken format'!AM155</f>
        <v>35443.694024093696</v>
      </c>
      <c r="F24" s="37">
        <f>IFERROR(E24/E$21,0)</f>
        <v>0.19668426423860266</v>
      </c>
      <c r="G24" s="38">
        <f>IFERROR(E24/E$10,0)</f>
        <v>211.40829426135687</v>
      </c>
      <c r="H24" s="38">
        <f>IFERROR(E24/E$9,0)</f>
        <v>39.381882248992994</v>
      </c>
      <c r="I24" s="38">
        <f>+A24-E24</f>
        <v>7503.9633462499114</v>
      </c>
      <c r="J24" s="37">
        <f>IFERROR(I24/ABS(E24),0)</f>
        <v>0.21171504700240651</v>
      </c>
      <c r="K24" s="38">
        <f>+'[6]Ken format'!X155</f>
        <v>21363.368969859126</v>
      </c>
      <c r="L24" s="37">
        <f>IFERROR(K24/K$21,0)</f>
        <v>0.25508791242313283</v>
      </c>
      <c r="M24" s="38">
        <f>IFERROR(K24/K$10,0)</f>
        <v>209.44479382214828</v>
      </c>
      <c r="N24" s="38">
        <f>IFERROR(K24/K$9,0)</f>
        <v>23.737076633176805</v>
      </c>
      <c r="O24" s="38">
        <f>+A24-K24</f>
        <v>21584.288400484482</v>
      </c>
      <c r="P24" s="37">
        <f>IFERROR(O24/ABS(K24),0)</f>
        <v>1.0103410389502256</v>
      </c>
      <c r="Q24" s="28" t="s">
        <v>43</v>
      </c>
      <c r="R24" s="38">
        <f>SUM('[6]Ken format'!D155:I155)</f>
        <v>437375.01240079827</v>
      </c>
      <c r="S24" s="37">
        <f>IFERROR(R24/R$21,0)</f>
        <v>0.12687000968344334</v>
      </c>
      <c r="T24" s="38">
        <f>IFERROR(R24/R$10,0)</f>
        <v>153.24982915234696</v>
      </c>
      <c r="U24" s="38">
        <f>IFERROR(R24/R$9,0)</f>
        <v>80.54788442003651</v>
      </c>
      <c r="V24" s="38">
        <f>SUM('[6]Ken format'!AH155:AM155)</f>
        <v>354852.80519393872</v>
      </c>
      <c r="W24" s="37">
        <f>IFERROR(V24/V$21,0)</f>
        <v>0.11862022678257556</v>
      </c>
      <c r="X24" s="38">
        <f>IFERROR(V24/V$10,0)</f>
        <v>132.61849890941244</v>
      </c>
      <c r="Y24" s="38">
        <f>IFERROR(V24/V$9,0)</f>
        <v>65.350424529270484</v>
      </c>
      <c r="Z24" s="38">
        <f>+R24-V24</f>
        <v>82522.207206859544</v>
      </c>
      <c r="AA24" s="37">
        <f>IFERROR(Z24/ABS(V24),0)</f>
        <v>0.23255334606065309</v>
      </c>
      <c r="AB24" s="38">
        <f>SUM('[6]Ken format'!S155:X155)</f>
        <v>256039.27110564616</v>
      </c>
      <c r="AC24" s="37">
        <f>IFERROR(AB24/AB$21,0)</f>
        <v>0.14581617941376071</v>
      </c>
      <c r="AD24" s="38">
        <f>IFERROR(AB24/AB$10,0)</f>
        <v>134.26285847175993</v>
      </c>
      <c r="AE24" s="38">
        <f>IFERROR(AB24/AB$9,0)</f>
        <v>47.152720277282903</v>
      </c>
      <c r="AF24" s="38">
        <f>+R24-AB24</f>
        <v>181335.74129515211</v>
      </c>
      <c r="AG24" s="37">
        <f>IFERROR(AF24/ABS(AB24),0)</f>
        <v>0.70823409437191331</v>
      </c>
    </row>
    <row r="25" spans="1:33" ht="15.75" x14ac:dyDescent="0.25">
      <c r="A25" s="38">
        <f>+'[6]Ken format'!I156</f>
        <v>44144.325940022311</v>
      </c>
      <c r="B25" s="37">
        <f>IFERROR(A25/A$21,0)</f>
        <v>0.28683270672914607</v>
      </c>
      <c r="C25" s="38">
        <f>IFERROR(A25/A$10,0)</f>
        <v>272.49583913594017</v>
      </c>
      <c r="D25" s="38">
        <f>IFERROR(A25/A$9,0)</f>
        <v>49.049251044469237</v>
      </c>
      <c r="E25" s="38">
        <f>+'[6]Ken format'!AM156</f>
        <v>46186.931189632603</v>
      </c>
      <c r="F25" s="37">
        <f>IFERROR(E25/E$21,0)</f>
        <v>0.25630067149029745</v>
      </c>
      <c r="G25" s="38">
        <f>IFERROR(E25/E$10,0)</f>
        <v>275.48766032483451</v>
      </c>
      <c r="H25" s="38">
        <f>IFERROR(E25/E$9,0)</f>
        <v>51.318812432925114</v>
      </c>
      <c r="I25" s="38">
        <f>+A25-E25</f>
        <v>-2042.605249610293</v>
      </c>
      <c r="J25" s="37">
        <f>IFERROR(I25/ABS(E25),0)</f>
        <v>-4.4224744900756438E-2</v>
      </c>
      <c r="K25" s="38">
        <f>+'[6]Ken format'!X156</f>
        <v>42938.871370110966</v>
      </c>
      <c r="L25" s="37">
        <f>IFERROR(K25/K$21,0)</f>
        <v>0.51270879022220339</v>
      </c>
      <c r="M25" s="38">
        <f>IFERROR(K25/K$10,0)</f>
        <v>420.96932715795066</v>
      </c>
      <c r="N25" s="38">
        <f>IFERROR(K25/K$9,0)</f>
        <v>47.709857077901077</v>
      </c>
      <c r="O25" s="38">
        <f>+A25-K25</f>
        <v>1205.4545699113442</v>
      </c>
      <c r="P25" s="37">
        <f>IFERROR(O25/ABS(K25),0)</f>
        <v>2.8073736720300502E-2</v>
      </c>
      <c r="Q25" s="28" t="s">
        <v>44</v>
      </c>
      <c r="R25" s="38">
        <f>SUM('[6]Ken format'!D156:I156)</f>
        <v>443363.26533874287</v>
      </c>
      <c r="S25" s="37">
        <f>IFERROR(R25/R$21,0)</f>
        <v>0.12860703097337414</v>
      </c>
      <c r="T25" s="38">
        <f>IFERROR(R25/R$10,0)</f>
        <v>155.34802569682651</v>
      </c>
      <c r="U25" s="38">
        <f>IFERROR(R25/R$9,0)</f>
        <v>81.650693432549332</v>
      </c>
      <c r="V25" s="38">
        <f>SUM('[6]Ken format'!AH156:AM156)</f>
        <v>360391.30761452229</v>
      </c>
      <c r="W25" s="37">
        <f>IFERROR(V25/V$21,0)</f>
        <v>0.1204716378565458</v>
      </c>
      <c r="X25" s="38">
        <f>IFERROR(V25/V$10,0)</f>
        <v>134.68839343038854</v>
      </c>
      <c r="Y25" s="38">
        <f>IFERROR(V25/V$9,0)</f>
        <v>66.370406558843882</v>
      </c>
      <c r="Z25" s="38">
        <f>+R25-V25</f>
        <v>82971.957724220585</v>
      </c>
      <c r="AA25" s="37">
        <f>IFERROR(Z25/ABS(V25),0)</f>
        <v>0.23022741106999206</v>
      </c>
      <c r="AB25" s="38">
        <f>SUM('[6]Ken format'!S156:X156)</f>
        <v>336347.95746907621</v>
      </c>
      <c r="AC25" s="37">
        <f>IFERROR(AB25/AB$21,0)</f>
        <v>0.19155254543560227</v>
      </c>
      <c r="AD25" s="38">
        <f>IFERROR(AB25/AB$10,0)</f>
        <v>176.37543653333833</v>
      </c>
      <c r="AE25" s="38">
        <f>IFERROR(AB25/AB$9,0)</f>
        <v>61.942533603881436</v>
      </c>
      <c r="AF25" s="38">
        <f>+R25-AB25</f>
        <v>107015.30786966666</v>
      </c>
      <c r="AG25" s="37">
        <f>IFERROR(AF25/ABS(AB25),0)</f>
        <v>0.31816844875445882</v>
      </c>
    </row>
    <row r="26" spans="1:33" ht="15.75" x14ac:dyDescent="0.25">
      <c r="A26" s="48">
        <f>+'[6]Ken format'!I157</f>
        <v>128784.881313297</v>
      </c>
      <c r="B26" s="49">
        <f>IFERROR(A26/A$21,0)</f>
        <v>0.83679420415375205</v>
      </c>
      <c r="C26" s="48">
        <f>IFERROR(A26/A$10,0)</f>
        <v>794.9684031685</v>
      </c>
      <c r="D26" s="48">
        <f>IFERROR(A26/A$9,0)</f>
        <v>143.09431257033</v>
      </c>
      <c r="E26" s="48">
        <f>+'[6]Ken format'!AM157</f>
        <v>126285.68526092434</v>
      </c>
      <c r="F26" s="49">
        <f>IFERROR(E26/E$21,0)</f>
        <v>0.7007849428033136</v>
      </c>
      <c r="G26" s="48">
        <f>IFERROR(E26/E$10,0)</f>
        <v>753.24658012480575</v>
      </c>
      <c r="H26" s="48">
        <f>IFERROR(E26/E$9,0)</f>
        <v>140.3174280676937</v>
      </c>
      <c r="I26" s="48">
        <f>+A26-E26</f>
        <v>2499.1960523726593</v>
      </c>
      <c r="J26" s="49">
        <f>IFERROR(I26/ABS(E26),0)</f>
        <v>1.9790018537801508E-2</v>
      </c>
      <c r="K26" s="48">
        <f>+'[6]Ken format'!X157</f>
        <v>97111.52181868261</v>
      </c>
      <c r="L26" s="49">
        <f>IFERROR(K26/K$21,0)</f>
        <v>1.1595537861051424</v>
      </c>
      <c r="M26" s="48">
        <f>IFERROR(K26/K$10,0)</f>
        <v>952.07374332041775</v>
      </c>
      <c r="N26" s="48">
        <f>IFERROR(K26/K$9,0)</f>
        <v>107.90169090964734</v>
      </c>
      <c r="O26" s="48">
        <f>+A26-K26</f>
        <v>31673.359494614386</v>
      </c>
      <c r="P26" s="49">
        <f>IFERROR(O26/ABS(K26),0)</f>
        <v>0.32615449641240168</v>
      </c>
      <c r="Q26" s="50" t="s">
        <v>45</v>
      </c>
      <c r="R26" s="48">
        <f>SUM('[6]Ken format'!D157:I157)</f>
        <v>1243555.1060358023</v>
      </c>
      <c r="S26" s="49">
        <f>IFERROR(R26/R$21,0)</f>
        <v>0.36071984880581554</v>
      </c>
      <c r="T26" s="48">
        <f>IFERROR(R26/R$10,0)</f>
        <v>435.72358305389008</v>
      </c>
      <c r="U26" s="48">
        <f>IFERROR(R26/R$9,0)</f>
        <v>229.01567330309433</v>
      </c>
      <c r="V26" s="48">
        <f>SUM('[6]Ken format'!AH157:AM157)</f>
        <v>1024692.7600275988</v>
      </c>
      <c r="W26" s="49">
        <f>IFERROR(V26/V$21,0)</f>
        <v>0.34253438551938842</v>
      </c>
      <c r="X26" s="48">
        <f>IFERROR(V26/V$10,0)</f>
        <v>382.9565771755216</v>
      </c>
      <c r="Y26" s="48">
        <f>IFERROR(V26/V$9,0)</f>
        <v>188.70953223344361</v>
      </c>
      <c r="Z26" s="48">
        <f>+R26-V26</f>
        <v>218862.34600820346</v>
      </c>
      <c r="AA26" s="49">
        <f>IFERROR(Z26/ABS(V26),0)</f>
        <v>0.21358826230245706</v>
      </c>
      <c r="AB26" s="48">
        <f>SUM('[6]Ken format'!S157:X157)</f>
        <v>841057.03461970179</v>
      </c>
      <c r="AC26" s="49">
        <f>IFERROR(AB26/AB$21,0)</f>
        <v>0.47898794168457365</v>
      </c>
      <c r="AD26" s="48">
        <f>IFERROR(AB26/AB$10,0)</f>
        <v>441.03672502344091</v>
      </c>
      <c r="AE26" s="48">
        <f>IFERROR(AB26/AB$9,0)</f>
        <v>154.89079827250492</v>
      </c>
      <c r="AF26" s="48">
        <f>+R26-AB26</f>
        <v>402498.07141610049</v>
      </c>
      <c r="AG26" s="49">
        <f>IFERROR(AF26/ABS(AB26),0)</f>
        <v>0.47856216029165827</v>
      </c>
    </row>
    <row r="27" spans="1:33" ht="15.75" x14ac:dyDescent="0.25">
      <c r="A27" s="48">
        <f>+'[6]Ken format'!I158</f>
        <v>25117.811456350988</v>
      </c>
      <c r="B27" s="49">
        <f>IFERROR(A27/A$21,0)</f>
        <v>0.16320579584624795</v>
      </c>
      <c r="C27" s="48">
        <f>IFERROR(A27/A$10,0)</f>
        <v>155.04821886636412</v>
      </c>
      <c r="D27" s="48">
        <f>IFERROR(A27/A$9,0)</f>
        <v>27.908679395945541</v>
      </c>
      <c r="E27" s="48">
        <f>+'[6]Ken format'!AM158</f>
        <v>53920.363053627429</v>
      </c>
      <c r="F27" s="49">
        <f>IFERROR(E27/E$21,0)</f>
        <v>0.29921505719668634</v>
      </c>
      <c r="G27" s="48">
        <f>IFERROR(E27/E$10,0)</f>
        <v>321.61467062015538</v>
      </c>
      <c r="H27" s="48">
        <f>IFERROR(E27/E$9,0)</f>
        <v>59.911514504030478</v>
      </c>
      <c r="I27" s="48">
        <f>+A27-E27</f>
        <v>-28802.551597276441</v>
      </c>
      <c r="J27" s="49">
        <f>IFERROR(I27/ABS(E27),0)</f>
        <v>-0.53416835433081866</v>
      </c>
      <c r="K27" s="48">
        <f>+'[6]Ken format'!X158</f>
        <v>-13362.477158259207</v>
      </c>
      <c r="L27" s="49">
        <f>IFERROR(K27/K$21,0)</f>
        <v>-0.15955378610514231</v>
      </c>
      <c r="M27" s="48">
        <f>IFERROR(K27/K$10,0)</f>
        <v>-131.00467802214908</v>
      </c>
      <c r="N27" s="48">
        <f>IFERROR(K27/K$9,0)</f>
        <v>-14.847196842510231</v>
      </c>
      <c r="O27" s="48">
        <f>+A27-K27</f>
        <v>38480.288614610196</v>
      </c>
      <c r="P27" s="49">
        <f>IFERROR(O27/ABS(K27),0)</f>
        <v>2.8797271762463543</v>
      </c>
      <c r="Q27" s="50" t="s">
        <v>46</v>
      </c>
      <c r="R27" s="48">
        <f>SUM('[6]Ken format'!D158:I158)</f>
        <v>2203871.2281475402</v>
      </c>
      <c r="S27" s="49">
        <f>IFERROR(R27/R$21,0)</f>
        <v>0.63928015119418435</v>
      </c>
      <c r="T27" s="48">
        <f>IFERROR(R27/R$10,0)</f>
        <v>772.204354641745</v>
      </c>
      <c r="U27" s="48">
        <f>IFERROR(R27/R$9,0)</f>
        <v>405.86947111372746</v>
      </c>
      <c r="V27" s="48">
        <f>SUM('[6]Ken format'!AH158:AM158)</f>
        <v>1966810.5848813988</v>
      </c>
      <c r="W27" s="49">
        <f>IFERROR(V27/V$21,0)</f>
        <v>0.65746561448061136</v>
      </c>
      <c r="X27" s="48">
        <f>IFERROR(V27/V$10,0)</f>
        <v>735.05257275212875</v>
      </c>
      <c r="Y27" s="48">
        <f>IFERROR(V27/V$9,0)</f>
        <v>362.21189408497219</v>
      </c>
      <c r="Z27" s="48">
        <f>+R27-V27</f>
        <v>237060.64326614141</v>
      </c>
      <c r="AA27" s="49">
        <f>IFERROR(Z27/ABS(V27),0)</f>
        <v>0.12053048986434882</v>
      </c>
      <c r="AB27" s="48">
        <f>SUM('[6]Ken format'!S158:X158)</f>
        <v>914847.3659415138</v>
      </c>
      <c r="AC27" s="49">
        <f>IFERROR(AB27/AB$21,0)</f>
        <v>0.5210120583154263</v>
      </c>
      <c r="AD27" s="48">
        <f>IFERROR(AB27/AB$10,0)</f>
        <v>479.73118297929409</v>
      </c>
      <c r="AE27" s="48">
        <f>IFERROR(AB27/AB$9,0)</f>
        <v>168.48017788978154</v>
      </c>
      <c r="AF27" s="48">
        <f>+R27-AB27</f>
        <v>1289023.8622060264</v>
      </c>
      <c r="AG27" s="49">
        <f>IFERROR(AF27/ABS(AB27),0)</f>
        <v>1.409004288796776</v>
      </c>
    </row>
    <row r="28" spans="1:33" ht="15.75" x14ac:dyDescent="0.25">
      <c r="A28" s="39"/>
      <c r="B28" s="40"/>
      <c r="C28" s="39"/>
      <c r="D28" s="39"/>
      <c r="E28" s="39"/>
      <c r="F28" s="40"/>
      <c r="G28" s="39"/>
      <c r="H28" s="39"/>
      <c r="I28" s="39"/>
      <c r="J28" s="40"/>
      <c r="K28" s="39"/>
      <c r="L28" s="40"/>
      <c r="M28" s="39"/>
      <c r="N28" s="39"/>
      <c r="O28" s="39"/>
      <c r="P28" s="40"/>
      <c r="Q28" s="28" t="s">
        <v>47</v>
      </c>
      <c r="R28" s="39"/>
      <c r="S28" s="40"/>
      <c r="T28" s="39"/>
      <c r="U28" s="39"/>
      <c r="V28" s="39"/>
      <c r="W28" s="40"/>
      <c r="X28" s="39"/>
      <c r="Y28" s="39"/>
      <c r="Z28" s="39"/>
      <c r="AA28" s="40"/>
      <c r="AB28" s="39"/>
      <c r="AC28" s="40"/>
      <c r="AD28" s="39"/>
      <c r="AE28" s="39"/>
      <c r="AF28" s="39"/>
      <c r="AG28" s="40"/>
    </row>
    <row r="29" spans="1:33" ht="15.75" x14ac:dyDescent="0.25">
      <c r="A29" s="38">
        <f>+'[6]Ken format'!I161</f>
        <v>64439.857317846763</v>
      </c>
      <c r="B29" s="37">
        <f t="shared" ref="B29:B41" si="34">IFERROR(A29/A$21,0)</f>
        <v>0.41870519714880072</v>
      </c>
      <c r="C29" s="38">
        <f t="shared" ref="C29:C41" si="35">IFERROR(A29/A$10,0)</f>
        <v>397.77689702374545</v>
      </c>
      <c r="D29" s="38">
        <f t="shared" ref="D29:D38" si="36">IFERROR(A29/A$9,0)</f>
        <v>71.599841464274178</v>
      </c>
      <c r="E29" s="38">
        <f>+'[6]Ken format'!AM161</f>
        <v>55322.494819513595</v>
      </c>
      <c r="F29" s="37">
        <f t="shared" ref="F29:F41" si="37">IFERROR(E29/E$21,0)</f>
        <v>0.30699577143463874</v>
      </c>
      <c r="G29" s="38">
        <f t="shared" ref="G29:G41" si="38">IFERROR(E29/E$10,0)</f>
        <v>329.97785885764995</v>
      </c>
      <c r="H29" s="38">
        <f t="shared" ref="H29:H41" si="39">IFERROR(E29/E$9,0)</f>
        <v>61.46943868834844</v>
      </c>
      <c r="I29" s="38">
        <f t="shared" ref="I29:I41" si="40">+A29-E29</f>
        <v>9117.3624983331683</v>
      </c>
      <c r="J29" s="37">
        <f t="shared" ref="J29:J41" si="41">IFERROR(I29/ABS(E29),0)</f>
        <v>0.16480389266749504</v>
      </c>
      <c r="K29" s="38">
        <f>+'[6]Ken format'!X161</f>
        <v>50534.98451640828</v>
      </c>
      <c r="L29" s="37">
        <f t="shared" ref="L29:L41" si="42">IFERROR(K29/K$21,0)</f>
        <v>0.60340968331414513</v>
      </c>
      <c r="M29" s="38">
        <f t="shared" ref="M29:M41" si="43">IFERROR(K29/K$10,0)</f>
        <v>495.44102467066944</v>
      </c>
      <c r="N29" s="38">
        <f t="shared" ref="N29:N41" si="44">IFERROR(K29/K$9,0)</f>
        <v>56.149982796009198</v>
      </c>
      <c r="O29" s="38">
        <f t="shared" ref="O29:O41" si="45">+A29-K29</f>
        <v>13904.872801438483</v>
      </c>
      <c r="P29" s="37">
        <f t="shared" ref="P29:P41" si="46">IFERROR(O29/ABS(K29),0)</f>
        <v>0.27515339985755194</v>
      </c>
      <c r="Q29" s="28" t="s">
        <v>48</v>
      </c>
      <c r="R29" s="38">
        <f>SUM('[6]Ken format'!D161:I161)</f>
        <v>378547.7851214282</v>
      </c>
      <c r="S29" s="37">
        <f t="shared" ref="S29:S41" si="47">IFERROR(R29/R$21,0)</f>
        <v>0.10980590980810674</v>
      </c>
      <c r="T29" s="38">
        <f t="shared" ref="T29:T41" si="48">IFERROR(R29/R$10,0)</f>
        <v>132.63762618129931</v>
      </c>
      <c r="U29" s="38">
        <f t="shared" ref="U29:U41" si="49">IFERROR(R29/R$9,0)</f>
        <v>69.714140906340361</v>
      </c>
      <c r="V29" s="38">
        <f>SUM('[6]Ken format'!AH161:AM161)</f>
        <v>353261.39560910669</v>
      </c>
      <c r="W29" s="37">
        <f t="shared" ref="W29:W41" si="50">IFERROR(V29/V$21,0)</f>
        <v>0.1180882502472525</v>
      </c>
      <c r="X29" s="38">
        <f t="shared" ref="X29:X41" si="51">IFERROR(V29/V$10,0)</f>
        <v>132.02374427537444</v>
      </c>
      <c r="Y29" s="38">
        <f t="shared" ref="Y29:Y41" si="52">IFERROR(V29/V$9,0)</f>
        <v>65.057347257662371</v>
      </c>
      <c r="Z29" s="38">
        <f t="shared" ref="Z29:Z41" si="53">+R29-V29</f>
        <v>25286.389512321504</v>
      </c>
      <c r="AA29" s="37">
        <f t="shared" ref="AA29:AA41" si="54">IFERROR(Z29/ABS(V29),0)</f>
        <v>7.15798267985715E-2</v>
      </c>
      <c r="AB29" s="38">
        <f>SUM('[6]Ken format'!S161:X161)</f>
        <v>309293.23336017312</v>
      </c>
      <c r="AC29" s="37">
        <f t="shared" ref="AC29:AC41" si="55">IFERROR(AB29/AB$21,0)</f>
        <v>0.17614468832205102</v>
      </c>
      <c r="AD29" s="38">
        <f t="shared" ref="AD29:AD41" si="56">IFERROR(AB29/AB$10,0)</f>
        <v>162.18837617208868</v>
      </c>
      <c r="AE29" s="38">
        <f t="shared" ref="AE29:AE41" si="57">IFERROR(AB29/AB$9,0)</f>
        <v>56.960079808503338</v>
      </c>
      <c r="AF29" s="38">
        <f t="shared" ref="AF29:AF41" si="58">+R29-AB29</f>
        <v>69254.551761255076</v>
      </c>
      <c r="AG29" s="37">
        <f t="shared" ref="AG29:AG41" si="59">IFERROR(AF29/ABS(AB29),0)</f>
        <v>0.22391227576779182</v>
      </c>
    </row>
    <row r="30" spans="1:33" ht="15.75" x14ac:dyDescent="0.25">
      <c r="A30" s="38">
        <f>+'[6]Ken format'!I162</f>
        <v>0</v>
      </c>
      <c r="B30" s="37">
        <f t="shared" si="34"/>
        <v>0</v>
      </c>
      <c r="C30" s="38">
        <f t="shared" si="35"/>
        <v>0</v>
      </c>
      <c r="D30" s="38">
        <f t="shared" si="36"/>
        <v>0</v>
      </c>
      <c r="E30" s="38">
        <f>+'[6]Ken format'!AM162</f>
        <v>0</v>
      </c>
      <c r="F30" s="37">
        <f t="shared" si="37"/>
        <v>0</v>
      </c>
      <c r="G30" s="38">
        <f t="shared" si="38"/>
        <v>0</v>
      </c>
      <c r="H30" s="38">
        <f t="shared" si="39"/>
        <v>0</v>
      </c>
      <c r="I30" s="38">
        <f t="shared" si="40"/>
        <v>0</v>
      </c>
      <c r="J30" s="37">
        <f t="shared" si="41"/>
        <v>0</v>
      </c>
      <c r="K30" s="38">
        <f>+'[6]Ken format'!X162</f>
        <v>0</v>
      </c>
      <c r="L30" s="37">
        <f t="shared" si="42"/>
        <v>0</v>
      </c>
      <c r="M30" s="38">
        <f t="shared" si="43"/>
        <v>0</v>
      </c>
      <c r="N30" s="38">
        <f t="shared" si="44"/>
        <v>0</v>
      </c>
      <c r="O30" s="38">
        <f t="shared" si="45"/>
        <v>0</v>
      </c>
      <c r="P30" s="37">
        <f t="shared" si="46"/>
        <v>0</v>
      </c>
      <c r="Q30" s="28" t="s">
        <v>49</v>
      </c>
      <c r="R30" s="38">
        <f>SUM('[6]Ken format'!D162:I162)</f>
        <v>0</v>
      </c>
      <c r="S30" s="37">
        <f t="shared" si="47"/>
        <v>0</v>
      </c>
      <c r="T30" s="38">
        <f t="shared" si="48"/>
        <v>0</v>
      </c>
      <c r="U30" s="38">
        <f t="shared" si="49"/>
        <v>0</v>
      </c>
      <c r="V30" s="38">
        <f>SUM('[6]Ken format'!AH162:AM162)</f>
        <v>0</v>
      </c>
      <c r="W30" s="37">
        <f t="shared" si="50"/>
        <v>0</v>
      </c>
      <c r="X30" s="38">
        <f t="shared" si="51"/>
        <v>0</v>
      </c>
      <c r="Y30" s="38">
        <f t="shared" si="52"/>
        <v>0</v>
      </c>
      <c r="Z30" s="38">
        <f t="shared" si="53"/>
        <v>0</v>
      </c>
      <c r="AA30" s="37">
        <f t="shared" si="54"/>
        <v>0</v>
      </c>
      <c r="AB30" s="38">
        <f>SUM('[6]Ken format'!S162:X162)</f>
        <v>0</v>
      </c>
      <c r="AC30" s="37">
        <f t="shared" si="55"/>
        <v>0</v>
      </c>
      <c r="AD30" s="38">
        <f t="shared" si="56"/>
        <v>0</v>
      </c>
      <c r="AE30" s="38">
        <f t="shared" si="57"/>
        <v>0</v>
      </c>
      <c r="AF30" s="38">
        <f t="shared" si="58"/>
        <v>0</v>
      </c>
      <c r="AG30" s="37">
        <f t="shared" si="59"/>
        <v>0</v>
      </c>
    </row>
    <row r="31" spans="1:33" ht="15.75" x14ac:dyDescent="0.25">
      <c r="A31" s="38">
        <f>+'[6]Ken format'!I163</f>
        <v>0</v>
      </c>
      <c r="B31" s="37">
        <f t="shared" si="34"/>
        <v>0</v>
      </c>
      <c r="C31" s="38">
        <f t="shared" si="35"/>
        <v>0</v>
      </c>
      <c r="D31" s="38">
        <f t="shared" si="36"/>
        <v>0</v>
      </c>
      <c r="E31" s="38">
        <f>+'[6]Ken format'!AM163</f>
        <v>0</v>
      </c>
      <c r="F31" s="37">
        <f t="shared" si="37"/>
        <v>0</v>
      </c>
      <c r="G31" s="38">
        <f t="shared" si="38"/>
        <v>0</v>
      </c>
      <c r="H31" s="38">
        <f t="shared" si="39"/>
        <v>0</v>
      </c>
      <c r="I31" s="38">
        <f t="shared" si="40"/>
        <v>0</v>
      </c>
      <c r="J31" s="37">
        <f t="shared" si="41"/>
        <v>0</v>
      </c>
      <c r="K31" s="38">
        <f>+'[6]Ken format'!X163</f>
        <v>0</v>
      </c>
      <c r="L31" s="37">
        <f t="shared" si="42"/>
        <v>0</v>
      </c>
      <c r="M31" s="38">
        <f t="shared" si="43"/>
        <v>0</v>
      </c>
      <c r="N31" s="38">
        <f t="shared" si="44"/>
        <v>0</v>
      </c>
      <c r="O31" s="38">
        <f t="shared" si="45"/>
        <v>0</v>
      </c>
      <c r="P31" s="37">
        <f t="shared" si="46"/>
        <v>0</v>
      </c>
      <c r="Q31" s="28" t="s">
        <v>50</v>
      </c>
      <c r="R31" s="38">
        <f>SUM('[6]Ken format'!D163:I163)</f>
        <v>0</v>
      </c>
      <c r="S31" s="37">
        <f t="shared" si="47"/>
        <v>0</v>
      </c>
      <c r="T31" s="38">
        <f t="shared" si="48"/>
        <v>0</v>
      </c>
      <c r="U31" s="38">
        <f t="shared" si="49"/>
        <v>0</v>
      </c>
      <c r="V31" s="38">
        <f>SUM('[6]Ken format'!AH163:AM163)</f>
        <v>0</v>
      </c>
      <c r="W31" s="37">
        <f t="shared" si="50"/>
        <v>0</v>
      </c>
      <c r="X31" s="38">
        <f t="shared" si="51"/>
        <v>0</v>
      </c>
      <c r="Y31" s="38">
        <f t="shared" si="52"/>
        <v>0</v>
      </c>
      <c r="Z31" s="38">
        <f t="shared" si="53"/>
        <v>0</v>
      </c>
      <c r="AA31" s="37">
        <f t="shared" si="54"/>
        <v>0</v>
      </c>
      <c r="AB31" s="38">
        <f>SUM('[6]Ken format'!S163:X163)</f>
        <v>0</v>
      </c>
      <c r="AC31" s="37">
        <f t="shared" si="55"/>
        <v>0</v>
      </c>
      <c r="AD31" s="38">
        <f t="shared" si="56"/>
        <v>0</v>
      </c>
      <c r="AE31" s="38">
        <f t="shared" si="57"/>
        <v>0</v>
      </c>
      <c r="AF31" s="38">
        <f t="shared" si="58"/>
        <v>0</v>
      </c>
      <c r="AG31" s="37">
        <f t="shared" si="59"/>
        <v>0</v>
      </c>
    </row>
    <row r="32" spans="1:33" ht="15.75" x14ac:dyDescent="0.25">
      <c r="A32" s="38">
        <f>+'[6]Ken format'!I164</f>
        <v>4650.8902596408334</v>
      </c>
      <c r="B32" s="37">
        <f t="shared" si="34"/>
        <v>3.0219680864206826E-2</v>
      </c>
      <c r="C32" s="38">
        <f t="shared" si="35"/>
        <v>28.70919913358539</v>
      </c>
      <c r="D32" s="38">
        <f t="shared" si="36"/>
        <v>5.1676558440453704</v>
      </c>
      <c r="E32" s="38">
        <f>+'[6]Ken format'!AM164</f>
        <v>5038.8569306824284</v>
      </c>
      <c r="F32" s="37">
        <f t="shared" si="37"/>
        <v>2.7961641564255627E-2</v>
      </c>
      <c r="G32" s="38">
        <f t="shared" si="38"/>
        <v>30.054885024638093</v>
      </c>
      <c r="H32" s="38">
        <f t="shared" si="39"/>
        <v>5.5987299229804757</v>
      </c>
      <c r="I32" s="38">
        <f t="shared" si="40"/>
        <v>-387.96667104159496</v>
      </c>
      <c r="J32" s="37">
        <f t="shared" si="41"/>
        <v>-7.699497651524935E-2</v>
      </c>
      <c r="K32" s="38">
        <f>+'[6]Ken format'!X164</f>
        <v>3089.1544030849141</v>
      </c>
      <c r="L32" s="37">
        <f t="shared" si="42"/>
        <v>3.6885846466792362E-2</v>
      </c>
      <c r="M32" s="38">
        <f t="shared" si="43"/>
        <v>30.285827481224647</v>
      </c>
      <c r="N32" s="38">
        <f t="shared" si="44"/>
        <v>3.4323937812054601</v>
      </c>
      <c r="O32" s="38">
        <f t="shared" si="45"/>
        <v>1561.7358565559193</v>
      </c>
      <c r="P32" s="37">
        <f t="shared" si="46"/>
        <v>0.50555448280485016</v>
      </c>
      <c r="Q32" s="28" t="s">
        <v>51</v>
      </c>
      <c r="R32" s="38">
        <f>SUM('[6]Ken format'!D164:I164)</f>
        <v>27555.024433836032</v>
      </c>
      <c r="S32" s="37">
        <f t="shared" si="47"/>
        <v>7.9929262477956651E-3</v>
      </c>
      <c r="T32" s="38">
        <f t="shared" si="48"/>
        <v>9.6548789186531287</v>
      </c>
      <c r="U32" s="38">
        <f t="shared" si="49"/>
        <v>5.0745901351447573</v>
      </c>
      <c r="V32" s="38">
        <f>SUM('[6]Ken format'!AH164:AM164)</f>
        <v>34362.788610955351</v>
      </c>
      <c r="W32" s="37">
        <f t="shared" si="50"/>
        <v>1.1486795984846431E-2</v>
      </c>
      <c r="X32" s="38">
        <f t="shared" si="51"/>
        <v>12.84234301441051</v>
      </c>
      <c r="Y32" s="38">
        <f t="shared" si="52"/>
        <v>6.3283220278002492</v>
      </c>
      <c r="Z32" s="38">
        <f t="shared" si="53"/>
        <v>-6807.7641771193194</v>
      </c>
      <c r="AA32" s="37">
        <f t="shared" si="54"/>
        <v>-0.1981144270389309</v>
      </c>
      <c r="AB32" s="38">
        <f>SUM('[6]Ken format'!S164:X164)</f>
        <v>22192.475176241471</v>
      </c>
      <c r="AC32" s="37">
        <f t="shared" si="55"/>
        <v>1.2638771888235142E-2</v>
      </c>
      <c r="AD32" s="38">
        <f t="shared" si="56"/>
        <v>11.637375551254049</v>
      </c>
      <c r="AE32" s="38">
        <f t="shared" si="57"/>
        <v>4.087012002991063</v>
      </c>
      <c r="AF32" s="38">
        <f t="shared" si="58"/>
        <v>5362.5492575945609</v>
      </c>
      <c r="AG32" s="37">
        <f t="shared" si="59"/>
        <v>0.24163817758081932</v>
      </c>
    </row>
    <row r="33" spans="1:33" ht="15.75" x14ac:dyDescent="0.25">
      <c r="A33" s="38">
        <f>+'[6]Ken format'!I165</f>
        <v>61426.625084760584</v>
      </c>
      <c r="B33" s="37">
        <f t="shared" si="34"/>
        <v>0.399126382906764</v>
      </c>
      <c r="C33" s="38">
        <f t="shared" si="35"/>
        <v>379.17669805407769</v>
      </c>
      <c r="D33" s="38">
        <f t="shared" si="36"/>
        <v>68.251805649733981</v>
      </c>
      <c r="E33" s="38">
        <f>+'[6]Ken format'!AM165</f>
        <v>56511.010195240786</v>
      </c>
      <c r="F33" s="37">
        <f t="shared" si="37"/>
        <v>0.31359108489300069</v>
      </c>
      <c r="G33" s="38">
        <f t="shared" si="38"/>
        <v>337.06690573055999</v>
      </c>
      <c r="H33" s="38">
        <f t="shared" si="39"/>
        <v>62.790011328045317</v>
      </c>
      <c r="I33" s="38">
        <f t="shared" si="40"/>
        <v>4915.6148895197985</v>
      </c>
      <c r="J33" s="37">
        <f t="shared" si="41"/>
        <v>8.6985082597829388E-2</v>
      </c>
      <c r="K33" s="38">
        <f>+'[6]Ken format'!X165</f>
        <v>38478.781281970572</v>
      </c>
      <c r="L33" s="37">
        <f t="shared" si="42"/>
        <v>0.45945337571300288</v>
      </c>
      <c r="M33" s="38">
        <f t="shared" si="43"/>
        <v>377.24295374480954</v>
      </c>
      <c r="N33" s="38">
        <f t="shared" si="44"/>
        <v>42.754201424411747</v>
      </c>
      <c r="O33" s="38">
        <f t="shared" si="45"/>
        <v>22947.843802790012</v>
      </c>
      <c r="P33" s="37">
        <f t="shared" si="46"/>
        <v>0.59637657530339561</v>
      </c>
      <c r="Q33" s="28" t="s">
        <v>52</v>
      </c>
      <c r="R33" s="38">
        <f>SUM('[6]Ken format'!D165:I165)</f>
        <v>350784.19994024362</v>
      </c>
      <c r="S33" s="37">
        <f t="shared" si="47"/>
        <v>0.10175248603922396</v>
      </c>
      <c r="T33" s="38">
        <f t="shared" si="48"/>
        <v>122.90967061676371</v>
      </c>
      <c r="U33" s="38">
        <f t="shared" si="49"/>
        <v>64.601141793783356</v>
      </c>
      <c r="V33" s="38">
        <f>SUM('[6]Ken format'!AH165:AM165)</f>
        <v>286608.55187368544</v>
      </c>
      <c r="W33" s="37">
        <f t="shared" si="50"/>
        <v>9.580753180886184E-2</v>
      </c>
      <c r="X33" s="38">
        <f t="shared" si="51"/>
        <v>107.11369719429197</v>
      </c>
      <c r="Y33" s="38">
        <f t="shared" si="52"/>
        <v>52.782422076185163</v>
      </c>
      <c r="Z33" s="38">
        <f t="shared" si="53"/>
        <v>64175.648066558177</v>
      </c>
      <c r="AA33" s="37">
        <f t="shared" si="54"/>
        <v>0.22391393294796649</v>
      </c>
      <c r="AB33" s="38">
        <f>SUM('[6]Ken format'!S165:X165)</f>
        <v>211935.43205280841</v>
      </c>
      <c r="AC33" s="37">
        <f t="shared" si="55"/>
        <v>0.12069873051463986</v>
      </c>
      <c r="AD33" s="38">
        <f t="shared" si="56"/>
        <v>111.13551759455082</v>
      </c>
      <c r="AE33" s="38">
        <f t="shared" si="57"/>
        <v>39.030466308067844</v>
      </c>
      <c r="AF33" s="38">
        <f t="shared" si="58"/>
        <v>138848.76788743521</v>
      </c>
      <c r="AG33" s="37">
        <f t="shared" si="59"/>
        <v>0.6551465535637192</v>
      </c>
    </row>
    <row r="34" spans="1:33" ht="15.75" x14ac:dyDescent="0.25">
      <c r="A34" s="38">
        <f>+'[6]Ken format'!I166</f>
        <v>20916.735350088587</v>
      </c>
      <c r="B34" s="37">
        <f t="shared" si="34"/>
        <v>0.13590883287140051</v>
      </c>
      <c r="C34" s="38">
        <f t="shared" si="35"/>
        <v>129.11565030918882</v>
      </c>
      <c r="D34" s="38">
        <f t="shared" si="36"/>
        <v>23.240817055653984</v>
      </c>
      <c r="E34" s="38">
        <f>+'[6]Ken format'!AM166</f>
        <v>26442.561089255818</v>
      </c>
      <c r="F34" s="37">
        <f t="shared" si="37"/>
        <v>0.14673514755231754</v>
      </c>
      <c r="G34" s="38">
        <f t="shared" si="38"/>
        <v>157.71992422633045</v>
      </c>
      <c r="H34" s="38">
        <f t="shared" si="39"/>
        <v>29.380623432506464</v>
      </c>
      <c r="I34" s="38">
        <f t="shared" si="40"/>
        <v>-5525.8257391672305</v>
      </c>
      <c r="J34" s="37">
        <f t="shared" si="41"/>
        <v>-0.20897467989258017</v>
      </c>
      <c r="K34" s="38">
        <f>+'[6]Ken format'!X166</f>
        <v>23706.898127016604</v>
      </c>
      <c r="L34" s="37">
        <f t="shared" si="42"/>
        <v>0.28307066932095498</v>
      </c>
      <c r="M34" s="38">
        <f t="shared" si="43"/>
        <v>232.42056987271181</v>
      </c>
      <c r="N34" s="38">
        <f t="shared" si="44"/>
        <v>26.340997918907338</v>
      </c>
      <c r="O34" s="38">
        <f t="shared" si="45"/>
        <v>-2790.1627769280167</v>
      </c>
      <c r="P34" s="37">
        <f t="shared" si="46"/>
        <v>-0.11769413113343247</v>
      </c>
      <c r="Q34" s="28" t="s">
        <v>53</v>
      </c>
      <c r="R34" s="38">
        <f>SUM('[6]Ken format'!D166:I166)</f>
        <v>173942.91600678072</v>
      </c>
      <c r="S34" s="37">
        <f t="shared" si="47"/>
        <v>5.0455876107352957E-2</v>
      </c>
      <c r="T34" s="38">
        <f t="shared" si="48"/>
        <v>60.947062370981335</v>
      </c>
      <c r="U34" s="38">
        <f t="shared" si="49"/>
        <v>32.033686189094055</v>
      </c>
      <c r="V34" s="38">
        <f>SUM('[6]Ken format'!AH166:AM166)</f>
        <v>221176.0529301849</v>
      </c>
      <c r="W34" s="37">
        <f t="shared" si="50"/>
        <v>7.393475033433837E-2</v>
      </c>
      <c r="X34" s="38">
        <f t="shared" si="51"/>
        <v>82.659727371406717</v>
      </c>
      <c r="Y34" s="38">
        <f t="shared" si="52"/>
        <v>40.732238108689671</v>
      </c>
      <c r="Z34" s="38">
        <f t="shared" si="53"/>
        <v>-47233.136923404178</v>
      </c>
      <c r="AA34" s="37">
        <f t="shared" si="54"/>
        <v>-0.21355447978047382</v>
      </c>
      <c r="AB34" s="38">
        <f>SUM('[6]Ken format'!S166:X166)</f>
        <v>192205.70588160763</v>
      </c>
      <c r="AC34" s="37">
        <f t="shared" si="55"/>
        <v>0.10946251163797731</v>
      </c>
      <c r="AD34" s="38">
        <f t="shared" si="56"/>
        <v>100.7895678456254</v>
      </c>
      <c r="AE34" s="38">
        <f t="shared" si="57"/>
        <v>35.396999241548365</v>
      </c>
      <c r="AF34" s="38">
        <f t="shared" si="58"/>
        <v>-18262.789874826907</v>
      </c>
      <c r="AG34" s="37">
        <f t="shared" si="59"/>
        <v>-9.5016897604882675E-2</v>
      </c>
    </row>
    <row r="35" spans="1:33" ht="15.75" x14ac:dyDescent="0.25">
      <c r="A35" s="38">
        <f>+'[6]Ken format'!I167</f>
        <v>25545.919373537195</v>
      </c>
      <c r="B35" s="37">
        <f t="shared" si="34"/>
        <v>0.16598747503250477</v>
      </c>
      <c r="C35" s="38">
        <f t="shared" si="35"/>
        <v>157.69086033047651</v>
      </c>
      <c r="D35" s="38">
        <f t="shared" si="36"/>
        <v>28.384354859485772</v>
      </c>
      <c r="E35" s="38">
        <f>+'[6]Ken format'!AM167</f>
        <v>29575</v>
      </c>
      <c r="F35" s="37">
        <f t="shared" si="37"/>
        <v>0.16411768792785741</v>
      </c>
      <c r="G35" s="38">
        <f t="shared" si="38"/>
        <v>176.40374331550802</v>
      </c>
      <c r="H35" s="38">
        <f t="shared" si="39"/>
        <v>32.861111111111114</v>
      </c>
      <c r="I35" s="38">
        <f t="shared" si="40"/>
        <v>-4029.0806264628045</v>
      </c>
      <c r="J35" s="37">
        <f t="shared" si="41"/>
        <v>-0.13623265009172628</v>
      </c>
      <c r="K35" s="38">
        <f>+'[6]Ken format'!X167</f>
        <v>16483.307173211615</v>
      </c>
      <c r="L35" s="37">
        <f t="shared" si="42"/>
        <v>0.19681785314741621</v>
      </c>
      <c r="M35" s="38">
        <f t="shared" si="43"/>
        <v>161.60105071776093</v>
      </c>
      <c r="N35" s="38">
        <f t="shared" si="44"/>
        <v>18.314785748012905</v>
      </c>
      <c r="O35" s="38">
        <f t="shared" si="45"/>
        <v>9062.6122003255805</v>
      </c>
      <c r="P35" s="37">
        <f t="shared" si="46"/>
        <v>0.54980545500322775</v>
      </c>
      <c r="Q35" s="28" t="s">
        <v>54</v>
      </c>
      <c r="R35" s="38">
        <f>SUM('[6]Ken format'!D167:I167)</f>
        <v>181503.89477361267</v>
      </c>
      <c r="S35" s="37">
        <f t="shared" si="47"/>
        <v>5.2649100279211318E-2</v>
      </c>
      <c r="T35" s="38">
        <f t="shared" si="48"/>
        <v>63.596319121798416</v>
      </c>
      <c r="U35" s="38">
        <f t="shared" si="49"/>
        <v>33.426131634182809</v>
      </c>
      <c r="V35" s="38">
        <f>SUM('[6]Ken format'!AH167:AM167)</f>
        <v>177450</v>
      </c>
      <c r="W35" s="37">
        <f t="shared" si="50"/>
        <v>5.9318001533238476E-2</v>
      </c>
      <c r="X35" s="38">
        <f t="shared" si="51"/>
        <v>66.318068469583025</v>
      </c>
      <c r="Y35" s="38">
        <f t="shared" si="52"/>
        <v>32.679558011049721</v>
      </c>
      <c r="Z35" s="38">
        <f t="shared" si="53"/>
        <v>4053.894773612672</v>
      </c>
      <c r="AA35" s="37">
        <f t="shared" si="54"/>
        <v>2.2845279084884033E-2</v>
      </c>
      <c r="AB35" s="38">
        <f>SUM('[6]Ken format'!S167:X167)</f>
        <v>140331.83033218523</v>
      </c>
      <c r="AC35" s="37">
        <f t="shared" si="55"/>
        <v>7.991997188875026E-2</v>
      </c>
      <c r="AD35" s="38">
        <f t="shared" si="56"/>
        <v>73.587745323641968</v>
      </c>
      <c r="AE35" s="38">
        <f t="shared" si="57"/>
        <v>25.843799324527666</v>
      </c>
      <c r="AF35" s="38">
        <f t="shared" si="58"/>
        <v>41172.064441427443</v>
      </c>
      <c r="AG35" s="37">
        <f t="shared" si="59"/>
        <v>0.29339077487956483</v>
      </c>
    </row>
    <row r="36" spans="1:33" ht="15.75" x14ac:dyDescent="0.25">
      <c r="A36" s="38">
        <f>+'[6]Ken format'!I168</f>
        <v>0</v>
      </c>
      <c r="B36" s="37">
        <f t="shared" si="34"/>
        <v>0</v>
      </c>
      <c r="C36" s="38">
        <f t="shared" si="35"/>
        <v>0</v>
      </c>
      <c r="D36" s="38">
        <f t="shared" si="36"/>
        <v>0</v>
      </c>
      <c r="E36" s="38">
        <f>+'[6]Ken format'!AM168</f>
        <v>0</v>
      </c>
      <c r="F36" s="37">
        <f t="shared" si="37"/>
        <v>0</v>
      </c>
      <c r="G36" s="38">
        <f t="shared" si="38"/>
        <v>0</v>
      </c>
      <c r="H36" s="38">
        <f t="shared" si="39"/>
        <v>0</v>
      </c>
      <c r="I36" s="38">
        <f t="shared" si="40"/>
        <v>0</v>
      </c>
      <c r="J36" s="37">
        <f t="shared" si="41"/>
        <v>0</v>
      </c>
      <c r="K36" s="38">
        <f>+'[6]Ken format'!X168</f>
        <v>0</v>
      </c>
      <c r="L36" s="37">
        <f t="shared" si="42"/>
        <v>0</v>
      </c>
      <c r="M36" s="38">
        <f t="shared" si="43"/>
        <v>0</v>
      </c>
      <c r="N36" s="38">
        <f t="shared" si="44"/>
        <v>0</v>
      </c>
      <c r="O36" s="38">
        <f t="shared" si="45"/>
        <v>0</v>
      </c>
      <c r="P36" s="37">
        <f t="shared" si="46"/>
        <v>0</v>
      </c>
      <c r="Q36" s="28" t="s">
        <v>55</v>
      </c>
      <c r="R36" s="38">
        <f>SUM('[6]Ken format'!D168:I168)</f>
        <v>-1.8579713223516592E-3</v>
      </c>
      <c r="S36" s="37">
        <f t="shared" si="47"/>
        <v>-5.3894445950265447E-10</v>
      </c>
      <c r="T36" s="38">
        <f t="shared" si="48"/>
        <v>-6.5100606949953015E-7</v>
      </c>
      <c r="U36" s="38">
        <f t="shared" si="49"/>
        <v>-3.421678310039888E-7</v>
      </c>
      <c r="V36" s="38">
        <f>SUM('[6]Ken format'!AH168:AM168)</f>
        <v>0</v>
      </c>
      <c r="W36" s="37">
        <f t="shared" si="50"/>
        <v>0</v>
      </c>
      <c r="X36" s="38">
        <f t="shared" si="51"/>
        <v>0</v>
      </c>
      <c r="Y36" s="38">
        <f t="shared" si="52"/>
        <v>0</v>
      </c>
      <c r="Z36" s="38">
        <f t="shared" si="53"/>
        <v>-1.8579713223516592E-3</v>
      </c>
      <c r="AA36" s="37">
        <f t="shared" si="54"/>
        <v>0</v>
      </c>
      <c r="AB36" s="38">
        <f>SUM('[6]Ken format'!S168:X168)</f>
        <v>0</v>
      </c>
      <c r="AC36" s="37">
        <f t="shared" si="55"/>
        <v>0</v>
      </c>
      <c r="AD36" s="38">
        <f t="shared" si="56"/>
        <v>0</v>
      </c>
      <c r="AE36" s="38">
        <f t="shared" si="57"/>
        <v>0</v>
      </c>
      <c r="AF36" s="38">
        <f t="shared" si="58"/>
        <v>-1.8579713223516592E-3</v>
      </c>
      <c r="AG36" s="37">
        <f t="shared" si="59"/>
        <v>0</v>
      </c>
    </row>
    <row r="37" spans="1:33" ht="15.75" x14ac:dyDescent="0.25">
      <c r="A37" s="48">
        <f>+'[6]Ken format'!I171</f>
        <v>176980.02738587395</v>
      </c>
      <c r="B37" s="49">
        <f t="shared" si="34"/>
        <v>1.1499475688236767</v>
      </c>
      <c r="C37" s="48">
        <f t="shared" si="35"/>
        <v>1092.4693048510737</v>
      </c>
      <c r="D37" s="48">
        <f t="shared" si="36"/>
        <v>196.64447487319327</v>
      </c>
      <c r="E37" s="48">
        <f>+'[6]Ken format'!AM171</f>
        <v>172889.92303469262</v>
      </c>
      <c r="F37" s="49">
        <f t="shared" si="37"/>
        <v>0.9594013333720699</v>
      </c>
      <c r="G37" s="48">
        <f t="shared" si="38"/>
        <v>1031.2233171546866</v>
      </c>
      <c r="H37" s="48">
        <f t="shared" si="39"/>
        <v>192.09991448299181</v>
      </c>
      <c r="I37" s="48">
        <f t="shared" si="40"/>
        <v>4090.1043511813332</v>
      </c>
      <c r="J37" s="49">
        <f t="shared" si="41"/>
        <v>2.3657274405522181E-2</v>
      </c>
      <c r="K37" s="48">
        <f>+'[6]Ken format'!X171</f>
        <v>132293.125501692</v>
      </c>
      <c r="L37" s="49">
        <f t="shared" si="42"/>
        <v>1.5796374279623118</v>
      </c>
      <c r="M37" s="48">
        <f t="shared" si="43"/>
        <v>1296.9914264871766</v>
      </c>
      <c r="N37" s="48">
        <f t="shared" si="44"/>
        <v>146.99236166854666</v>
      </c>
      <c r="O37" s="48">
        <f t="shared" si="45"/>
        <v>44686.901884181949</v>
      </c>
      <c r="P37" s="49">
        <f t="shared" si="46"/>
        <v>0.33778702948257439</v>
      </c>
      <c r="Q37" s="50" t="s">
        <v>56</v>
      </c>
      <c r="R37" s="48">
        <f>SUM('[6]Ken format'!D171:I171)</f>
        <v>1112333.8184179298</v>
      </c>
      <c r="S37" s="49">
        <f t="shared" si="47"/>
        <v>0.32265629794274614</v>
      </c>
      <c r="T37" s="48">
        <f t="shared" si="48"/>
        <v>389.7455565584898</v>
      </c>
      <c r="U37" s="48">
        <f t="shared" si="49"/>
        <v>204.84969031637749</v>
      </c>
      <c r="V37" s="48">
        <f>SUM('[6]Ken format'!AH171:AM171)</f>
        <v>1072858.7890239325</v>
      </c>
      <c r="W37" s="49">
        <f t="shared" si="50"/>
        <v>0.35863532990853764</v>
      </c>
      <c r="X37" s="48">
        <f t="shared" si="51"/>
        <v>400.95758032506671</v>
      </c>
      <c r="Y37" s="48">
        <f t="shared" si="52"/>
        <v>197.5798874813872</v>
      </c>
      <c r="Z37" s="48">
        <f t="shared" si="53"/>
        <v>39475.029393997276</v>
      </c>
      <c r="AA37" s="49">
        <f t="shared" si="54"/>
        <v>3.6794245242573763E-2</v>
      </c>
      <c r="AB37" s="48">
        <f>SUM('[6]Ken format'!S171:X171)</f>
        <v>875958.67680301587</v>
      </c>
      <c r="AC37" s="49">
        <f t="shared" si="55"/>
        <v>0.49886467425165359</v>
      </c>
      <c r="AD37" s="48">
        <f t="shared" si="56"/>
        <v>459.33858248716092</v>
      </c>
      <c r="AE37" s="48">
        <f t="shared" si="57"/>
        <v>161.31835668563829</v>
      </c>
      <c r="AF37" s="48">
        <f t="shared" si="58"/>
        <v>236375.14161491394</v>
      </c>
      <c r="AG37" s="49">
        <f t="shared" si="59"/>
        <v>0.26984736594837061</v>
      </c>
    </row>
    <row r="38" spans="1:33" ht="15.75" x14ac:dyDescent="0.25">
      <c r="A38" s="53">
        <f>+'[6]Ken format'!I172</f>
        <v>-151862.21592952296</v>
      </c>
      <c r="B38" s="54">
        <f t="shared" si="34"/>
        <v>-0.98674177297742882</v>
      </c>
      <c r="C38" s="53">
        <f t="shared" si="35"/>
        <v>-937.42108598470963</v>
      </c>
      <c r="D38" s="53">
        <f t="shared" si="36"/>
        <v>-168.73579547724773</v>
      </c>
      <c r="E38" s="53">
        <f>+'[6]Ken format'!AM172</f>
        <v>-118969.55998106519</v>
      </c>
      <c r="F38" s="54">
        <f t="shared" si="37"/>
        <v>-0.66018627617538361</v>
      </c>
      <c r="G38" s="53">
        <f t="shared" si="38"/>
        <v>-709.60864653453109</v>
      </c>
      <c r="H38" s="53">
        <f t="shared" si="39"/>
        <v>-132.18839997896131</v>
      </c>
      <c r="I38" s="53">
        <f t="shared" si="40"/>
        <v>-32892.655948457774</v>
      </c>
      <c r="J38" s="54">
        <f t="shared" si="41"/>
        <v>-0.27647959657657689</v>
      </c>
      <c r="K38" s="53">
        <f>+'[6]Ken format'!X172</f>
        <v>-145655.6026599512</v>
      </c>
      <c r="L38" s="54">
        <f t="shared" si="42"/>
        <v>-1.7391912140674539</v>
      </c>
      <c r="M38" s="53">
        <f t="shared" si="43"/>
        <v>-1427.9961045093255</v>
      </c>
      <c r="N38" s="53">
        <f t="shared" si="44"/>
        <v>-161.83955851105688</v>
      </c>
      <c r="O38" s="53">
        <f t="shared" si="45"/>
        <v>-6206.6132695717679</v>
      </c>
      <c r="P38" s="54">
        <f t="shared" si="46"/>
        <v>-4.2611565612493324E-2</v>
      </c>
      <c r="Q38" s="55" t="s">
        <v>57</v>
      </c>
      <c r="R38" s="53">
        <f>SUM('[6]Ken format'!D172:I172)</f>
        <v>1091537.40972961</v>
      </c>
      <c r="S38" s="54">
        <f t="shared" si="47"/>
        <v>0.3166238532514381</v>
      </c>
      <c r="T38" s="53">
        <f t="shared" si="48"/>
        <v>382.45879808325509</v>
      </c>
      <c r="U38" s="53">
        <f t="shared" si="49"/>
        <v>201.01978079734991</v>
      </c>
      <c r="V38" s="53">
        <f>SUM('[6]Ken format'!AH172:AM172)</f>
        <v>893951.79585746652</v>
      </c>
      <c r="W38" s="54">
        <f t="shared" si="50"/>
        <v>0.29883028457207378</v>
      </c>
      <c r="X38" s="53">
        <f t="shared" si="51"/>
        <v>334.09499242706215</v>
      </c>
      <c r="Y38" s="53">
        <f t="shared" si="52"/>
        <v>164.63200660358498</v>
      </c>
      <c r="Z38" s="53">
        <f t="shared" si="53"/>
        <v>197585.61387214344</v>
      </c>
      <c r="AA38" s="54">
        <f t="shared" si="54"/>
        <v>0.22102490848807119</v>
      </c>
      <c r="AB38" s="53">
        <f>SUM('[6]Ken format'!S172:X172)</f>
        <v>38888.689138497954</v>
      </c>
      <c r="AC38" s="54">
        <f t="shared" si="55"/>
        <v>2.2147384063772774E-2</v>
      </c>
      <c r="AD38" s="53">
        <f t="shared" si="56"/>
        <v>20.39260049213317</v>
      </c>
      <c r="AE38" s="53">
        <f t="shared" si="57"/>
        <v>7.1618212041432692</v>
      </c>
      <c r="AF38" s="53">
        <f t="shared" si="58"/>
        <v>1052648.720591112</v>
      </c>
      <c r="AG38" s="54">
        <f t="shared" si="59"/>
        <v>27.068248992456777</v>
      </c>
    </row>
    <row r="39" spans="1:33" ht="15.75" x14ac:dyDescent="0.25">
      <c r="A39" s="38">
        <f>+'[6]Ken format'!I176</f>
        <v>4999.9993656626639</v>
      </c>
      <c r="B39" s="37">
        <f t="shared" si="34"/>
        <v>3.2488056418521233E-2</v>
      </c>
      <c r="C39" s="38">
        <f t="shared" si="35"/>
        <v>30.864193615201629</v>
      </c>
      <c r="D39" s="38">
        <f t="shared" ref="D39" si="60">IFERROR(A39/A$9,0)</f>
        <v>5.5555548507362928</v>
      </c>
      <c r="E39" s="38">
        <f>+'[6]Ken format'!AM176</f>
        <v>5406.1814494365526</v>
      </c>
      <c r="F39" s="37">
        <f t="shared" si="37"/>
        <v>0.03</v>
      </c>
      <c r="G39" s="38">
        <f t="shared" si="38"/>
        <v>32.245837522348829</v>
      </c>
      <c r="H39" s="38">
        <f t="shared" si="39"/>
        <v>6.0068682771517254</v>
      </c>
      <c r="I39" s="38">
        <f t="shared" si="40"/>
        <v>-406.18208377388873</v>
      </c>
      <c r="J39" s="37">
        <f t="shared" si="41"/>
        <v>-7.513289880720192E-2</v>
      </c>
      <c r="K39" s="38">
        <f>+'[6]Ken format'!X176</f>
        <v>5000</v>
      </c>
      <c r="L39" s="37">
        <f t="shared" si="42"/>
        <v>5.9702173562378662E-2</v>
      </c>
      <c r="M39" s="38">
        <f t="shared" si="43"/>
        <v>49.019607843137258</v>
      </c>
      <c r="N39" s="38">
        <f t="shared" si="44"/>
        <v>5.5555555555555554</v>
      </c>
      <c r="O39" s="38">
        <f t="shared" si="45"/>
        <v>-6.3433733612328069E-4</v>
      </c>
      <c r="P39" s="37">
        <f t="shared" si="46"/>
        <v>-1.2686746722465613E-7</v>
      </c>
      <c r="Q39" s="28" t="s">
        <v>58</v>
      </c>
      <c r="R39" s="38">
        <f>SUM('[6]Ken format'!D176:I176)</f>
        <v>110066.78135001208</v>
      </c>
      <c r="S39" s="37">
        <f t="shared" si="47"/>
        <v>3.1927232283002704E-2</v>
      </c>
      <c r="T39" s="38">
        <f t="shared" si="48"/>
        <v>38.565795847936961</v>
      </c>
      <c r="U39" s="38">
        <f t="shared" si="49"/>
        <v>20.270125478823587</v>
      </c>
      <c r="V39" s="38">
        <f>SUM('[6]Ken format'!AH176:AM176)</f>
        <v>87090.23309063277</v>
      </c>
      <c r="W39" s="37">
        <f t="shared" si="50"/>
        <v>2.9112530741055232E-2</v>
      </c>
      <c r="X39" s="38">
        <f t="shared" si="51"/>
        <v>32.548075746049761</v>
      </c>
      <c r="Y39" s="38">
        <f t="shared" si="52"/>
        <v>16.03871695960088</v>
      </c>
      <c r="Z39" s="38">
        <f t="shared" si="53"/>
        <v>22976.548259379313</v>
      </c>
      <c r="AA39" s="37">
        <f t="shared" si="54"/>
        <v>0.26382462698737019</v>
      </c>
      <c r="AB39" s="38">
        <f>SUM('[6]Ken format'!S176:X176)</f>
        <v>67344.300967826202</v>
      </c>
      <c r="AC39" s="37">
        <f t="shared" si="55"/>
        <v>3.8353056662026631E-2</v>
      </c>
      <c r="AD39" s="38">
        <f t="shared" si="56"/>
        <v>35.314263748204617</v>
      </c>
      <c r="AE39" s="38">
        <f t="shared" si="57"/>
        <v>12.402265371607035</v>
      </c>
      <c r="AF39" s="38">
        <f t="shared" si="58"/>
        <v>42722.48038218588</v>
      </c>
      <c r="AG39" s="37">
        <f t="shared" si="59"/>
        <v>0.6343889500404285</v>
      </c>
    </row>
    <row r="40" spans="1:33" ht="15.75" x14ac:dyDescent="0.25">
      <c r="A40" s="53">
        <f>+'[6]Ken format'!I177</f>
        <v>-156862.21529518563</v>
      </c>
      <c r="B40" s="54">
        <f t="shared" si="34"/>
        <v>-1.0192298293959501</v>
      </c>
      <c r="C40" s="53">
        <f t="shared" si="35"/>
        <v>-968.28527959991129</v>
      </c>
      <c r="D40" s="53">
        <f>IFERROR(A40/A$9,0)</f>
        <v>-174.29135032798402</v>
      </c>
      <c r="E40" s="53">
        <f>+'[6]Ken format'!AM177</f>
        <v>-124375.74143050174</v>
      </c>
      <c r="F40" s="54">
        <f t="shared" si="37"/>
        <v>-0.69018627617538364</v>
      </c>
      <c r="G40" s="53">
        <f t="shared" si="38"/>
        <v>-741.85448405687998</v>
      </c>
      <c r="H40" s="53">
        <f t="shared" si="39"/>
        <v>-138.19526825611305</v>
      </c>
      <c r="I40" s="53">
        <f t="shared" si="40"/>
        <v>-32486.473864683881</v>
      </c>
      <c r="J40" s="54">
        <f t="shared" si="41"/>
        <v>-0.26119622276050158</v>
      </c>
      <c r="K40" s="53">
        <f>+'[6]Ken format'!X177</f>
        <v>-150655.6026599512</v>
      </c>
      <c r="L40" s="54">
        <f t="shared" si="42"/>
        <v>-1.7988933876298325</v>
      </c>
      <c r="M40" s="53">
        <f t="shared" si="43"/>
        <v>-1477.0157123524627</v>
      </c>
      <c r="N40" s="53">
        <f t="shared" si="44"/>
        <v>-167.39511406661245</v>
      </c>
      <c r="O40" s="53">
        <f t="shared" si="45"/>
        <v>-6206.612635234429</v>
      </c>
      <c r="P40" s="54">
        <f t="shared" si="46"/>
        <v>-4.1197356923018263E-2</v>
      </c>
      <c r="Q40" s="55" t="s">
        <v>59</v>
      </c>
      <c r="R40" s="53">
        <f>SUM('[6]Ken format'!D177:I177)</f>
        <v>981470.62837959803</v>
      </c>
      <c r="S40" s="54">
        <f t="shared" si="47"/>
        <v>0.28469662096843545</v>
      </c>
      <c r="T40" s="53">
        <f t="shared" si="48"/>
        <v>343.89300223531814</v>
      </c>
      <c r="U40" s="53">
        <f t="shared" si="49"/>
        <v>180.74965531852635</v>
      </c>
      <c r="V40" s="53">
        <f>SUM('[6]Ken format'!AH177:AM177)</f>
        <v>806861.56276683393</v>
      </c>
      <c r="W40" s="54">
        <f t="shared" si="50"/>
        <v>0.26971775383101859</v>
      </c>
      <c r="X40" s="53">
        <f t="shared" si="51"/>
        <v>301.54691668101242</v>
      </c>
      <c r="Y40" s="53">
        <f t="shared" si="52"/>
        <v>148.59328964398415</v>
      </c>
      <c r="Z40" s="53">
        <f t="shared" si="53"/>
        <v>174609.0656127641</v>
      </c>
      <c r="AA40" s="54">
        <f t="shared" si="54"/>
        <v>0.21640523439238665</v>
      </c>
      <c r="AB40" s="53">
        <f>SUM('[6]Ken format'!S177:X177)</f>
        <v>-28455.611829328263</v>
      </c>
      <c r="AC40" s="54">
        <f t="shared" si="55"/>
        <v>-1.620567259825386E-2</v>
      </c>
      <c r="AD40" s="53">
        <f t="shared" si="56"/>
        <v>-14.921663256071454</v>
      </c>
      <c r="AE40" s="53">
        <f t="shared" si="57"/>
        <v>-5.2404441674637683</v>
      </c>
      <c r="AF40" s="53">
        <f t="shared" si="58"/>
        <v>1009926.2402089263</v>
      </c>
      <c r="AG40" s="54">
        <f t="shared" si="59"/>
        <v>35.491285383926574</v>
      </c>
    </row>
    <row r="41" spans="1:33" ht="15.75" x14ac:dyDescent="0.25">
      <c r="A41" s="38">
        <f>+'[6]Ken format'!I178</f>
        <v>0</v>
      </c>
      <c r="B41" s="37">
        <f t="shared" si="34"/>
        <v>0</v>
      </c>
      <c r="C41" s="38">
        <f t="shared" si="35"/>
        <v>0</v>
      </c>
      <c r="D41" s="38">
        <f>IFERROR(A41/A$9,0)</f>
        <v>0</v>
      </c>
      <c r="E41" s="38">
        <f>+'[6]Ken format'!AM178</f>
        <v>0</v>
      </c>
      <c r="F41" s="37">
        <f t="shared" si="37"/>
        <v>0</v>
      </c>
      <c r="G41" s="38">
        <f t="shared" si="38"/>
        <v>0</v>
      </c>
      <c r="H41" s="38">
        <f t="shared" si="39"/>
        <v>0</v>
      </c>
      <c r="I41" s="38">
        <f t="shared" si="40"/>
        <v>0</v>
      </c>
      <c r="J41" s="37">
        <f t="shared" si="41"/>
        <v>0</v>
      </c>
      <c r="K41" s="38">
        <f>+'[6]Ken format'!X178</f>
        <v>0</v>
      </c>
      <c r="L41" s="37">
        <f t="shared" si="42"/>
        <v>0</v>
      </c>
      <c r="M41" s="38">
        <f t="shared" si="43"/>
        <v>0</v>
      </c>
      <c r="N41" s="38">
        <f t="shared" si="44"/>
        <v>0</v>
      </c>
      <c r="O41" s="38">
        <f t="shared" si="45"/>
        <v>0</v>
      </c>
      <c r="P41" s="37">
        <f t="shared" si="46"/>
        <v>0</v>
      </c>
      <c r="Q41" s="28" t="s">
        <v>60</v>
      </c>
      <c r="R41" s="38">
        <f>SUM('[6]Ken format'!D178:I178)</f>
        <v>0</v>
      </c>
      <c r="S41" s="37">
        <f t="shared" si="47"/>
        <v>0</v>
      </c>
      <c r="T41" s="38">
        <f t="shared" si="48"/>
        <v>0</v>
      </c>
      <c r="U41" s="38">
        <f t="shared" si="49"/>
        <v>0</v>
      </c>
      <c r="V41" s="38">
        <f>SUM('[6]Ken format'!AH178:AM178)</f>
        <v>0</v>
      </c>
      <c r="W41" s="37">
        <f t="shared" si="50"/>
        <v>0</v>
      </c>
      <c r="X41" s="38">
        <f t="shared" si="51"/>
        <v>0</v>
      </c>
      <c r="Y41" s="38">
        <f t="shared" si="52"/>
        <v>0</v>
      </c>
      <c r="Z41" s="38">
        <f t="shared" si="53"/>
        <v>0</v>
      </c>
      <c r="AA41" s="37">
        <f t="shared" si="54"/>
        <v>0</v>
      </c>
      <c r="AB41" s="38">
        <f>SUM('[6]Ken format'!S178:X178)</f>
        <v>0</v>
      </c>
      <c r="AC41" s="37">
        <f t="shared" si="55"/>
        <v>0</v>
      </c>
      <c r="AD41" s="38">
        <f t="shared" si="56"/>
        <v>0</v>
      </c>
      <c r="AE41" s="38">
        <f t="shared" si="57"/>
        <v>0</v>
      </c>
      <c r="AF41" s="38">
        <f t="shared" si="58"/>
        <v>0</v>
      </c>
      <c r="AG41" s="37">
        <f t="shared" si="59"/>
        <v>0</v>
      </c>
    </row>
    <row r="42" spans="1:33" ht="15.75" x14ac:dyDescent="0.25">
      <c r="A42" s="39"/>
      <c r="B42" s="40"/>
      <c r="C42" s="39"/>
      <c r="D42" s="39"/>
      <c r="E42" s="39"/>
      <c r="F42" s="40"/>
      <c r="G42" s="39"/>
      <c r="H42" s="39"/>
      <c r="I42" s="39"/>
      <c r="J42" s="40"/>
      <c r="K42" s="39"/>
      <c r="L42" s="40"/>
      <c r="M42" s="39"/>
      <c r="N42" s="39"/>
      <c r="O42" s="39"/>
      <c r="P42" s="40"/>
      <c r="Q42" s="28" t="s">
        <v>61</v>
      </c>
      <c r="R42" s="39"/>
      <c r="S42" s="40"/>
      <c r="T42" s="39"/>
      <c r="U42" s="39"/>
      <c r="V42" s="39"/>
      <c r="W42" s="40"/>
      <c r="X42" s="39"/>
      <c r="Y42" s="39"/>
      <c r="Z42" s="39"/>
      <c r="AA42" s="40"/>
      <c r="AB42" s="39"/>
      <c r="AC42" s="40"/>
      <c r="AD42" s="39"/>
      <c r="AE42" s="39"/>
      <c r="AF42" s="39"/>
      <c r="AG42" s="40"/>
    </row>
    <row r="43" spans="1:33" ht="15.75" x14ac:dyDescent="0.25">
      <c r="A43" s="38">
        <f>+'[6]Ken format'!I180</f>
        <v>2279.883675656758</v>
      </c>
      <c r="B43" s="37">
        <f t="shared" ref="B43:B50" si="61">IFERROR(A43/A$21,0)</f>
        <v>1.4813799775869722E-2</v>
      </c>
      <c r="C43" s="38">
        <f t="shared" ref="C43:C52" si="62">IFERROR(A43/A$10,0)</f>
        <v>14.073356022572581</v>
      </c>
      <c r="D43" s="38">
        <f t="shared" ref="D43:D48" si="63">IFERROR(A43/A$9,0)</f>
        <v>2.5332040840630645</v>
      </c>
      <c r="E43" s="38">
        <f>+'[6]Ken format'!AM180</f>
        <v>1754</v>
      </c>
      <c r="F43" s="37">
        <f t="shared" ref="F43:F52" si="64">IFERROR(E43/E$21,0)</f>
        <v>9.7333026077924562E-3</v>
      </c>
      <c r="G43" s="38">
        <f t="shared" ref="G43:G52" si="65">IFERROR(E43/E$10,0)</f>
        <v>10.461949814890991</v>
      </c>
      <c r="H43" s="38">
        <f t="shared" ref="H43:H52" si="66">IFERROR(E43/E$9,0)</f>
        <v>1.9488888888888889</v>
      </c>
      <c r="I43" s="38">
        <f t="shared" ref="I43:I52" si="67">+A43-E43</f>
        <v>525.88367565675799</v>
      </c>
      <c r="J43" s="37">
        <f t="shared" ref="J43:J52" si="68">IFERROR(I43/ABS(E43),0)</f>
        <v>0.29981965544855071</v>
      </c>
      <c r="K43" s="38">
        <f>+'[6]Ken format'!X180</f>
        <v>1960.922719760762</v>
      </c>
      <c r="L43" s="37">
        <f t="shared" ref="L43:L52" si="69">IFERROR(K43/K$21,0)</f>
        <v>2.3414269711513724E-2</v>
      </c>
      <c r="M43" s="38">
        <f t="shared" ref="M43:M52" si="70">IFERROR(K43/K$10,0)</f>
        <v>19.224732546674137</v>
      </c>
      <c r="N43" s="38">
        <f t="shared" ref="N43:N52" si="71">IFERROR(K43/K$9,0)</f>
        <v>2.1788030219564023</v>
      </c>
      <c r="O43" s="38">
        <f t="shared" ref="O43:O52" si="72">+A43-K43</f>
        <v>318.96095589599599</v>
      </c>
      <c r="P43" s="37">
        <f t="shared" ref="P43:P52" si="73">IFERROR(O43/ABS(K43),0)</f>
        <v>0.16265860591125697</v>
      </c>
      <c r="Q43" s="28" t="s">
        <v>62</v>
      </c>
      <c r="R43" s="38">
        <f>SUM('[6]Ken format'!D180:I180)</f>
        <v>10781.69842649185</v>
      </c>
      <c r="S43" s="37">
        <f t="shared" ref="S43:S52" si="74">IFERROR(R43/R$21,0)</f>
        <v>3.1274630351299198E-3</v>
      </c>
      <c r="T43" s="38">
        <f t="shared" ref="T43:T52" si="75">IFERROR(R43/R$10,0)</f>
        <v>3.7777499742438159</v>
      </c>
      <c r="U43" s="38">
        <f t="shared" ref="U43:U52" si="76">IFERROR(R43/R$9,0)</f>
        <v>1.9855798207167312</v>
      </c>
      <c r="V43" s="38">
        <f>SUM('[6]Ken format'!AH180:AM180)</f>
        <v>10524</v>
      </c>
      <c r="W43" s="37">
        <f t="shared" ref="W43:W52" si="77">IFERROR(V43/V$21,0)</f>
        <v>3.5179636412273978E-3</v>
      </c>
      <c r="X43" s="38">
        <f t="shared" ref="X43:X52" si="78">IFERROR(V43/V$10,0)</f>
        <v>3.9331155400050255</v>
      </c>
      <c r="Y43" s="38">
        <f t="shared" ref="Y43:Y52" si="79">IFERROR(V43/V$9,0)</f>
        <v>1.938121546961326</v>
      </c>
      <c r="Z43" s="38">
        <f t="shared" ref="Z43:Z52" si="80">+R43-V43</f>
        <v>257.69842649185011</v>
      </c>
      <c r="AA43" s="37">
        <f t="shared" ref="AA43:AA52" si="81">IFERROR(Z43/ABS(V43),0)</f>
        <v>2.4486737598997541E-2</v>
      </c>
      <c r="AB43" s="38">
        <f>SUM('[6]Ken format'!S180:X180)</f>
        <v>16507.011762169008</v>
      </c>
      <c r="AC43" s="37">
        <f t="shared" ref="AC43:AC52" si="82">IFERROR(AB43/AB$21,0)</f>
        <v>9.4008601817348932E-3</v>
      </c>
      <c r="AD43" s="38">
        <f t="shared" ref="AD43:AD52" si="83">IFERROR(AB43/AB$10,0)</f>
        <v>8.6560103629622489</v>
      </c>
      <c r="AE43" s="38">
        <f t="shared" ref="AE43:AE52" si="84">IFERROR(AB43/AB$9,0)</f>
        <v>3.0399653337327823</v>
      </c>
      <c r="AF43" s="38">
        <f t="shared" ref="AF43:AF52" si="85">+R43-AB43</f>
        <v>-5725.3133356771577</v>
      </c>
      <c r="AG43" s="37">
        <f t="shared" ref="AG43:AG52" si="86">IFERROR(AF43/ABS(AB43),0)</f>
        <v>-0.34684129497008709</v>
      </c>
    </row>
    <row r="44" spans="1:33" ht="15.75" x14ac:dyDescent="0.25">
      <c r="A44" s="38">
        <f>+'[6]Ken format'!I181</f>
        <v>0</v>
      </c>
      <c r="B44" s="37">
        <f t="shared" si="61"/>
        <v>0</v>
      </c>
      <c r="C44" s="38">
        <f t="shared" si="62"/>
        <v>0</v>
      </c>
      <c r="D44" s="38">
        <f t="shared" si="63"/>
        <v>0</v>
      </c>
      <c r="E44" s="38">
        <f>+'[6]Ken format'!AM181</f>
        <v>0</v>
      </c>
      <c r="F44" s="37">
        <f t="shared" si="64"/>
        <v>0</v>
      </c>
      <c r="G44" s="38">
        <f t="shared" si="65"/>
        <v>0</v>
      </c>
      <c r="H44" s="38">
        <f t="shared" si="66"/>
        <v>0</v>
      </c>
      <c r="I44" s="38">
        <f t="shared" si="67"/>
        <v>0</v>
      </c>
      <c r="J44" s="37">
        <f t="shared" si="68"/>
        <v>0</v>
      </c>
      <c r="K44" s="38">
        <f>+'[6]Ken format'!X181</f>
        <v>0</v>
      </c>
      <c r="L44" s="37">
        <f t="shared" si="69"/>
        <v>0</v>
      </c>
      <c r="M44" s="38">
        <f t="shared" si="70"/>
        <v>0</v>
      </c>
      <c r="N44" s="38">
        <f t="shared" si="71"/>
        <v>0</v>
      </c>
      <c r="O44" s="38">
        <f t="shared" si="72"/>
        <v>0</v>
      </c>
      <c r="P44" s="37">
        <f t="shared" si="73"/>
        <v>0</v>
      </c>
      <c r="Q44" s="28" t="s">
        <v>63</v>
      </c>
      <c r="R44" s="38">
        <f>SUM('[6]Ken format'!D181:I181)</f>
        <v>0</v>
      </c>
      <c r="S44" s="37">
        <f t="shared" si="74"/>
        <v>0</v>
      </c>
      <c r="T44" s="38">
        <f t="shared" si="75"/>
        <v>0</v>
      </c>
      <c r="U44" s="38">
        <f t="shared" si="76"/>
        <v>0</v>
      </c>
      <c r="V44" s="38">
        <f>SUM('[6]Ken format'!AH181:AM181)</f>
        <v>0</v>
      </c>
      <c r="W44" s="37">
        <f t="shared" si="77"/>
        <v>0</v>
      </c>
      <c r="X44" s="38">
        <f t="shared" si="78"/>
        <v>0</v>
      </c>
      <c r="Y44" s="38">
        <f t="shared" si="79"/>
        <v>0</v>
      </c>
      <c r="Z44" s="38">
        <f t="shared" si="80"/>
        <v>0</v>
      </c>
      <c r="AA44" s="37">
        <f t="shared" si="81"/>
        <v>0</v>
      </c>
      <c r="AB44" s="38">
        <f>SUM('[6]Ken format'!S181:X181)</f>
        <v>0</v>
      </c>
      <c r="AC44" s="37">
        <f t="shared" si="82"/>
        <v>0</v>
      </c>
      <c r="AD44" s="38">
        <f t="shared" si="83"/>
        <v>0</v>
      </c>
      <c r="AE44" s="38">
        <f t="shared" si="84"/>
        <v>0</v>
      </c>
      <c r="AF44" s="38">
        <f t="shared" si="85"/>
        <v>0</v>
      </c>
      <c r="AG44" s="37">
        <f t="shared" si="86"/>
        <v>0</v>
      </c>
    </row>
    <row r="45" spans="1:33" ht="15.75" x14ac:dyDescent="0.25">
      <c r="A45" s="38">
        <f>+'[6]Ken format'!I182</f>
        <v>3201.7033269899598</v>
      </c>
      <c r="B45" s="37">
        <f t="shared" si="61"/>
        <v>2.0803426303801397E-2</v>
      </c>
      <c r="C45" s="38">
        <f t="shared" si="62"/>
        <v>19.763600783888641</v>
      </c>
      <c r="D45" s="38">
        <f t="shared" si="63"/>
        <v>3.5574481410999552</v>
      </c>
      <c r="E45" s="38">
        <f>+'[6]Ken format'!AM182</f>
        <v>5300</v>
      </c>
      <c r="F45" s="37">
        <f t="shared" si="64"/>
        <v>2.9410777549201832E-2</v>
      </c>
      <c r="G45" s="38">
        <f t="shared" si="65"/>
        <v>31.612505141916905</v>
      </c>
      <c r="H45" s="38">
        <f t="shared" si="66"/>
        <v>5.8888888888888893</v>
      </c>
      <c r="I45" s="38">
        <f t="shared" si="67"/>
        <v>-2098.2966730100402</v>
      </c>
      <c r="J45" s="37">
        <f t="shared" si="68"/>
        <v>-0.39590503264340382</v>
      </c>
      <c r="K45" s="38">
        <f>+'[6]Ken format'!X182</f>
        <v>3159.4975407255843</v>
      </c>
      <c r="L45" s="37">
        <f t="shared" si="69"/>
        <v>3.7725774109261478E-2</v>
      </c>
      <c r="M45" s="38">
        <f t="shared" si="70"/>
        <v>30.975466085544944</v>
      </c>
      <c r="N45" s="38">
        <f t="shared" si="71"/>
        <v>3.5105528230284269</v>
      </c>
      <c r="O45" s="38">
        <f t="shared" si="72"/>
        <v>42.205786264375547</v>
      </c>
      <c r="P45" s="37">
        <f t="shared" si="73"/>
        <v>1.3358385540848661E-2</v>
      </c>
      <c r="Q45" s="28" t="s">
        <v>64</v>
      </c>
      <c r="R45" s="38">
        <f>SUM('[6]Ken format'!D182:I182)</f>
        <v>22953.514647885389</v>
      </c>
      <c r="S45" s="37">
        <f t="shared" si="74"/>
        <v>6.6581595726316872E-3</v>
      </c>
      <c r="T45" s="38">
        <f t="shared" si="75"/>
        <v>8.0425769614174456</v>
      </c>
      <c r="U45" s="38">
        <f t="shared" si="76"/>
        <v>4.2271666018205138</v>
      </c>
      <c r="V45" s="38">
        <f>SUM('[6]Ken format'!AH182:AM182)</f>
        <v>31800</v>
      </c>
      <c r="W45" s="37">
        <f t="shared" si="77"/>
        <v>1.063010678364037E-2</v>
      </c>
      <c r="X45" s="38">
        <f t="shared" si="78"/>
        <v>11.884556648817922</v>
      </c>
      <c r="Y45" s="38">
        <f t="shared" si="79"/>
        <v>5.8563535911602207</v>
      </c>
      <c r="Z45" s="38">
        <f t="shared" si="80"/>
        <v>-8846.4853521146106</v>
      </c>
      <c r="AA45" s="37">
        <f t="shared" si="81"/>
        <v>-0.27819136327404437</v>
      </c>
      <c r="AB45" s="38">
        <f>SUM('[6]Ken format'!S182:X182)</f>
        <v>16239.878326601563</v>
      </c>
      <c r="AC45" s="37">
        <f t="shared" si="82"/>
        <v>9.2487257970371474E-3</v>
      </c>
      <c r="AD45" s="38">
        <f t="shared" si="83"/>
        <v>8.5159299038288214</v>
      </c>
      <c r="AE45" s="38">
        <f t="shared" si="84"/>
        <v>2.9907694892452237</v>
      </c>
      <c r="AF45" s="38">
        <f t="shared" si="85"/>
        <v>6713.636321283826</v>
      </c>
      <c r="AG45" s="37">
        <f t="shared" si="86"/>
        <v>0.41340434862043418</v>
      </c>
    </row>
    <row r="46" spans="1:33" ht="15.75" x14ac:dyDescent="0.25">
      <c r="A46" s="38">
        <f>+'[6]Ken format'!I183</f>
        <v>2546.9736421899952</v>
      </c>
      <c r="B46" s="37">
        <f t="shared" si="61"/>
        <v>1.6549246776352038E-2</v>
      </c>
      <c r="C46" s="38">
        <f t="shared" si="62"/>
        <v>15.722059519691328</v>
      </c>
      <c r="D46" s="38">
        <f t="shared" si="63"/>
        <v>2.829970713544439</v>
      </c>
      <c r="E46" s="38">
        <f>+'[6]Ken format'!AM183</f>
        <v>1200</v>
      </c>
      <c r="F46" s="37">
        <f t="shared" si="64"/>
        <v>6.6590439734041888E-3</v>
      </c>
      <c r="G46" s="38">
        <f t="shared" si="65"/>
        <v>7.1575483340189221</v>
      </c>
      <c r="H46" s="38">
        <f t="shared" si="66"/>
        <v>1.3333333333333333</v>
      </c>
      <c r="I46" s="38">
        <f t="shared" si="67"/>
        <v>1346.9736421899952</v>
      </c>
      <c r="J46" s="37">
        <f t="shared" si="68"/>
        <v>1.1224780351583292</v>
      </c>
      <c r="K46" s="38">
        <f>+'[6]Ken format'!X183</f>
        <v>4941.5354725741718</v>
      </c>
      <c r="L46" s="37">
        <f t="shared" si="69"/>
        <v>5.9004081689654812E-2</v>
      </c>
      <c r="M46" s="38">
        <f t="shared" si="70"/>
        <v>48.446426201707567</v>
      </c>
      <c r="N46" s="38">
        <f t="shared" si="71"/>
        <v>5.4905949695268577</v>
      </c>
      <c r="O46" s="38">
        <f t="shared" si="72"/>
        <v>-2394.5618303841766</v>
      </c>
      <c r="P46" s="37">
        <f t="shared" si="73"/>
        <v>-0.4845784966381691</v>
      </c>
      <c r="Q46" s="28" t="s">
        <v>65</v>
      </c>
      <c r="R46" s="38">
        <f>SUM('[6]Ken format'!D183:I183)</f>
        <v>24823.789364197655</v>
      </c>
      <c r="S46" s="37">
        <f t="shared" si="74"/>
        <v>7.2006728956191422E-3</v>
      </c>
      <c r="T46" s="38">
        <f t="shared" si="75"/>
        <v>8.6978939608260877</v>
      </c>
      <c r="U46" s="38">
        <f t="shared" si="76"/>
        <v>4.5716002512334537</v>
      </c>
      <c r="V46" s="38">
        <f>SUM('[6]Ken format'!AH183:AM183)</f>
        <v>7200</v>
      </c>
      <c r="W46" s="37">
        <f t="shared" si="77"/>
        <v>2.4068166302581968E-3</v>
      </c>
      <c r="X46" s="38">
        <f t="shared" si="78"/>
        <v>2.6908430148266995</v>
      </c>
      <c r="Y46" s="38">
        <f t="shared" si="79"/>
        <v>1.3259668508287292</v>
      </c>
      <c r="Z46" s="38">
        <f t="shared" si="80"/>
        <v>17623.789364197655</v>
      </c>
      <c r="AA46" s="37">
        <f t="shared" si="81"/>
        <v>2.44774852280523</v>
      </c>
      <c r="AB46" s="38">
        <f>SUM('[6]Ken format'!S183:X183)</f>
        <v>15320.474869543879</v>
      </c>
      <c r="AC46" s="37">
        <f t="shared" si="82"/>
        <v>8.7251190125426006E-3</v>
      </c>
      <c r="AD46" s="38">
        <f t="shared" si="83"/>
        <v>8.0338095802537381</v>
      </c>
      <c r="AE46" s="38">
        <f t="shared" si="84"/>
        <v>2.8214502522180256</v>
      </c>
      <c r="AF46" s="38">
        <f t="shared" si="85"/>
        <v>9503.3144946537759</v>
      </c>
      <c r="AG46" s="37">
        <f t="shared" si="86"/>
        <v>0.6203015621627862</v>
      </c>
    </row>
    <row r="47" spans="1:33" ht="15.75" x14ac:dyDescent="0.25">
      <c r="A47" s="48">
        <f>+'[6]Ken format'!I184</f>
        <v>8028.5606448367134</v>
      </c>
      <c r="B47" s="49">
        <f t="shared" si="61"/>
        <v>5.2166472856023161E-2</v>
      </c>
      <c r="C47" s="48">
        <f t="shared" si="62"/>
        <v>49.559016326152552</v>
      </c>
      <c r="D47" s="48">
        <f t="shared" si="63"/>
        <v>8.92062293870746</v>
      </c>
      <c r="E47" s="48">
        <f>+'[6]Ken format'!AM184</f>
        <v>8254</v>
      </c>
      <c r="F47" s="49">
        <f t="shared" si="64"/>
        <v>4.5803124130398477E-2</v>
      </c>
      <c r="G47" s="48">
        <f t="shared" si="65"/>
        <v>49.232003290826817</v>
      </c>
      <c r="H47" s="48">
        <f t="shared" si="66"/>
        <v>9.1711111111111112</v>
      </c>
      <c r="I47" s="48">
        <f t="shared" si="67"/>
        <v>-225.43935516328656</v>
      </c>
      <c r="J47" s="49">
        <f t="shared" si="68"/>
        <v>-2.7312739903475474E-2</v>
      </c>
      <c r="K47" s="48">
        <f>+'[6]Ken format'!X184</f>
        <v>10061.955733060517</v>
      </c>
      <c r="L47" s="49">
        <f t="shared" si="69"/>
        <v>0.12014412551042999</v>
      </c>
      <c r="M47" s="48">
        <f t="shared" si="70"/>
        <v>98.646624833926637</v>
      </c>
      <c r="N47" s="48">
        <f t="shared" si="71"/>
        <v>11.179950814511685</v>
      </c>
      <c r="O47" s="48">
        <f t="shared" si="72"/>
        <v>-2033.3950882238032</v>
      </c>
      <c r="P47" s="49">
        <f t="shared" si="73"/>
        <v>-0.20208746114263723</v>
      </c>
      <c r="Q47" s="50" t="s">
        <v>66</v>
      </c>
      <c r="R47" s="48">
        <f>SUM('[6]Ken format'!D184:I184)</f>
        <v>58559.002438574898</v>
      </c>
      <c r="S47" s="49">
        <f t="shared" si="74"/>
        <v>1.6986295503380749E-2</v>
      </c>
      <c r="T47" s="48">
        <f t="shared" si="75"/>
        <v>20.51822089648735</v>
      </c>
      <c r="U47" s="48">
        <f t="shared" si="76"/>
        <v>10.784346673770699</v>
      </c>
      <c r="V47" s="48">
        <f>SUM('[6]Ken format'!AH184:AM184)</f>
        <v>49524</v>
      </c>
      <c r="W47" s="49">
        <f t="shared" si="77"/>
        <v>1.6554887055125964E-2</v>
      </c>
      <c r="X47" s="48">
        <f t="shared" si="78"/>
        <v>18.508515203649647</v>
      </c>
      <c r="Y47" s="48">
        <f t="shared" si="79"/>
        <v>9.1204419889502759</v>
      </c>
      <c r="Z47" s="48">
        <f t="shared" si="80"/>
        <v>9035.0024385748984</v>
      </c>
      <c r="AA47" s="49">
        <f t="shared" si="81"/>
        <v>0.18243684756027176</v>
      </c>
      <c r="AB47" s="48">
        <f>SUM('[6]Ken format'!S184:X184)</f>
        <v>48067.364958314443</v>
      </c>
      <c r="AC47" s="49">
        <f t="shared" si="82"/>
        <v>2.7374704991314638E-2</v>
      </c>
      <c r="AD47" s="48">
        <f t="shared" si="83"/>
        <v>25.205749847044807</v>
      </c>
      <c r="AE47" s="48">
        <f t="shared" si="84"/>
        <v>8.8521850751960294</v>
      </c>
      <c r="AF47" s="48">
        <f t="shared" si="85"/>
        <v>10491.637480260455</v>
      </c>
      <c r="AG47" s="49">
        <f t="shared" si="86"/>
        <v>0.21826945349217997</v>
      </c>
    </row>
    <row r="48" spans="1:33" ht="15.75" x14ac:dyDescent="0.25">
      <c r="A48" s="56">
        <f>+'[6]Ken format'!I185</f>
        <v>-164890.77594002234</v>
      </c>
      <c r="B48" s="57">
        <f t="shared" si="61"/>
        <v>-1.0713963022519732</v>
      </c>
      <c r="C48" s="56">
        <f t="shared" si="62"/>
        <v>-1017.8442959260639</v>
      </c>
      <c r="D48" s="56">
        <f t="shared" si="63"/>
        <v>-183.2119732666915</v>
      </c>
      <c r="E48" s="56">
        <f>+'[6]Ken format'!AM185</f>
        <v>-132629.74143050174</v>
      </c>
      <c r="F48" s="57">
        <f t="shared" si="64"/>
        <v>-0.73598940030578208</v>
      </c>
      <c r="G48" s="56">
        <f t="shared" si="65"/>
        <v>-791.08648734770679</v>
      </c>
      <c r="H48" s="56">
        <f t="shared" si="66"/>
        <v>-147.36637936722417</v>
      </c>
      <c r="I48" s="56">
        <f t="shared" si="67"/>
        <v>-32261.034509520599</v>
      </c>
      <c r="J48" s="57">
        <f t="shared" si="68"/>
        <v>-0.24324132854036701</v>
      </c>
      <c r="K48" s="56">
        <f>+'[6]Ken format'!X185</f>
        <v>-160717.55839301171</v>
      </c>
      <c r="L48" s="57">
        <f t="shared" si="69"/>
        <v>-1.9190375131402626</v>
      </c>
      <c r="M48" s="56">
        <f t="shared" si="70"/>
        <v>-1575.6623371863893</v>
      </c>
      <c r="N48" s="56">
        <f t="shared" si="71"/>
        <v>-178.57506488112412</v>
      </c>
      <c r="O48" s="56">
        <f t="shared" si="72"/>
        <v>-4173.2175470106304</v>
      </c>
      <c r="P48" s="57">
        <f t="shared" si="73"/>
        <v>-2.5966158201617438E-2</v>
      </c>
      <c r="Q48" s="55" t="s">
        <v>67</v>
      </c>
      <c r="R48" s="56">
        <f>SUM('[6]Ken format'!D185:I185)</f>
        <v>922911.62594102311</v>
      </c>
      <c r="S48" s="57">
        <f t="shared" si="74"/>
        <v>0.26771032546505469</v>
      </c>
      <c r="T48" s="56">
        <f t="shared" si="75"/>
        <v>323.37478133883081</v>
      </c>
      <c r="U48" s="56">
        <f t="shared" si="76"/>
        <v>169.96530864475565</v>
      </c>
      <c r="V48" s="56">
        <f>SUM('[6]Ken format'!AH185:AM185)</f>
        <v>757337.56276683393</v>
      </c>
      <c r="W48" s="57">
        <f t="shared" si="77"/>
        <v>0.25316286677589261</v>
      </c>
      <c r="X48" s="56">
        <f t="shared" si="78"/>
        <v>283.03840147736281</v>
      </c>
      <c r="Y48" s="56">
        <f t="shared" si="79"/>
        <v>139.47284765503386</v>
      </c>
      <c r="Z48" s="56">
        <f t="shared" si="80"/>
        <v>165574.06317418918</v>
      </c>
      <c r="AA48" s="57">
        <f t="shared" si="81"/>
        <v>0.21862650331152989</v>
      </c>
      <c r="AB48" s="56">
        <f>SUM('[6]Ken format'!S185:X185)</f>
        <v>-76522.976787642721</v>
      </c>
      <c r="AC48" s="57">
        <f t="shared" si="82"/>
        <v>-4.3580377589568509E-2</v>
      </c>
      <c r="AD48" s="56">
        <f t="shared" si="83"/>
        <v>-40.127413103116268</v>
      </c>
      <c r="AE48" s="56">
        <f t="shared" si="84"/>
        <v>-14.092629242659802</v>
      </c>
      <c r="AF48" s="56">
        <f t="shared" si="85"/>
        <v>999434.60272866581</v>
      </c>
      <c r="AG48" s="57">
        <f t="shared" si="86"/>
        <v>13.06058186291126</v>
      </c>
    </row>
    <row r="49" spans="1:33" ht="15.75" x14ac:dyDescent="0.25">
      <c r="A49" s="41">
        <f>+'[6]Ken format'!I186</f>
        <v>6814.2334580134302</v>
      </c>
      <c r="B49" s="42">
        <f t="shared" si="61"/>
        <v>4.4276245823798244E-2</v>
      </c>
      <c r="C49" s="41">
        <f t="shared" si="62"/>
        <v>42.06316949391006</v>
      </c>
      <c r="D49" s="41">
        <f t="shared" ref="D49" si="87">IFERROR(A49/A$9,0)</f>
        <v>7.5713705089038115</v>
      </c>
      <c r="E49" s="41">
        <f>+'[6]Ken format'!AM186</f>
        <v>7208.2419325820711</v>
      </c>
      <c r="F49" s="42">
        <f t="shared" si="64"/>
        <v>0.04</v>
      </c>
      <c r="G49" s="41">
        <f t="shared" si="65"/>
        <v>42.99445002979845</v>
      </c>
      <c r="H49" s="41">
        <f t="shared" si="66"/>
        <v>8.0091577028689684</v>
      </c>
      <c r="I49" s="41">
        <f t="shared" si="67"/>
        <v>-394.00847456864085</v>
      </c>
      <c r="J49" s="42">
        <f t="shared" si="68"/>
        <v>-5.4660828292635112E-2</v>
      </c>
      <c r="K49" s="41">
        <f>+'[6]Ken format'!X186</f>
        <v>31692.380007082713</v>
      </c>
      <c r="L49" s="42">
        <f t="shared" si="69"/>
        <v>0.37842079435754233</v>
      </c>
      <c r="M49" s="41">
        <f t="shared" si="70"/>
        <v>310.70960791257562</v>
      </c>
      <c r="N49" s="41">
        <f t="shared" si="71"/>
        <v>35.213755563425238</v>
      </c>
      <c r="O49" s="41">
        <f t="shared" si="72"/>
        <v>-24878.146549069283</v>
      </c>
      <c r="P49" s="42">
        <f t="shared" si="73"/>
        <v>-0.78498826984623549</v>
      </c>
      <c r="Q49" s="28" t="s">
        <v>79</v>
      </c>
      <c r="R49" s="41">
        <f>SUM('[6]Ken format'!D186:I186)</f>
        <v>184618.56379472336</v>
      </c>
      <c r="S49" s="42">
        <f t="shared" si="74"/>
        <v>5.3552576878617322E-2</v>
      </c>
      <c r="T49" s="41">
        <f t="shared" si="75"/>
        <v>64.687653747275178</v>
      </c>
      <c r="U49" s="41">
        <f t="shared" si="76"/>
        <v>33.999735505473915</v>
      </c>
      <c r="V49" s="41">
        <f>SUM('[6]Ken format'!AH186:AM186)</f>
        <v>116120.31078751035</v>
      </c>
      <c r="W49" s="42">
        <f t="shared" si="77"/>
        <v>3.8816707654740303E-2</v>
      </c>
      <c r="X49" s="41">
        <f t="shared" si="78"/>
        <v>43.397434328066339</v>
      </c>
      <c r="Y49" s="41">
        <f t="shared" si="79"/>
        <v>21.3849559461345</v>
      </c>
      <c r="Z49" s="41">
        <f t="shared" si="80"/>
        <v>68498.253007213018</v>
      </c>
      <c r="AA49" s="42">
        <f t="shared" si="81"/>
        <v>0.58989036924434879</v>
      </c>
      <c r="AB49" s="41">
        <f>SUM('[6]Ken format'!S186:X186)</f>
        <v>194870.244312511</v>
      </c>
      <c r="AC49" s="42">
        <f t="shared" si="82"/>
        <v>0.11097998515763574</v>
      </c>
      <c r="AD49" s="41">
        <f t="shared" si="83"/>
        <v>102.18680876377084</v>
      </c>
      <c r="AE49" s="41">
        <f t="shared" si="84"/>
        <v>35.887706134900739</v>
      </c>
      <c r="AF49" s="41">
        <f t="shared" si="85"/>
        <v>-10251.680517787638</v>
      </c>
      <c r="AG49" s="42">
        <f t="shared" si="86"/>
        <v>-5.260772651029854E-2</v>
      </c>
    </row>
    <row r="50" spans="1:33" ht="15.75" x14ac:dyDescent="0.25">
      <c r="A50" s="38">
        <f>+'[6]Ken format'!I187</f>
        <v>0</v>
      </c>
      <c r="B50" s="37">
        <f t="shared" si="61"/>
        <v>0</v>
      </c>
      <c r="C50" s="38">
        <f t="shared" si="62"/>
        <v>0</v>
      </c>
      <c r="D50" s="38">
        <f>IFERROR(A50/A$9,0)</f>
        <v>0</v>
      </c>
      <c r="E50" s="38">
        <f>+'[6]Ken format'!AM187</f>
        <v>0</v>
      </c>
      <c r="F50" s="37">
        <f t="shared" si="64"/>
        <v>0</v>
      </c>
      <c r="G50" s="38">
        <f t="shared" si="65"/>
        <v>0</v>
      </c>
      <c r="H50" s="38">
        <f t="shared" si="66"/>
        <v>0</v>
      </c>
      <c r="I50" s="38">
        <f t="shared" si="67"/>
        <v>0</v>
      </c>
      <c r="J50" s="37">
        <f t="shared" si="68"/>
        <v>0</v>
      </c>
      <c r="K50" s="38">
        <f>+'[6]Ken format'!X187</f>
        <v>0</v>
      </c>
      <c r="L50" s="37">
        <f t="shared" si="69"/>
        <v>0</v>
      </c>
      <c r="M50" s="38">
        <f t="shared" si="70"/>
        <v>0</v>
      </c>
      <c r="N50" s="38">
        <f t="shared" si="71"/>
        <v>0</v>
      </c>
      <c r="O50" s="38">
        <f t="shared" si="72"/>
        <v>0</v>
      </c>
      <c r="P50" s="37">
        <f t="shared" si="73"/>
        <v>0</v>
      </c>
      <c r="Q50" s="28" t="s">
        <v>69</v>
      </c>
      <c r="R50" s="38">
        <f>SUM('[6]Ken format'!D187:I187)</f>
        <v>0</v>
      </c>
      <c r="S50" s="37">
        <f t="shared" si="74"/>
        <v>0</v>
      </c>
      <c r="T50" s="38">
        <f t="shared" si="75"/>
        <v>0</v>
      </c>
      <c r="U50" s="38">
        <f t="shared" si="76"/>
        <v>0</v>
      </c>
      <c r="V50" s="38">
        <f>SUM('[6]Ken format'!AH187:AM187)</f>
        <v>0</v>
      </c>
      <c r="W50" s="37">
        <f t="shared" si="77"/>
        <v>0</v>
      </c>
      <c r="X50" s="38">
        <f t="shared" si="78"/>
        <v>0</v>
      </c>
      <c r="Y50" s="38">
        <f t="shared" si="79"/>
        <v>0</v>
      </c>
      <c r="Z50" s="38">
        <f t="shared" si="80"/>
        <v>0</v>
      </c>
      <c r="AA50" s="37">
        <f t="shared" si="81"/>
        <v>0</v>
      </c>
      <c r="AB50" s="38">
        <f>SUM('[6]Ken format'!S187:X187)</f>
        <v>0</v>
      </c>
      <c r="AC50" s="37">
        <f t="shared" si="82"/>
        <v>0</v>
      </c>
      <c r="AD50" s="38">
        <f t="shared" si="83"/>
        <v>0</v>
      </c>
      <c r="AE50" s="38">
        <f t="shared" si="84"/>
        <v>0</v>
      </c>
      <c r="AF50" s="38">
        <f t="shared" si="85"/>
        <v>0</v>
      </c>
      <c r="AG50" s="37">
        <f t="shared" si="86"/>
        <v>0</v>
      </c>
    </row>
    <row r="51" spans="1:33" ht="16.5" thickBot="1" x14ac:dyDescent="0.3">
      <c r="A51" s="58">
        <f>+'[6]Ken format'!I188</f>
        <v>-171705.00939803576</v>
      </c>
      <c r="B51" s="59">
        <f>IFERROR(A51/A$21,0)</f>
        <v>-1.1156725480757714</v>
      </c>
      <c r="C51" s="58">
        <f t="shared" si="62"/>
        <v>-1059.907465419974</v>
      </c>
      <c r="D51" s="58">
        <f>IFERROR(A51/A$9,0)</f>
        <v>-190.78334377559528</v>
      </c>
      <c r="E51" s="58">
        <f>+'[6]Ken format'!AM188</f>
        <v>-139837.98336308383</v>
      </c>
      <c r="F51" s="59">
        <f t="shared" si="64"/>
        <v>-0.77598940030578212</v>
      </c>
      <c r="G51" s="58">
        <f t="shared" si="65"/>
        <v>-834.08093737750528</v>
      </c>
      <c r="H51" s="58">
        <f t="shared" si="66"/>
        <v>-155.37553707009315</v>
      </c>
      <c r="I51" s="58">
        <f t="shared" si="67"/>
        <v>-31867.026034951938</v>
      </c>
      <c r="J51" s="59">
        <f t="shared" si="68"/>
        <v>-0.22788533750669485</v>
      </c>
      <c r="K51" s="58">
        <f>+'[6]Ken format'!X188</f>
        <v>-192409.93840009443</v>
      </c>
      <c r="L51" s="59">
        <f t="shared" si="69"/>
        <v>-2.2974583074978048</v>
      </c>
      <c r="M51" s="58">
        <f t="shared" si="70"/>
        <v>-1886.3719450989649</v>
      </c>
      <c r="N51" s="58">
        <f t="shared" si="71"/>
        <v>-213.78882044454937</v>
      </c>
      <c r="O51" s="58">
        <f t="shared" si="72"/>
        <v>20704.929002058663</v>
      </c>
      <c r="P51" s="59">
        <f t="shared" si="73"/>
        <v>0.10760841760161648</v>
      </c>
      <c r="Q51" s="55" t="s">
        <v>70</v>
      </c>
      <c r="R51" s="58">
        <f>SUM('[6]Ken format'!D188:I188)</f>
        <v>738293.06214629975</v>
      </c>
      <c r="S51" s="59">
        <f t="shared" si="74"/>
        <v>0.21415774858643738</v>
      </c>
      <c r="T51" s="58">
        <f t="shared" si="75"/>
        <v>258.68712759155562</v>
      </c>
      <c r="U51" s="58">
        <f t="shared" si="76"/>
        <v>135.96557313928173</v>
      </c>
      <c r="V51" s="58">
        <f>SUM('[6]Ken format'!AH188:AM188)</f>
        <v>641217.25197932357</v>
      </c>
      <c r="W51" s="59">
        <f t="shared" si="77"/>
        <v>0.21434615912115232</v>
      </c>
      <c r="X51" s="58">
        <f t="shared" si="78"/>
        <v>239.64096714929644</v>
      </c>
      <c r="Y51" s="58">
        <f t="shared" si="79"/>
        <v>118.08789170889936</v>
      </c>
      <c r="Z51" s="58">
        <f t="shared" si="80"/>
        <v>97075.810166976182</v>
      </c>
      <c r="AA51" s="59">
        <f t="shared" si="81"/>
        <v>0.15139301050824885</v>
      </c>
      <c r="AB51" s="58">
        <f>SUM('[6]Ken format'!S188:X188)</f>
        <v>-271393.22110015369</v>
      </c>
      <c r="AC51" s="59">
        <f t="shared" si="82"/>
        <v>-0.15456036274720425</v>
      </c>
      <c r="AD51" s="58">
        <f t="shared" si="83"/>
        <v>-142.3142218668871</v>
      </c>
      <c r="AE51" s="58">
        <f t="shared" si="84"/>
        <v>-49.980335377560536</v>
      </c>
      <c r="AF51" s="58">
        <f t="shared" si="85"/>
        <v>1009686.2832464534</v>
      </c>
      <c r="AG51" s="59">
        <f t="shared" si="86"/>
        <v>3.7203813682355884</v>
      </c>
    </row>
    <row r="52" spans="1:33" ht="16.5" thickTop="1" x14ac:dyDescent="0.25">
      <c r="A52" s="43">
        <f>+'[6]Ken format'!I189</f>
        <v>230.41301922698327</v>
      </c>
      <c r="B52" s="44">
        <f>IFERROR(A52/A$21,0)</f>
        <v>1.4971344235792626E-3</v>
      </c>
      <c r="C52" s="43">
        <f t="shared" si="62"/>
        <v>1.4223025878208844</v>
      </c>
      <c r="D52" s="43">
        <f>IFERROR(A52/A$9,0)</f>
        <v>0.25601446580775916</v>
      </c>
      <c r="E52" s="43">
        <f>+'[6]Ken format'!AM189</f>
        <v>-226.01196490815806</v>
      </c>
      <c r="F52" s="44">
        <f t="shared" si="64"/>
        <v>-1.2541863440324241E-3</v>
      </c>
      <c r="G52" s="43">
        <f t="shared" si="65"/>
        <v>-1.3480763024139415</v>
      </c>
      <c r="H52" s="43">
        <f t="shared" si="66"/>
        <v>-0.25112440545350895</v>
      </c>
      <c r="I52" s="43">
        <f t="shared" si="67"/>
        <v>456.42498413514136</v>
      </c>
      <c r="J52" s="44">
        <f t="shared" si="68"/>
        <v>2.0194726607532201</v>
      </c>
      <c r="K52" s="43">
        <f>+'[6]Ken format'!X189</f>
        <v>103.63744392854341</v>
      </c>
      <c r="L52" s="44">
        <f t="shared" si="69"/>
        <v>1.2374761329966371E-3</v>
      </c>
      <c r="M52" s="43">
        <f t="shared" si="70"/>
        <v>1.0160533718484648</v>
      </c>
      <c r="N52" s="43">
        <f t="shared" si="71"/>
        <v>0.11515271547615934</v>
      </c>
      <c r="O52" s="43">
        <f t="shared" si="72"/>
        <v>126.77557529843986</v>
      </c>
      <c r="P52" s="44">
        <f t="shared" si="73"/>
        <v>1.2232603438758087</v>
      </c>
      <c r="Q52" s="28" t="s">
        <v>71</v>
      </c>
      <c r="R52" s="43">
        <f>SUM('[6]Ken format'!D189:I189)</f>
        <v>4490.1287937636316</v>
      </c>
      <c r="S52" s="44">
        <f t="shared" si="74"/>
        <v>1.3024582278209271E-3</v>
      </c>
      <c r="T52" s="43">
        <f t="shared" si="75"/>
        <v>1.5732756810664441</v>
      </c>
      <c r="U52" s="43">
        <f t="shared" si="76"/>
        <v>0.82691138006696718</v>
      </c>
      <c r="V52" s="43">
        <f>SUM('[6]Ken format'!AH189:AM189)</f>
        <v>-1356.0717894489483</v>
      </c>
      <c r="W52" s="44">
        <f t="shared" si="77"/>
        <v>-4.5330779648190567E-4</v>
      </c>
      <c r="X52" s="43">
        <f t="shared" si="78"/>
        <v>-0.50680226420031182</v>
      </c>
      <c r="Y52" s="43">
        <f t="shared" si="79"/>
        <v>-0.24973697779906967</v>
      </c>
      <c r="Z52" s="43">
        <f t="shared" si="80"/>
        <v>5846.2005832125797</v>
      </c>
      <c r="AA52" s="44">
        <f t="shared" si="81"/>
        <v>4.311129122144953</v>
      </c>
      <c r="AB52" s="43">
        <f>SUM('[6]Ken format'!S189:X189)</f>
        <v>-1649.2617327147557</v>
      </c>
      <c r="AC52" s="44">
        <f t="shared" si="82"/>
        <v>-9.3926624489785711E-4</v>
      </c>
      <c r="AD52" s="43">
        <f t="shared" si="83"/>
        <v>-0.86484621537218442</v>
      </c>
      <c r="AE52" s="43">
        <f t="shared" si="84"/>
        <v>-0.30373144248890527</v>
      </c>
      <c r="AF52" s="43">
        <f t="shared" si="85"/>
        <v>6139.3905264783871</v>
      </c>
      <c r="AG52" s="44">
        <f t="shared" si="86"/>
        <v>3.7225083227831197</v>
      </c>
    </row>
    <row r="53" spans="1:33" ht="15.75" x14ac:dyDescent="0.25">
      <c r="A53" s="45"/>
      <c r="B53" s="46"/>
      <c r="C53" s="45"/>
      <c r="D53" s="45"/>
      <c r="E53" s="45"/>
      <c r="F53" s="46"/>
      <c r="G53" s="45"/>
      <c r="H53" s="45"/>
      <c r="I53" s="45"/>
      <c r="J53" s="46"/>
      <c r="K53" s="45"/>
      <c r="L53" s="46"/>
      <c r="M53" s="45"/>
      <c r="N53" s="45"/>
      <c r="O53" s="45"/>
      <c r="P53" s="46"/>
      <c r="Q53" s="28" t="s">
        <v>72</v>
      </c>
      <c r="R53" s="45"/>
      <c r="S53" s="46"/>
      <c r="T53" s="45"/>
      <c r="U53" s="45"/>
      <c r="V53" s="45"/>
      <c r="W53" s="46"/>
      <c r="X53" s="45"/>
      <c r="Y53" s="45"/>
      <c r="Z53" s="45"/>
      <c r="AA53" s="46"/>
      <c r="AB53" s="45"/>
      <c r="AC53" s="46"/>
      <c r="AD53" s="45"/>
      <c r="AE53" s="45"/>
      <c r="AF53" s="45"/>
      <c r="AG53" s="46"/>
    </row>
    <row r="54" spans="1:33" ht="15.75" x14ac:dyDescent="0.25">
      <c r="A54" s="38">
        <f>+'[6]Ken format'!I191</f>
        <v>28193.373843428042</v>
      </c>
      <c r="B54" s="37">
        <f>IFERROR(A54/A$21,0)</f>
        <v>0.18318960725155173</v>
      </c>
      <c r="C54" s="38">
        <f>IFERROR(A54/A$10,0)</f>
        <v>174.03317187301261</v>
      </c>
      <c r="D54" s="38">
        <f>IFERROR(A54/A$9,0)</f>
        <v>31.325970937142269</v>
      </c>
      <c r="E54" s="38">
        <f>+'[6]Ken format'!AM191</f>
        <v>26583.333333333332</v>
      </c>
      <c r="F54" s="37">
        <f>IFERROR(E54/E$21,0)</f>
        <v>0.14751632135527334</v>
      </c>
      <c r="G54" s="38">
        <f>IFERROR(E54/E$10,0)</f>
        <v>158.55957767722472</v>
      </c>
      <c r="H54" s="38">
        <f>IFERROR(E54/E$9,0)</f>
        <v>29.537037037037035</v>
      </c>
      <c r="I54" s="38">
        <f>+A54-E54</f>
        <v>1610.04051009471</v>
      </c>
      <c r="J54" s="37">
        <f>IFERROR(I54/ABS(E54),0)</f>
        <v>6.0565787213594111E-2</v>
      </c>
      <c r="K54" s="38">
        <f>+'[6]Ken format'!X191</f>
        <v>16110.825430864877</v>
      </c>
      <c r="L54" s="37">
        <f>IFERROR(K54/K$21,0)</f>
        <v>0.1923702592213358</v>
      </c>
      <c r="M54" s="38">
        <f>IFERROR(K54/K$10,0)</f>
        <v>157.94926893004782</v>
      </c>
      <c r="N54" s="38">
        <f>IFERROR(K54/K$9,0)</f>
        <v>17.900917145405419</v>
      </c>
      <c r="O54" s="38">
        <f>+A54-K54</f>
        <v>12082.548412563165</v>
      </c>
      <c r="P54" s="37">
        <f>IFERROR(O54/ABS(K54),0)</f>
        <v>0.74996457905971714</v>
      </c>
      <c r="Q54" s="28" t="s">
        <v>73</v>
      </c>
      <c r="R54" s="38">
        <f>SUM('[6]Ken format'!D191:I191)</f>
        <v>273139.69998122979</v>
      </c>
      <c r="S54" s="37">
        <f>IFERROR(R54/R$21,0)</f>
        <v>7.9230032349896048E-2</v>
      </c>
      <c r="T54" s="38">
        <f>IFERROR(R54/R$10,0)</f>
        <v>95.704169579968394</v>
      </c>
      <c r="U54" s="38">
        <f>IFERROR(R54/R$9,0)</f>
        <v>50.301970530613218</v>
      </c>
      <c r="V54" s="38">
        <f>SUM('[6]Ken format'!AH191:AM191)</f>
        <v>268611.35530768771</v>
      </c>
      <c r="W54" s="37">
        <f>IFERROR(V54/V$21,0)</f>
        <v>8.9791427365380025E-2</v>
      </c>
      <c r="X54" s="38">
        <f>IFERROR(V54/V$10,0)</f>
        <v>100.38763737955891</v>
      </c>
      <c r="Y54" s="38">
        <f>IFERROR(V54/V$9,0)</f>
        <v>49.468021235301606</v>
      </c>
      <c r="Z54" s="38">
        <f>+R54-V54</f>
        <v>4528.344673542073</v>
      </c>
      <c r="AA54" s="37">
        <f>IFERROR(Z54/ABS(V54),0)</f>
        <v>1.6858351607492415E-2</v>
      </c>
      <c r="AB54" s="38">
        <f>SUM('[6]Ken format'!S191:X191)</f>
        <v>93172.844756916282</v>
      </c>
      <c r="AC54" s="37">
        <f>IFERROR(AB54/AB$21,0)</f>
        <v>5.3062595393653961E-2</v>
      </c>
      <c r="AD54" s="38">
        <f>IFERROR(AB54/AB$10,0)</f>
        <v>48.858334953810321</v>
      </c>
      <c r="AE54" s="38">
        <f>IFERROR(AB54/AB$9,0)</f>
        <v>17.158903270150329</v>
      </c>
      <c r="AF54" s="38">
        <f>+R54-AB54</f>
        <v>179966.85522431351</v>
      </c>
      <c r="AG54" s="37">
        <f>IFERROR(AF54/ABS(AB54),0)</f>
        <v>1.9315376244423883</v>
      </c>
    </row>
    <row r="55" spans="1:33" ht="15.75" x14ac:dyDescent="0.25">
      <c r="A55" s="51">
        <f>+'[6]Ken format'!I192</f>
        <v>28193.373843428042</v>
      </c>
      <c r="B55" s="52">
        <f>IFERROR(A55/A$21,0)</f>
        <v>0.18318960725155173</v>
      </c>
      <c r="C55" s="51">
        <f>IFERROR(A55/A$10,0)</f>
        <v>174.03317187301261</v>
      </c>
      <c r="D55" s="51">
        <f>IFERROR(A55/A$9,0)</f>
        <v>31.325970937142269</v>
      </c>
      <c r="E55" s="51">
        <f>+'[6]Ken format'!AM192</f>
        <v>26583.333333333332</v>
      </c>
      <c r="F55" s="52">
        <f>IFERROR(E55/E$21,0)</f>
        <v>0.14751632135527334</v>
      </c>
      <c r="G55" s="51">
        <f>IFERROR(E55/E$10,0)</f>
        <v>158.55957767722472</v>
      </c>
      <c r="H55" s="51">
        <f>IFERROR(E55/E$9,0)</f>
        <v>29.537037037037035</v>
      </c>
      <c r="I55" s="51">
        <f>+A55-E55</f>
        <v>1610.04051009471</v>
      </c>
      <c r="J55" s="52">
        <f>IFERROR(I55/ABS(E55),0)</f>
        <v>6.0565787213594111E-2</v>
      </c>
      <c r="K55" s="51">
        <f>+'[6]Ken format'!X192</f>
        <v>16110.825430864877</v>
      </c>
      <c r="L55" s="52">
        <f>IFERROR(K55/K$21,0)</f>
        <v>0.1923702592213358</v>
      </c>
      <c r="M55" s="51">
        <f>IFERROR(K55/K$10,0)</f>
        <v>157.94926893004782</v>
      </c>
      <c r="N55" s="51">
        <f>IFERROR(K55/K$9,0)</f>
        <v>17.900917145405419</v>
      </c>
      <c r="O55" s="51">
        <f>+A55-K55</f>
        <v>12082.548412563165</v>
      </c>
      <c r="P55" s="52">
        <f>IFERROR(O55/ABS(K55),0)</f>
        <v>0.74996457905971714</v>
      </c>
      <c r="Q55" s="50" t="s">
        <v>74</v>
      </c>
      <c r="R55" s="51">
        <f>SUM('[6]Ken format'!D192:I192)</f>
        <v>273139.69998122979</v>
      </c>
      <c r="S55" s="52">
        <f>IFERROR(R55/R$21,0)</f>
        <v>7.9230032349896048E-2</v>
      </c>
      <c r="T55" s="51">
        <f>IFERROR(R55/R$10,0)</f>
        <v>95.704169579968394</v>
      </c>
      <c r="U55" s="51">
        <f>IFERROR(R55/R$9,0)</f>
        <v>50.301970530613218</v>
      </c>
      <c r="V55" s="51">
        <f>SUM('[6]Ken format'!AH192:AM192)</f>
        <v>268611.35530768771</v>
      </c>
      <c r="W55" s="52">
        <f>IFERROR(V55/V$21,0)</f>
        <v>8.9791427365380025E-2</v>
      </c>
      <c r="X55" s="51">
        <f>IFERROR(V55/V$10,0)</f>
        <v>100.38763737955891</v>
      </c>
      <c r="Y55" s="51">
        <f>IFERROR(V55/V$9,0)</f>
        <v>49.468021235301606</v>
      </c>
      <c r="Z55" s="51">
        <f>+R55-V55</f>
        <v>4528.344673542073</v>
      </c>
      <c r="AA55" s="52">
        <f>IFERROR(Z55/ABS(V55),0)</f>
        <v>1.6858351607492415E-2</v>
      </c>
      <c r="AB55" s="51">
        <f>SUM('[6]Ken format'!S192:X192)</f>
        <v>93172.844756916282</v>
      </c>
      <c r="AC55" s="52">
        <f>IFERROR(AB55/AB$21,0)</f>
        <v>5.3062595393653961E-2</v>
      </c>
      <c r="AD55" s="51">
        <f>IFERROR(AB55/AB$10,0)</f>
        <v>48.858334953810321</v>
      </c>
      <c r="AE55" s="51">
        <f>IFERROR(AB55/AB$9,0)</f>
        <v>17.158903270150329</v>
      </c>
      <c r="AF55" s="51">
        <f>+R55-AB55</f>
        <v>179966.85522431351</v>
      </c>
      <c r="AG55" s="52">
        <f>IFERROR(AF55/ABS(AB55),0)</f>
        <v>1.9315376244423883</v>
      </c>
    </row>
    <row r="56" spans="1:33" ht="16.5" thickBot="1" x14ac:dyDescent="0.3">
      <c r="A56" s="58">
        <f>+'[6]Ken format'!I193</f>
        <v>-199667.97022223682</v>
      </c>
      <c r="B56" s="59">
        <f>IFERROR(A56/A$21,0)</f>
        <v>-1.2973650209037437</v>
      </c>
      <c r="C56" s="58">
        <f>IFERROR(A56/A$10,0)</f>
        <v>-1232.5183347051657</v>
      </c>
      <c r="D56" s="58">
        <f>IFERROR(A56/A$9,0)</f>
        <v>-221.85330024692979</v>
      </c>
      <c r="E56" s="58">
        <f>+'[6]Ken format'!AM193</f>
        <v>-166647.32866132533</v>
      </c>
      <c r="F56" s="59">
        <f>IFERROR(E56/E$21,0)</f>
        <v>-0.924759908005088</v>
      </c>
      <c r="G56" s="58">
        <f>IFERROR(E56/E$10,0)</f>
        <v>-993.98859135714406</v>
      </c>
      <c r="H56" s="58">
        <f>IFERROR(E56/E$9,0)</f>
        <v>-185.16369851258369</v>
      </c>
      <c r="I56" s="58">
        <f>+A56-E56</f>
        <v>-33020.641560911492</v>
      </c>
      <c r="J56" s="59">
        <f>IFERROR(I56/ABS(E56),0)</f>
        <v>-0.19814683995336527</v>
      </c>
      <c r="K56" s="58">
        <f>+'[6]Ken format'!X193</f>
        <v>-208417.12638703076</v>
      </c>
      <c r="L56" s="59">
        <f>IFERROR(K56/K$21,0)</f>
        <v>-2.4885910905861439</v>
      </c>
      <c r="M56" s="58">
        <f>IFERROR(K56/K$10,0)</f>
        <v>-2043.3051606571644</v>
      </c>
      <c r="N56" s="58">
        <f>IFERROR(K56/K$9,0)</f>
        <v>-231.57458487447863</v>
      </c>
      <c r="O56" s="58">
        <f>+A56-K56</f>
        <v>8749.1561647939379</v>
      </c>
      <c r="P56" s="59">
        <f>IFERROR(O56/ABS(K56),0)</f>
        <v>4.1979065331448573E-2</v>
      </c>
      <c r="Q56" s="55" t="s">
        <v>78</v>
      </c>
      <c r="R56" s="58">
        <f>SUM('[6]Ken format'!D193:I193)</f>
        <v>469643.49095883337</v>
      </c>
      <c r="S56" s="59">
        <f>IFERROR(R56/R$21,0)</f>
        <v>0.1362301744643622</v>
      </c>
      <c r="T56" s="58">
        <f>IFERROR(R56/R$10,0)</f>
        <v>164.55623369265359</v>
      </c>
      <c r="U56" s="58">
        <f>IFERROR(R56/R$9,0)</f>
        <v>86.49051398873543</v>
      </c>
      <c r="V56" s="58">
        <f>SUM('[6]Ken format'!AH193:AM193)</f>
        <v>371249.82488218689</v>
      </c>
      <c r="W56" s="59">
        <f>IFERROR(V56/V$21,0)</f>
        <v>0.12410142395929039</v>
      </c>
      <c r="X56" s="58">
        <f>IFERROR(V56/V$10,0)</f>
        <v>138.74652750553722</v>
      </c>
      <c r="Y56" s="58">
        <f>IFERROR(V56/V$9,0)</f>
        <v>68.370133495798697</v>
      </c>
      <c r="Z56" s="58">
        <f>+R56-V56</f>
        <v>98393.666076646477</v>
      </c>
      <c r="AA56" s="59">
        <f>IFERROR(Z56/ABS(V56),0)</f>
        <v>0.26503356899325381</v>
      </c>
      <c r="AB56" s="58">
        <f>SUM('[6]Ken format'!S193:X193)</f>
        <v>-366215.32758978475</v>
      </c>
      <c r="AC56" s="59">
        <f>IFERROR(AB56/AB$21,0)</f>
        <v>-0.20856222438575606</v>
      </c>
      <c r="AD56" s="58">
        <f>IFERROR(AB56/AB$10,0)</f>
        <v>-192.03740303606961</v>
      </c>
      <c r="AE56" s="58">
        <f>IFERROR(AB56/AB$9,0)</f>
        <v>-67.442970090199765</v>
      </c>
      <c r="AF56" s="58">
        <f>+R56-AB56</f>
        <v>835858.81854861812</v>
      </c>
      <c r="AG56" s="59">
        <f>IFERROR(AF56/ABS(AB56),0)</f>
        <v>2.2824244524382755</v>
      </c>
    </row>
    <row r="57" spans="1:33" ht="15.75" thickTop="1" x14ac:dyDescent="0.2">
      <c r="A57" s="47" t="s">
        <v>5</v>
      </c>
    </row>
    <row r="58" spans="1:33" x14ac:dyDescent="0.2">
      <c r="A58" s="32" t="s">
        <v>5</v>
      </c>
    </row>
    <row r="59" spans="1:33" x14ac:dyDescent="0.2">
      <c r="A59" s="30"/>
    </row>
  </sheetData>
  <mergeCells count="16">
    <mergeCell ref="AC6:AE6"/>
    <mergeCell ref="AF6:AG6"/>
    <mergeCell ref="B7:D7"/>
    <mergeCell ref="F7:J7"/>
    <mergeCell ref="L7:N7"/>
    <mergeCell ref="O7:P7"/>
    <mergeCell ref="S7:U7"/>
    <mergeCell ref="W7:AA7"/>
    <mergeCell ref="AC7:AE7"/>
    <mergeCell ref="AF7:AG7"/>
    <mergeCell ref="B6:D6"/>
    <mergeCell ref="F6:J6"/>
    <mergeCell ref="L6:N6"/>
    <mergeCell ref="O6:P6"/>
    <mergeCell ref="S6:U6"/>
    <mergeCell ref="W6:AA6"/>
  </mergeCells>
  <pageMargins left="0.75" right="0.75" top="1" bottom="1" header="0.5" footer="0.5"/>
  <pageSetup scale="22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Statement of Income</vt:lpstr>
      <vt:lpstr>SCPCWL</vt:lpstr>
      <vt:lpstr>SCPCWL!Print_Area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Jayson Bonina</dc:creator>
  <cp:keywords/>
  <dc:description/>
  <cp:lastModifiedBy>Bismark Rodriguez</cp:lastModifiedBy>
  <dcterms:created xsi:type="dcterms:W3CDTF">2026-04-24T14:08:09Z</dcterms:created>
  <dcterms:modified xsi:type="dcterms:W3CDTF">2026-08-17T19:15:01Z</dcterms:modified>
  <cp:category/>
  <cp:contentStatus/>
</cp:coreProperties>
</file>