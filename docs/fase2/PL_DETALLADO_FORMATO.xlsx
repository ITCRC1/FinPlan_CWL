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8_{ED2D24AB-FA62-47B9-8F07-39D01301A90E}" xr6:coauthVersionLast="47" xr6:coauthVersionMax="47" xr10:uidLastSave="{00000000-0000-0000-0000-000000000000}"/>
  <bookViews>
    <workbookView xWindow="-120" yWindow="-120" windowWidth="29040" windowHeight="15720" xr2:uid="{BC18DF53-62F5-43B8-BD6C-6F0FF9B41A89}"/>
  </bookViews>
  <sheets>
    <sheet name="P&amp;L Full Detai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_impresión_IM">#REF!</definedName>
    <definedName name="ANNUAL_OTHER_TAX">[2]Assumptions!$B$48</definedName>
    <definedName name="ANNUAL_PERS_PROPERTY_TAX">[2]Assumptions!$B$47</definedName>
    <definedName name="ANNUAL_REAL_PROPERTY_TAX">[2]Assumptions!$B$46</definedName>
    <definedName name="AVG_NO_EMPLOYEES">[2]Assumptions!$B$74</definedName>
    <definedName name="base1">'[3]BALANCE DE COMPROBACION'!$B$4:$B$755</definedName>
    <definedName name="BUDGET_YEAR">[2]Assumptions!$B$4</definedName>
    <definedName name="CELL_PHONE_100">[2]Assumptions!$B$35</definedName>
    <definedName name="CELL_PHONE_50">[2]Assumptions!$B$34</definedName>
    <definedName name="CLEANING_MINS_PER_ROOM">[2]Assumptions!$B$27</definedName>
    <definedName name="COST_OF_BEER">[2]Assumptions!$B$155</definedName>
    <definedName name="COST_OF_BEVERAGE">[2]Assumptions!$B$154</definedName>
    <definedName name="COST_OF_FOOD">[2]Assumptions!$B$152</definedName>
    <definedName name="COST_OF_LIQUOR">[2]Assumptions!$B$156</definedName>
    <definedName name="COST_OF_PREPACKAGED">[2]Assumptions!$B$153</definedName>
    <definedName name="COST_OF_WINE">[2]Assumptions!$B$157</definedName>
    <definedName name="CREDIT_CARD_COMMISSION_RATE">[2]Assumptions!$B$12</definedName>
    <definedName name="DATE_REV_FIGURES">[2]Assumptions!$B$7</definedName>
    <definedName name="Demand2Data">#REF!</definedName>
    <definedName name="Demand2Date2">#REF!</definedName>
    <definedName name="Demand2Metric">#REF!</definedName>
    <definedName name="EMPLOYEE_BENEFITS">[2]Assumptions!$F$59</definedName>
    <definedName name="EMPLOYEE_ONBOARDING">[2]Assumptions!#REF!</definedName>
    <definedName name="EMPLOYEE_TRAINING">[2]Assumptions!$B$32</definedName>
    <definedName name="ESDG_FACTOR">[2]Assumptions!$B$16</definedName>
    <definedName name="ESDG_PER_STAY">[2]Assumptions!$B$17</definedName>
    <definedName name="FAIR_TRADE_PRICING">[2]Assumptions!$B$14</definedName>
    <definedName name="FechaDeInicioelañoFiscal">'[4]FLUJO DE EFECTIVO'!$B$7</definedName>
    <definedName name="FEE_ACCOUNTING">[2]Assumptions!$B$38</definedName>
    <definedName name="FEE_BACKGROUND_CHECK">[2]Assumptions!$B$33</definedName>
    <definedName name="FEE_MANAGEMENT">[2]Assumptions!$B$8</definedName>
    <definedName name="FEE_MARKETING_BRAND">[2]Assumptions!$B$11</definedName>
    <definedName name="FEE_MARKETING_CENTRALIZED_SERVICES">[2]Assumptions!$B$41</definedName>
    <definedName name="FEE_REVMGMT_CENTRALIZED_SERVICES">[2]Assumptions!$B$39</definedName>
    <definedName name="FEE_ROYALTY_FB">[2]Assumptions!$B$10</definedName>
    <definedName name="FEE_ROYALTY_ROOMS">[2]Assumptions!$B$9</definedName>
    <definedName name="FEE_SALES_CENTRALIZED_SERVICES">[2]Assumptions!$B$40</definedName>
    <definedName name="FEE_TECHNOLOGY">[2]Assumptions!$B$37</definedName>
    <definedName name="FFE_RESERVE">[2]Assumptions!$B$13</definedName>
    <definedName name="HOTEL_NAME">[2]Assumptions!$B$2</definedName>
    <definedName name="MEMBERSHIP_COST_MULTIPLIER">#REF!</definedName>
    <definedName name="MEMBERSHIP_FEE_REVENUE">[2]Assumptions!$B$147</definedName>
    <definedName name="MINS_PER_HOUR">[2]Assumptions!$B$51</definedName>
    <definedName name="MONTHLY_INTERNET_SERVICE">[2]Assumptions!$B$43</definedName>
    <definedName name="MONTHLY_PHONE_SERVICE">[2]Assumptions!$B$44</definedName>
    <definedName name="MONTHLY_WASTE_REMOVAL">[2]Assumptions!$B$45</definedName>
    <definedName name="MY_FUNCTION1" localSheetId="0">_xludf.LAMBDA(SUM('[5]RATES CWL 2023-2024'!$B$48-500)/3)</definedName>
    <definedName name="MY_FUNCTION1">_xludf.LAMBDA(SUM('[5]RATES CWL 2023-2024'!$B$48-500)/3)</definedName>
    <definedName name="NO_OF_ROOMS">[2]Assumptions!$B$5</definedName>
    <definedName name="PAYROLL_TAXES">[2]Assumptions!$F$57</definedName>
    <definedName name="PET_FEE_MULTIPLIER">[2]Assumptions!$B$26</definedName>
    <definedName name="PET_FEE_PER_STAY">[2]Assumptions!$B$25</definedName>
    <definedName name="_xlnm.Print_Area" localSheetId="0">'P&amp;L Full Detail'!$C$2:$Q$1008</definedName>
    <definedName name="_xlnm.Print_Titles" localSheetId="0">'P&amp;L Full Detail'!$C:$C,'P&amp;L Full Detail'!$17:$21</definedName>
    <definedName name="RESORT_FEE_MULTIPLIER">[2]Assumptions!$B$23</definedName>
    <definedName name="RESORT_FEE_PER_STAY">[2]Assumptions!$B$22</definedName>
    <definedName name="SUPPPAY">[2]Assumptions!$F$58</definedName>
    <definedName name="TC">[6]AMARENA!$C$4</definedName>
    <definedName name="Tipo1">'[7]Tipo Cambio'!$1:$1048576</definedName>
    <definedName name="Tipo2">'[7]Tipo Cambio'!$1:$1</definedName>
    <definedName name="TOTAL_OCCUPIED_ROOMS">[2]Assumptions!$B$6</definedName>
    <definedName name="WC_ANDG">[2]Assumptions!$F$62</definedName>
    <definedName name="WC_FANDB">[2]Assumptions!$F$61</definedName>
    <definedName name="WC_RANDM">[2]Assumptions!$F$64</definedName>
    <definedName name="WC_ROOMS">[2]Assumptions!$F$60</definedName>
    <definedName name="WC_SANDM">[2]Assumptions!$F$63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07" i="1" l="1"/>
  <c r="N1007" i="1"/>
  <c r="M1007" i="1"/>
  <c r="L1007" i="1"/>
  <c r="K1007" i="1"/>
  <c r="J1007" i="1"/>
  <c r="I1007" i="1"/>
  <c r="H1007" i="1"/>
  <c r="G1007" i="1"/>
  <c r="F1007" i="1"/>
  <c r="E1007" i="1"/>
  <c r="D1007" i="1"/>
  <c r="Q1007" i="1" s="1"/>
  <c r="O1006" i="1"/>
  <c r="N1006" i="1"/>
  <c r="M1006" i="1"/>
  <c r="L1006" i="1"/>
  <c r="K1006" i="1"/>
  <c r="J1006" i="1"/>
  <c r="I1006" i="1"/>
  <c r="H1006" i="1"/>
  <c r="G1006" i="1"/>
  <c r="F1006" i="1"/>
  <c r="Q1006" i="1" s="1"/>
  <c r="E1006" i="1"/>
  <c r="D1006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Q1003" i="1" s="1"/>
  <c r="O1000" i="1"/>
  <c r="N1000" i="1"/>
  <c r="M1000" i="1"/>
  <c r="L1000" i="1"/>
  <c r="K1000" i="1"/>
  <c r="J1000" i="1"/>
  <c r="I1000" i="1"/>
  <c r="H1000" i="1"/>
  <c r="Q1000" i="1" s="1"/>
  <c r="G1000" i="1"/>
  <c r="F1000" i="1"/>
  <c r="E1000" i="1"/>
  <c r="D1000" i="1"/>
  <c r="O997" i="1"/>
  <c r="N997" i="1"/>
  <c r="M997" i="1"/>
  <c r="L997" i="1"/>
  <c r="K997" i="1"/>
  <c r="J997" i="1"/>
  <c r="I997" i="1"/>
  <c r="H997" i="1"/>
  <c r="G997" i="1"/>
  <c r="F997" i="1"/>
  <c r="E997" i="1"/>
  <c r="Q997" i="1" s="1"/>
  <c r="D997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Q988" i="1" s="1"/>
  <c r="O985" i="1"/>
  <c r="N985" i="1"/>
  <c r="M985" i="1"/>
  <c r="L985" i="1"/>
  <c r="K985" i="1"/>
  <c r="J985" i="1"/>
  <c r="I985" i="1"/>
  <c r="H985" i="1"/>
  <c r="G985" i="1"/>
  <c r="F985" i="1"/>
  <c r="E985" i="1"/>
  <c r="Q985" i="1" s="1"/>
  <c r="D985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Q984" i="1" s="1"/>
  <c r="O983" i="1"/>
  <c r="N983" i="1"/>
  <c r="M983" i="1"/>
  <c r="L983" i="1"/>
  <c r="K983" i="1"/>
  <c r="J983" i="1"/>
  <c r="I983" i="1"/>
  <c r="H983" i="1"/>
  <c r="G983" i="1"/>
  <c r="F983" i="1"/>
  <c r="E983" i="1"/>
  <c r="D983" i="1"/>
  <c r="Q983" i="1" s="1"/>
  <c r="O980" i="1"/>
  <c r="N980" i="1"/>
  <c r="M980" i="1"/>
  <c r="L980" i="1"/>
  <c r="K980" i="1"/>
  <c r="J980" i="1"/>
  <c r="I980" i="1"/>
  <c r="H980" i="1"/>
  <c r="G980" i="1"/>
  <c r="F980" i="1"/>
  <c r="E980" i="1"/>
  <c r="D980" i="1"/>
  <c r="Q980" i="1" s="1"/>
  <c r="O978" i="1"/>
  <c r="N978" i="1"/>
  <c r="M978" i="1"/>
  <c r="L978" i="1"/>
  <c r="K978" i="1"/>
  <c r="J978" i="1"/>
  <c r="I978" i="1"/>
  <c r="H978" i="1"/>
  <c r="G978" i="1"/>
  <c r="F978" i="1"/>
  <c r="E978" i="1"/>
  <c r="D978" i="1"/>
  <c r="Q978" i="1" s="1"/>
  <c r="O975" i="1"/>
  <c r="N975" i="1"/>
  <c r="M975" i="1"/>
  <c r="L975" i="1"/>
  <c r="K975" i="1"/>
  <c r="J975" i="1"/>
  <c r="I975" i="1"/>
  <c r="H975" i="1"/>
  <c r="Q975" i="1" s="1"/>
  <c r="G975" i="1"/>
  <c r="F975" i="1"/>
  <c r="E975" i="1"/>
  <c r="D975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Q973" i="1" s="1"/>
  <c r="O970" i="1"/>
  <c r="N970" i="1"/>
  <c r="M970" i="1"/>
  <c r="L970" i="1"/>
  <c r="K970" i="1"/>
  <c r="J970" i="1"/>
  <c r="I970" i="1"/>
  <c r="H970" i="1"/>
  <c r="Q970" i="1" s="1"/>
  <c r="G970" i="1"/>
  <c r="F970" i="1"/>
  <c r="E970" i="1"/>
  <c r="D970" i="1"/>
  <c r="O968" i="1"/>
  <c r="N968" i="1"/>
  <c r="M968" i="1"/>
  <c r="L968" i="1"/>
  <c r="K968" i="1"/>
  <c r="J968" i="1"/>
  <c r="I968" i="1"/>
  <c r="H968" i="1"/>
  <c r="G968" i="1"/>
  <c r="F968" i="1"/>
  <c r="E968" i="1"/>
  <c r="Q968" i="1" s="1"/>
  <c r="D968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Q965" i="1" s="1"/>
  <c r="O959" i="1"/>
  <c r="N959" i="1"/>
  <c r="M959" i="1"/>
  <c r="L959" i="1"/>
  <c r="K959" i="1"/>
  <c r="J959" i="1"/>
  <c r="I959" i="1"/>
  <c r="H959" i="1"/>
  <c r="G959" i="1"/>
  <c r="F959" i="1"/>
  <c r="E959" i="1"/>
  <c r="D959" i="1"/>
  <c r="Q959" i="1" s="1"/>
  <c r="O956" i="1"/>
  <c r="N956" i="1"/>
  <c r="M956" i="1"/>
  <c r="L956" i="1"/>
  <c r="K956" i="1"/>
  <c r="J956" i="1"/>
  <c r="I956" i="1"/>
  <c r="H956" i="1"/>
  <c r="G956" i="1"/>
  <c r="F956" i="1"/>
  <c r="E956" i="1"/>
  <c r="D956" i="1"/>
  <c r="Q956" i="1" s="1"/>
  <c r="O954" i="1"/>
  <c r="N954" i="1"/>
  <c r="M954" i="1"/>
  <c r="L954" i="1"/>
  <c r="K954" i="1"/>
  <c r="J954" i="1"/>
  <c r="I954" i="1"/>
  <c r="H954" i="1"/>
  <c r="G954" i="1"/>
  <c r="F954" i="1"/>
  <c r="E954" i="1"/>
  <c r="D954" i="1"/>
  <c r="Q954" i="1" s="1"/>
  <c r="O951" i="1"/>
  <c r="N951" i="1"/>
  <c r="M951" i="1"/>
  <c r="L951" i="1"/>
  <c r="K951" i="1"/>
  <c r="J951" i="1"/>
  <c r="I951" i="1"/>
  <c r="H951" i="1"/>
  <c r="Q951" i="1" s="1"/>
  <c r="G951" i="1"/>
  <c r="F951" i="1"/>
  <c r="E951" i="1"/>
  <c r="D951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Q949" i="1" s="1"/>
  <c r="O937" i="1"/>
  <c r="N937" i="1"/>
  <c r="M937" i="1"/>
  <c r="L937" i="1"/>
  <c r="K937" i="1"/>
  <c r="J937" i="1"/>
  <c r="I937" i="1"/>
  <c r="H937" i="1"/>
  <c r="G937" i="1"/>
  <c r="F937" i="1"/>
  <c r="E937" i="1"/>
  <c r="D937" i="1"/>
  <c r="Q937" i="1" s="1"/>
  <c r="O936" i="1"/>
  <c r="N936" i="1"/>
  <c r="M936" i="1"/>
  <c r="L936" i="1"/>
  <c r="K936" i="1"/>
  <c r="J936" i="1"/>
  <c r="I936" i="1"/>
  <c r="H936" i="1"/>
  <c r="G936" i="1"/>
  <c r="F936" i="1"/>
  <c r="E936" i="1"/>
  <c r="D936" i="1"/>
  <c r="Q936" i="1" s="1"/>
  <c r="O935" i="1"/>
  <c r="N935" i="1"/>
  <c r="M935" i="1"/>
  <c r="L935" i="1"/>
  <c r="K935" i="1"/>
  <c r="J935" i="1"/>
  <c r="I935" i="1"/>
  <c r="H935" i="1"/>
  <c r="G935" i="1"/>
  <c r="F935" i="1"/>
  <c r="E935" i="1"/>
  <c r="D935" i="1"/>
  <c r="Q935" i="1" s="1"/>
  <c r="O934" i="1"/>
  <c r="N934" i="1"/>
  <c r="M934" i="1"/>
  <c r="L934" i="1"/>
  <c r="K934" i="1"/>
  <c r="J934" i="1"/>
  <c r="I934" i="1"/>
  <c r="H934" i="1"/>
  <c r="Q934" i="1" s="1"/>
  <c r="G934" i="1"/>
  <c r="F934" i="1"/>
  <c r="E934" i="1"/>
  <c r="D934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Q933" i="1" s="1"/>
  <c r="O932" i="1"/>
  <c r="N932" i="1"/>
  <c r="M932" i="1"/>
  <c r="L932" i="1"/>
  <c r="K932" i="1"/>
  <c r="J932" i="1"/>
  <c r="I932" i="1"/>
  <c r="H932" i="1"/>
  <c r="Q932" i="1" s="1"/>
  <c r="G932" i="1"/>
  <c r="F932" i="1"/>
  <c r="E932" i="1"/>
  <c r="D932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Q931" i="1" s="1"/>
  <c r="O930" i="1"/>
  <c r="O938" i="1" s="1"/>
  <c r="O940" i="1" s="1"/>
  <c r="N930" i="1"/>
  <c r="N938" i="1" s="1"/>
  <c r="N940" i="1" s="1"/>
  <c r="M930" i="1"/>
  <c r="M938" i="1" s="1"/>
  <c r="M940" i="1" s="1"/>
  <c r="L930" i="1"/>
  <c r="L938" i="1" s="1"/>
  <c r="L940" i="1" s="1"/>
  <c r="L76" i="1" s="1"/>
  <c r="K930" i="1"/>
  <c r="K938" i="1" s="1"/>
  <c r="K940" i="1" s="1"/>
  <c r="J930" i="1"/>
  <c r="J938" i="1" s="1"/>
  <c r="J940" i="1" s="1"/>
  <c r="J942" i="1" s="1"/>
  <c r="I930" i="1"/>
  <c r="I938" i="1" s="1"/>
  <c r="I940" i="1" s="1"/>
  <c r="H930" i="1"/>
  <c r="H938" i="1" s="1"/>
  <c r="H940" i="1" s="1"/>
  <c r="H76" i="1" s="1"/>
  <c r="H78" i="1" s="1"/>
  <c r="G930" i="1"/>
  <c r="G938" i="1" s="1"/>
  <c r="G940" i="1" s="1"/>
  <c r="F930" i="1"/>
  <c r="F938" i="1" s="1"/>
  <c r="F940" i="1" s="1"/>
  <c r="E930" i="1"/>
  <c r="E938" i="1" s="1"/>
  <c r="E940" i="1" s="1"/>
  <c r="D930" i="1"/>
  <c r="Q930" i="1" s="1"/>
  <c r="Q938" i="1" s="1"/>
  <c r="Q940" i="1" s="1"/>
  <c r="O927" i="1"/>
  <c r="N927" i="1"/>
  <c r="M927" i="1"/>
  <c r="L927" i="1"/>
  <c r="K927" i="1"/>
  <c r="J927" i="1"/>
  <c r="I927" i="1"/>
  <c r="H927" i="1"/>
  <c r="G927" i="1"/>
  <c r="F927" i="1"/>
  <c r="E927" i="1"/>
  <c r="D927" i="1"/>
  <c r="Q927" i="1" s="1"/>
  <c r="O926" i="1"/>
  <c r="N926" i="1"/>
  <c r="M926" i="1"/>
  <c r="L926" i="1"/>
  <c r="K926" i="1"/>
  <c r="J926" i="1"/>
  <c r="I926" i="1"/>
  <c r="H926" i="1"/>
  <c r="G926" i="1"/>
  <c r="F926" i="1"/>
  <c r="E926" i="1"/>
  <c r="D926" i="1"/>
  <c r="Q926" i="1" s="1"/>
  <c r="O925" i="1"/>
  <c r="N925" i="1"/>
  <c r="M925" i="1"/>
  <c r="L925" i="1"/>
  <c r="K925" i="1"/>
  <c r="J925" i="1"/>
  <c r="I925" i="1"/>
  <c r="H925" i="1"/>
  <c r="G925" i="1"/>
  <c r="F925" i="1"/>
  <c r="E925" i="1"/>
  <c r="D925" i="1"/>
  <c r="Q925" i="1" s="1"/>
  <c r="O924" i="1"/>
  <c r="N924" i="1"/>
  <c r="M924" i="1"/>
  <c r="L924" i="1"/>
  <c r="K924" i="1"/>
  <c r="J924" i="1"/>
  <c r="I924" i="1"/>
  <c r="H924" i="1"/>
  <c r="Q924" i="1" s="1"/>
  <c r="G924" i="1"/>
  <c r="F924" i="1"/>
  <c r="E924" i="1"/>
  <c r="D924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Q923" i="1" s="1"/>
  <c r="O922" i="1"/>
  <c r="N922" i="1"/>
  <c r="M922" i="1"/>
  <c r="L922" i="1"/>
  <c r="K922" i="1"/>
  <c r="J922" i="1"/>
  <c r="I922" i="1"/>
  <c r="H922" i="1"/>
  <c r="Q922" i="1" s="1"/>
  <c r="G922" i="1"/>
  <c r="F922" i="1"/>
  <c r="E922" i="1"/>
  <c r="D922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Q921" i="1" s="1"/>
  <c r="O920" i="1"/>
  <c r="N920" i="1"/>
  <c r="M920" i="1"/>
  <c r="L920" i="1"/>
  <c r="K920" i="1"/>
  <c r="J920" i="1"/>
  <c r="I920" i="1"/>
  <c r="H920" i="1"/>
  <c r="G920" i="1"/>
  <c r="F920" i="1"/>
  <c r="E920" i="1"/>
  <c r="D920" i="1"/>
  <c r="Q920" i="1" s="1"/>
  <c r="O919" i="1"/>
  <c r="N919" i="1"/>
  <c r="M919" i="1"/>
  <c r="L919" i="1"/>
  <c r="K919" i="1"/>
  <c r="J919" i="1"/>
  <c r="I919" i="1"/>
  <c r="H919" i="1"/>
  <c r="G919" i="1"/>
  <c r="F919" i="1"/>
  <c r="E919" i="1"/>
  <c r="D919" i="1"/>
  <c r="Q919" i="1" s="1"/>
  <c r="O918" i="1"/>
  <c r="N918" i="1"/>
  <c r="M918" i="1"/>
  <c r="L918" i="1"/>
  <c r="K918" i="1"/>
  <c r="J918" i="1"/>
  <c r="I918" i="1"/>
  <c r="H918" i="1"/>
  <c r="G918" i="1"/>
  <c r="F918" i="1"/>
  <c r="E918" i="1"/>
  <c r="D918" i="1"/>
  <c r="Q918" i="1" s="1"/>
  <c r="O917" i="1"/>
  <c r="N917" i="1"/>
  <c r="M917" i="1"/>
  <c r="L917" i="1"/>
  <c r="K917" i="1"/>
  <c r="J917" i="1"/>
  <c r="I917" i="1"/>
  <c r="H917" i="1"/>
  <c r="G917" i="1"/>
  <c r="F917" i="1"/>
  <c r="E917" i="1"/>
  <c r="D917" i="1"/>
  <c r="Q917" i="1" s="1"/>
  <c r="O916" i="1"/>
  <c r="N916" i="1"/>
  <c r="M916" i="1"/>
  <c r="L916" i="1"/>
  <c r="K916" i="1"/>
  <c r="J916" i="1"/>
  <c r="I916" i="1"/>
  <c r="H916" i="1"/>
  <c r="Q916" i="1" s="1"/>
  <c r="G916" i="1"/>
  <c r="F916" i="1"/>
  <c r="E916" i="1"/>
  <c r="D916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Q915" i="1" s="1"/>
  <c r="O914" i="1"/>
  <c r="N914" i="1"/>
  <c r="M914" i="1"/>
  <c r="L914" i="1"/>
  <c r="K914" i="1"/>
  <c r="J914" i="1"/>
  <c r="I914" i="1"/>
  <c r="H914" i="1"/>
  <c r="Q914" i="1" s="1"/>
  <c r="G914" i="1"/>
  <c r="F914" i="1"/>
  <c r="E914" i="1"/>
  <c r="D914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Q913" i="1" s="1"/>
  <c r="O912" i="1"/>
  <c r="N912" i="1"/>
  <c r="M912" i="1"/>
  <c r="L912" i="1"/>
  <c r="K912" i="1"/>
  <c r="J912" i="1"/>
  <c r="I912" i="1"/>
  <c r="H912" i="1"/>
  <c r="G912" i="1"/>
  <c r="F912" i="1"/>
  <c r="E912" i="1"/>
  <c r="D912" i="1"/>
  <c r="Q912" i="1" s="1"/>
  <c r="O911" i="1"/>
  <c r="N911" i="1"/>
  <c r="M911" i="1"/>
  <c r="L911" i="1"/>
  <c r="K911" i="1"/>
  <c r="J911" i="1"/>
  <c r="I911" i="1"/>
  <c r="H911" i="1"/>
  <c r="G911" i="1"/>
  <c r="F911" i="1"/>
  <c r="E911" i="1"/>
  <c r="D911" i="1"/>
  <c r="Q911" i="1" s="1"/>
  <c r="O909" i="1"/>
  <c r="N909" i="1"/>
  <c r="M909" i="1"/>
  <c r="L909" i="1"/>
  <c r="K909" i="1"/>
  <c r="J909" i="1"/>
  <c r="I909" i="1"/>
  <c r="H909" i="1"/>
  <c r="G909" i="1"/>
  <c r="F909" i="1"/>
  <c r="E909" i="1"/>
  <c r="D909" i="1"/>
  <c r="Q909" i="1" s="1"/>
  <c r="O907" i="1"/>
  <c r="N907" i="1"/>
  <c r="M907" i="1"/>
  <c r="L907" i="1"/>
  <c r="K907" i="1"/>
  <c r="J907" i="1"/>
  <c r="I907" i="1"/>
  <c r="H907" i="1"/>
  <c r="G907" i="1"/>
  <c r="F907" i="1"/>
  <c r="E907" i="1"/>
  <c r="D907" i="1"/>
  <c r="Q907" i="1" s="1"/>
  <c r="O905" i="1"/>
  <c r="O942" i="1" s="1"/>
  <c r="N905" i="1"/>
  <c r="N942" i="1" s="1"/>
  <c r="M905" i="1"/>
  <c r="M942" i="1" s="1"/>
  <c r="L905" i="1"/>
  <c r="L942" i="1" s="1"/>
  <c r="K905" i="1"/>
  <c r="K942" i="1" s="1"/>
  <c r="J905" i="1"/>
  <c r="I905" i="1"/>
  <c r="I942" i="1" s="1"/>
  <c r="H905" i="1"/>
  <c r="H942" i="1" s="1"/>
  <c r="G905" i="1"/>
  <c r="G942" i="1" s="1"/>
  <c r="F905" i="1"/>
  <c r="F942" i="1" s="1"/>
  <c r="E905" i="1"/>
  <c r="E942" i="1" s="1"/>
  <c r="D905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Q902" i="1" s="1"/>
  <c r="O899" i="1"/>
  <c r="N899" i="1"/>
  <c r="M899" i="1"/>
  <c r="L899" i="1"/>
  <c r="K899" i="1"/>
  <c r="J899" i="1"/>
  <c r="I899" i="1"/>
  <c r="H899" i="1"/>
  <c r="Q899" i="1" s="1"/>
  <c r="G899" i="1"/>
  <c r="F899" i="1"/>
  <c r="E899" i="1"/>
  <c r="D899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Q898" i="1" s="1"/>
  <c r="O897" i="1"/>
  <c r="N897" i="1"/>
  <c r="M897" i="1"/>
  <c r="L897" i="1"/>
  <c r="K897" i="1"/>
  <c r="J897" i="1"/>
  <c r="I897" i="1"/>
  <c r="H897" i="1"/>
  <c r="G897" i="1"/>
  <c r="F897" i="1"/>
  <c r="E897" i="1"/>
  <c r="D897" i="1"/>
  <c r="Q897" i="1" s="1"/>
  <c r="O896" i="1"/>
  <c r="N896" i="1"/>
  <c r="M896" i="1"/>
  <c r="L896" i="1"/>
  <c r="K896" i="1"/>
  <c r="J896" i="1"/>
  <c r="I896" i="1"/>
  <c r="H896" i="1"/>
  <c r="G896" i="1"/>
  <c r="F896" i="1"/>
  <c r="E896" i="1"/>
  <c r="D896" i="1"/>
  <c r="Q896" i="1" s="1"/>
  <c r="O895" i="1"/>
  <c r="N895" i="1"/>
  <c r="M895" i="1"/>
  <c r="L895" i="1"/>
  <c r="K895" i="1"/>
  <c r="J895" i="1"/>
  <c r="I895" i="1"/>
  <c r="H895" i="1"/>
  <c r="G895" i="1"/>
  <c r="F895" i="1"/>
  <c r="E895" i="1"/>
  <c r="D895" i="1"/>
  <c r="Q895" i="1" s="1"/>
  <c r="O894" i="1"/>
  <c r="N894" i="1"/>
  <c r="M894" i="1"/>
  <c r="L894" i="1"/>
  <c r="K894" i="1"/>
  <c r="J894" i="1"/>
  <c r="I894" i="1"/>
  <c r="H894" i="1"/>
  <c r="G894" i="1"/>
  <c r="F894" i="1"/>
  <c r="E894" i="1"/>
  <c r="D894" i="1"/>
  <c r="Q894" i="1" s="1"/>
  <c r="O893" i="1"/>
  <c r="N893" i="1"/>
  <c r="M893" i="1"/>
  <c r="L893" i="1"/>
  <c r="K893" i="1"/>
  <c r="J893" i="1"/>
  <c r="I893" i="1"/>
  <c r="H893" i="1"/>
  <c r="Q893" i="1" s="1"/>
  <c r="G893" i="1"/>
  <c r="F893" i="1"/>
  <c r="E893" i="1"/>
  <c r="D893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Q892" i="1" s="1"/>
  <c r="O891" i="1"/>
  <c r="N891" i="1"/>
  <c r="M891" i="1"/>
  <c r="L891" i="1"/>
  <c r="K891" i="1"/>
  <c r="J891" i="1"/>
  <c r="I891" i="1"/>
  <c r="H891" i="1"/>
  <c r="Q891" i="1" s="1"/>
  <c r="G891" i="1"/>
  <c r="F891" i="1"/>
  <c r="E891" i="1"/>
  <c r="D891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Q890" i="1" s="1"/>
  <c r="O889" i="1"/>
  <c r="N889" i="1"/>
  <c r="M889" i="1"/>
  <c r="L889" i="1"/>
  <c r="K889" i="1"/>
  <c r="J889" i="1"/>
  <c r="I889" i="1"/>
  <c r="H889" i="1"/>
  <c r="G889" i="1"/>
  <c r="F889" i="1"/>
  <c r="E889" i="1"/>
  <c r="D889" i="1"/>
  <c r="Q889" i="1" s="1"/>
  <c r="O885" i="1"/>
  <c r="N885" i="1"/>
  <c r="M885" i="1"/>
  <c r="L885" i="1"/>
  <c r="K885" i="1"/>
  <c r="J885" i="1"/>
  <c r="I885" i="1"/>
  <c r="H885" i="1"/>
  <c r="G885" i="1"/>
  <c r="F885" i="1"/>
  <c r="E885" i="1"/>
  <c r="D885" i="1"/>
  <c r="Q885" i="1" s="1"/>
  <c r="O884" i="1"/>
  <c r="N884" i="1"/>
  <c r="M884" i="1"/>
  <c r="L884" i="1"/>
  <c r="K884" i="1"/>
  <c r="J884" i="1"/>
  <c r="I884" i="1"/>
  <c r="H884" i="1"/>
  <c r="G884" i="1"/>
  <c r="F884" i="1"/>
  <c r="E884" i="1"/>
  <c r="D884" i="1"/>
  <c r="Q884" i="1" s="1"/>
  <c r="O883" i="1"/>
  <c r="N883" i="1"/>
  <c r="M883" i="1"/>
  <c r="L883" i="1"/>
  <c r="K883" i="1"/>
  <c r="J883" i="1"/>
  <c r="I883" i="1"/>
  <c r="H883" i="1"/>
  <c r="Q883" i="1" s="1"/>
  <c r="G883" i="1"/>
  <c r="F883" i="1"/>
  <c r="E883" i="1"/>
  <c r="D883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Q882" i="1" s="1"/>
  <c r="O881" i="1"/>
  <c r="N881" i="1"/>
  <c r="M881" i="1"/>
  <c r="L881" i="1"/>
  <c r="K881" i="1"/>
  <c r="J881" i="1"/>
  <c r="I881" i="1"/>
  <c r="H881" i="1"/>
  <c r="Q881" i="1" s="1"/>
  <c r="G881" i="1"/>
  <c r="F881" i="1"/>
  <c r="E881" i="1"/>
  <c r="D881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Q880" i="1" s="1"/>
  <c r="O879" i="1"/>
  <c r="N879" i="1"/>
  <c r="M879" i="1"/>
  <c r="L879" i="1"/>
  <c r="K879" i="1"/>
  <c r="J879" i="1"/>
  <c r="I879" i="1"/>
  <c r="H879" i="1"/>
  <c r="G879" i="1"/>
  <c r="F879" i="1"/>
  <c r="E879" i="1"/>
  <c r="D879" i="1"/>
  <c r="Q879" i="1" s="1"/>
  <c r="O878" i="1"/>
  <c r="N878" i="1"/>
  <c r="M878" i="1"/>
  <c r="L878" i="1"/>
  <c r="K878" i="1"/>
  <c r="J878" i="1"/>
  <c r="I878" i="1"/>
  <c r="H878" i="1"/>
  <c r="G878" i="1"/>
  <c r="F878" i="1"/>
  <c r="E878" i="1"/>
  <c r="D878" i="1"/>
  <c r="Q878" i="1" s="1"/>
  <c r="O877" i="1"/>
  <c r="N877" i="1"/>
  <c r="M877" i="1"/>
  <c r="L877" i="1"/>
  <c r="K877" i="1"/>
  <c r="J877" i="1"/>
  <c r="I877" i="1"/>
  <c r="H877" i="1"/>
  <c r="G877" i="1"/>
  <c r="F877" i="1"/>
  <c r="E877" i="1"/>
  <c r="D877" i="1"/>
  <c r="Q877" i="1" s="1"/>
  <c r="O876" i="1"/>
  <c r="N876" i="1"/>
  <c r="M876" i="1"/>
  <c r="L876" i="1"/>
  <c r="K876" i="1"/>
  <c r="J876" i="1"/>
  <c r="I876" i="1"/>
  <c r="H876" i="1"/>
  <c r="G876" i="1"/>
  <c r="F876" i="1"/>
  <c r="E876" i="1"/>
  <c r="D876" i="1"/>
  <c r="Q876" i="1" s="1"/>
  <c r="O875" i="1"/>
  <c r="N875" i="1"/>
  <c r="M875" i="1"/>
  <c r="L875" i="1"/>
  <c r="K875" i="1"/>
  <c r="J875" i="1"/>
  <c r="I875" i="1"/>
  <c r="H875" i="1"/>
  <c r="Q875" i="1" s="1"/>
  <c r="G875" i="1"/>
  <c r="F875" i="1"/>
  <c r="E875" i="1"/>
  <c r="D875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Q874" i="1" s="1"/>
  <c r="O873" i="1"/>
  <c r="N873" i="1"/>
  <c r="M873" i="1"/>
  <c r="L873" i="1"/>
  <c r="K873" i="1"/>
  <c r="J873" i="1"/>
  <c r="I873" i="1"/>
  <c r="H873" i="1"/>
  <c r="Q873" i="1" s="1"/>
  <c r="G873" i="1"/>
  <c r="F873" i="1"/>
  <c r="E873" i="1"/>
  <c r="D873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Q872" i="1" s="1"/>
  <c r="O871" i="1"/>
  <c r="N871" i="1"/>
  <c r="M871" i="1"/>
  <c r="L871" i="1"/>
  <c r="K871" i="1"/>
  <c r="J871" i="1"/>
  <c r="I871" i="1"/>
  <c r="H871" i="1"/>
  <c r="G871" i="1"/>
  <c r="F871" i="1"/>
  <c r="E871" i="1"/>
  <c r="D871" i="1"/>
  <c r="Q871" i="1" s="1"/>
  <c r="O870" i="1"/>
  <c r="N870" i="1"/>
  <c r="M870" i="1"/>
  <c r="L870" i="1"/>
  <c r="K870" i="1"/>
  <c r="J870" i="1"/>
  <c r="I870" i="1"/>
  <c r="H870" i="1"/>
  <c r="G870" i="1"/>
  <c r="F870" i="1"/>
  <c r="E870" i="1"/>
  <c r="D870" i="1"/>
  <c r="Q870" i="1" s="1"/>
  <c r="O869" i="1"/>
  <c r="N869" i="1"/>
  <c r="M869" i="1"/>
  <c r="L869" i="1"/>
  <c r="K869" i="1"/>
  <c r="J869" i="1"/>
  <c r="I869" i="1"/>
  <c r="H869" i="1"/>
  <c r="G869" i="1"/>
  <c r="F869" i="1"/>
  <c r="E869" i="1"/>
  <c r="D869" i="1"/>
  <c r="Q869" i="1" s="1"/>
  <c r="O868" i="1"/>
  <c r="N868" i="1"/>
  <c r="M868" i="1"/>
  <c r="L868" i="1"/>
  <c r="K868" i="1"/>
  <c r="J868" i="1"/>
  <c r="I868" i="1"/>
  <c r="H868" i="1"/>
  <c r="G868" i="1"/>
  <c r="F868" i="1"/>
  <c r="E868" i="1"/>
  <c r="D868" i="1"/>
  <c r="Q868" i="1" s="1"/>
  <c r="O867" i="1"/>
  <c r="N867" i="1"/>
  <c r="M867" i="1"/>
  <c r="L867" i="1"/>
  <c r="K867" i="1"/>
  <c r="J867" i="1"/>
  <c r="I867" i="1"/>
  <c r="H867" i="1"/>
  <c r="Q867" i="1" s="1"/>
  <c r="G867" i="1"/>
  <c r="F867" i="1"/>
  <c r="E867" i="1"/>
  <c r="D867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Q866" i="1" s="1"/>
  <c r="O865" i="1"/>
  <c r="N865" i="1"/>
  <c r="M865" i="1"/>
  <c r="L865" i="1"/>
  <c r="K865" i="1"/>
  <c r="J865" i="1"/>
  <c r="I865" i="1"/>
  <c r="H865" i="1"/>
  <c r="Q865" i="1" s="1"/>
  <c r="G865" i="1"/>
  <c r="F865" i="1"/>
  <c r="E865" i="1"/>
  <c r="D865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Q864" i="1" s="1"/>
  <c r="O863" i="1"/>
  <c r="N863" i="1"/>
  <c r="M863" i="1"/>
  <c r="L863" i="1"/>
  <c r="K863" i="1"/>
  <c r="J863" i="1"/>
  <c r="I863" i="1"/>
  <c r="H863" i="1"/>
  <c r="G863" i="1"/>
  <c r="F863" i="1"/>
  <c r="E863" i="1"/>
  <c r="D863" i="1"/>
  <c r="Q863" i="1" s="1"/>
  <c r="O862" i="1"/>
  <c r="N862" i="1"/>
  <c r="M862" i="1"/>
  <c r="L862" i="1"/>
  <c r="K862" i="1"/>
  <c r="J862" i="1"/>
  <c r="I862" i="1"/>
  <c r="H862" i="1"/>
  <c r="G862" i="1"/>
  <c r="F862" i="1"/>
  <c r="E862" i="1"/>
  <c r="D862" i="1"/>
  <c r="Q862" i="1" s="1"/>
  <c r="O861" i="1"/>
  <c r="N861" i="1"/>
  <c r="M861" i="1"/>
  <c r="L861" i="1"/>
  <c r="K861" i="1"/>
  <c r="J861" i="1"/>
  <c r="I861" i="1"/>
  <c r="H861" i="1"/>
  <c r="G861" i="1"/>
  <c r="F861" i="1"/>
  <c r="E861" i="1"/>
  <c r="D861" i="1"/>
  <c r="Q861" i="1" s="1"/>
  <c r="O860" i="1"/>
  <c r="N860" i="1"/>
  <c r="M860" i="1"/>
  <c r="L860" i="1"/>
  <c r="K860" i="1"/>
  <c r="J860" i="1"/>
  <c r="I860" i="1"/>
  <c r="H860" i="1"/>
  <c r="G860" i="1"/>
  <c r="F860" i="1"/>
  <c r="E860" i="1"/>
  <c r="Q860" i="1" s="1"/>
  <c r="D860" i="1"/>
  <c r="O859" i="1"/>
  <c r="N859" i="1"/>
  <c r="M859" i="1"/>
  <c r="L859" i="1"/>
  <c r="K859" i="1"/>
  <c r="J859" i="1"/>
  <c r="I859" i="1"/>
  <c r="H859" i="1"/>
  <c r="Q859" i="1" s="1"/>
  <c r="G859" i="1"/>
  <c r="F859" i="1"/>
  <c r="E859" i="1"/>
  <c r="D859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Q858" i="1" s="1"/>
  <c r="O857" i="1"/>
  <c r="N857" i="1"/>
  <c r="M857" i="1"/>
  <c r="L857" i="1"/>
  <c r="K857" i="1"/>
  <c r="J857" i="1"/>
  <c r="I857" i="1"/>
  <c r="H857" i="1"/>
  <c r="Q857" i="1" s="1"/>
  <c r="G857" i="1"/>
  <c r="F857" i="1"/>
  <c r="E857" i="1"/>
  <c r="D857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Q856" i="1" s="1"/>
  <c r="O855" i="1"/>
  <c r="N855" i="1"/>
  <c r="M855" i="1"/>
  <c r="L855" i="1"/>
  <c r="K855" i="1"/>
  <c r="J855" i="1"/>
  <c r="I855" i="1"/>
  <c r="H855" i="1"/>
  <c r="G855" i="1"/>
  <c r="F855" i="1"/>
  <c r="E855" i="1"/>
  <c r="D855" i="1"/>
  <c r="Q855" i="1" s="1"/>
  <c r="O853" i="1"/>
  <c r="N853" i="1"/>
  <c r="M853" i="1"/>
  <c r="L853" i="1"/>
  <c r="K853" i="1"/>
  <c r="J853" i="1"/>
  <c r="I853" i="1"/>
  <c r="I886" i="1" s="1"/>
  <c r="H853" i="1"/>
  <c r="G853" i="1"/>
  <c r="F853" i="1"/>
  <c r="E853" i="1"/>
  <c r="D853" i="1"/>
  <c r="Q853" i="1" s="1"/>
  <c r="O852" i="1"/>
  <c r="N852" i="1"/>
  <c r="M852" i="1"/>
  <c r="L852" i="1"/>
  <c r="K852" i="1"/>
  <c r="J852" i="1"/>
  <c r="I852" i="1"/>
  <c r="H852" i="1"/>
  <c r="G852" i="1"/>
  <c r="F852" i="1"/>
  <c r="E852" i="1"/>
  <c r="D852" i="1"/>
  <c r="Q852" i="1" s="1"/>
  <c r="O851" i="1"/>
  <c r="N851" i="1"/>
  <c r="M851" i="1"/>
  <c r="L851" i="1"/>
  <c r="K851" i="1"/>
  <c r="J851" i="1"/>
  <c r="I851" i="1"/>
  <c r="H851" i="1"/>
  <c r="G851" i="1"/>
  <c r="F851" i="1"/>
  <c r="E851" i="1"/>
  <c r="Q851" i="1" s="1"/>
  <c r="D851" i="1"/>
  <c r="O850" i="1"/>
  <c r="N850" i="1"/>
  <c r="M850" i="1"/>
  <c r="L850" i="1"/>
  <c r="K850" i="1"/>
  <c r="J850" i="1"/>
  <c r="I850" i="1"/>
  <c r="H850" i="1"/>
  <c r="Q850" i="1" s="1"/>
  <c r="G850" i="1"/>
  <c r="F850" i="1"/>
  <c r="E850" i="1"/>
  <c r="D850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Q849" i="1" s="1"/>
  <c r="O848" i="1"/>
  <c r="N848" i="1"/>
  <c r="M848" i="1"/>
  <c r="L848" i="1"/>
  <c r="K848" i="1"/>
  <c r="J848" i="1"/>
  <c r="I848" i="1"/>
  <c r="H848" i="1"/>
  <c r="Q848" i="1" s="1"/>
  <c r="G848" i="1"/>
  <c r="F848" i="1"/>
  <c r="E848" i="1"/>
  <c r="D848" i="1"/>
  <c r="O846" i="1"/>
  <c r="O886" i="1" s="1"/>
  <c r="N846" i="1"/>
  <c r="N886" i="1" s="1"/>
  <c r="M846" i="1"/>
  <c r="M886" i="1" s="1"/>
  <c r="L846" i="1"/>
  <c r="L886" i="1" s="1"/>
  <c r="K846" i="1"/>
  <c r="K886" i="1" s="1"/>
  <c r="J846" i="1"/>
  <c r="J886" i="1" s="1"/>
  <c r="I846" i="1"/>
  <c r="H846" i="1"/>
  <c r="H886" i="1" s="1"/>
  <c r="G846" i="1"/>
  <c r="G886" i="1" s="1"/>
  <c r="F846" i="1"/>
  <c r="F886" i="1" s="1"/>
  <c r="E846" i="1"/>
  <c r="E886" i="1" s="1"/>
  <c r="D846" i="1"/>
  <c r="D886" i="1" s="1"/>
  <c r="Q886" i="1" s="1"/>
  <c r="O845" i="1"/>
  <c r="N845" i="1"/>
  <c r="M845" i="1"/>
  <c r="L845" i="1"/>
  <c r="K845" i="1"/>
  <c r="J845" i="1"/>
  <c r="I845" i="1"/>
  <c r="H845" i="1"/>
  <c r="G845" i="1"/>
  <c r="F845" i="1"/>
  <c r="E845" i="1"/>
  <c r="D845" i="1"/>
  <c r="Q845" i="1" s="1"/>
  <c r="O844" i="1"/>
  <c r="N844" i="1"/>
  <c r="M844" i="1"/>
  <c r="L844" i="1"/>
  <c r="K844" i="1"/>
  <c r="J844" i="1"/>
  <c r="I844" i="1"/>
  <c r="H844" i="1"/>
  <c r="G844" i="1"/>
  <c r="F844" i="1"/>
  <c r="E844" i="1"/>
  <c r="D844" i="1"/>
  <c r="Q844" i="1" s="1"/>
  <c r="O843" i="1"/>
  <c r="N843" i="1"/>
  <c r="M843" i="1"/>
  <c r="L843" i="1"/>
  <c r="K843" i="1"/>
  <c r="J843" i="1"/>
  <c r="I843" i="1"/>
  <c r="H843" i="1"/>
  <c r="G843" i="1"/>
  <c r="F843" i="1"/>
  <c r="E843" i="1"/>
  <c r="D843" i="1"/>
  <c r="Q843" i="1" s="1"/>
  <c r="O842" i="1"/>
  <c r="N842" i="1"/>
  <c r="M842" i="1"/>
  <c r="L842" i="1"/>
  <c r="K842" i="1"/>
  <c r="J842" i="1"/>
  <c r="I842" i="1"/>
  <c r="H842" i="1"/>
  <c r="G842" i="1"/>
  <c r="F842" i="1"/>
  <c r="E842" i="1"/>
  <c r="D842" i="1"/>
  <c r="Q842" i="1" s="1"/>
  <c r="O841" i="1"/>
  <c r="N841" i="1"/>
  <c r="M841" i="1"/>
  <c r="L841" i="1"/>
  <c r="K841" i="1"/>
  <c r="J841" i="1"/>
  <c r="I841" i="1"/>
  <c r="H841" i="1"/>
  <c r="Q841" i="1" s="1"/>
  <c r="G841" i="1"/>
  <c r="F841" i="1"/>
  <c r="E841" i="1"/>
  <c r="D841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Q840" i="1" s="1"/>
  <c r="O839" i="1"/>
  <c r="N839" i="1"/>
  <c r="M839" i="1"/>
  <c r="L839" i="1"/>
  <c r="K839" i="1"/>
  <c r="J839" i="1"/>
  <c r="I839" i="1"/>
  <c r="H839" i="1"/>
  <c r="Q839" i="1" s="1"/>
  <c r="G839" i="1"/>
  <c r="F839" i="1"/>
  <c r="E839" i="1"/>
  <c r="D839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Q838" i="1" s="1"/>
  <c r="O837" i="1"/>
  <c r="N837" i="1"/>
  <c r="M837" i="1"/>
  <c r="L837" i="1"/>
  <c r="K837" i="1"/>
  <c r="J837" i="1"/>
  <c r="I837" i="1"/>
  <c r="H837" i="1"/>
  <c r="G837" i="1"/>
  <c r="F837" i="1"/>
  <c r="E837" i="1"/>
  <c r="D837" i="1"/>
  <c r="Q837" i="1" s="1"/>
  <c r="O836" i="1"/>
  <c r="N836" i="1"/>
  <c r="M836" i="1"/>
  <c r="L836" i="1"/>
  <c r="K836" i="1"/>
  <c r="J836" i="1"/>
  <c r="I836" i="1"/>
  <c r="H836" i="1"/>
  <c r="G836" i="1"/>
  <c r="F836" i="1"/>
  <c r="E836" i="1"/>
  <c r="D836" i="1"/>
  <c r="Q836" i="1" s="1"/>
  <c r="O835" i="1"/>
  <c r="N835" i="1"/>
  <c r="M835" i="1"/>
  <c r="L835" i="1"/>
  <c r="K835" i="1"/>
  <c r="J835" i="1"/>
  <c r="I835" i="1"/>
  <c r="H835" i="1"/>
  <c r="G835" i="1"/>
  <c r="F835" i="1"/>
  <c r="E835" i="1"/>
  <c r="D835" i="1"/>
  <c r="Q835" i="1" s="1"/>
  <c r="O834" i="1"/>
  <c r="N834" i="1"/>
  <c r="M834" i="1"/>
  <c r="L834" i="1"/>
  <c r="K834" i="1"/>
  <c r="J834" i="1"/>
  <c r="I834" i="1"/>
  <c r="H834" i="1"/>
  <c r="G834" i="1"/>
  <c r="F834" i="1"/>
  <c r="E834" i="1"/>
  <c r="D834" i="1"/>
  <c r="Q834" i="1" s="1"/>
  <c r="O833" i="1"/>
  <c r="N833" i="1"/>
  <c r="M833" i="1"/>
  <c r="L833" i="1"/>
  <c r="K833" i="1"/>
  <c r="J833" i="1"/>
  <c r="I833" i="1"/>
  <c r="H833" i="1"/>
  <c r="Q833" i="1" s="1"/>
  <c r="G833" i="1"/>
  <c r="F833" i="1"/>
  <c r="E833" i="1"/>
  <c r="D833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Q832" i="1" s="1"/>
  <c r="O831" i="1"/>
  <c r="N831" i="1"/>
  <c r="M831" i="1"/>
  <c r="L831" i="1"/>
  <c r="K831" i="1"/>
  <c r="J831" i="1"/>
  <c r="I831" i="1"/>
  <c r="H831" i="1"/>
  <c r="Q831" i="1" s="1"/>
  <c r="G831" i="1"/>
  <c r="F831" i="1"/>
  <c r="E831" i="1"/>
  <c r="D831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Q830" i="1" s="1"/>
  <c r="L827" i="1"/>
  <c r="J827" i="1"/>
  <c r="D827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Q826" i="1" s="1"/>
  <c r="O825" i="1"/>
  <c r="N825" i="1"/>
  <c r="M825" i="1"/>
  <c r="L825" i="1"/>
  <c r="K825" i="1"/>
  <c r="J825" i="1"/>
  <c r="I825" i="1"/>
  <c r="H825" i="1"/>
  <c r="G825" i="1"/>
  <c r="F825" i="1"/>
  <c r="E825" i="1"/>
  <c r="D825" i="1"/>
  <c r="Q825" i="1" s="1"/>
  <c r="O824" i="1"/>
  <c r="N824" i="1"/>
  <c r="M824" i="1"/>
  <c r="L824" i="1"/>
  <c r="K824" i="1"/>
  <c r="J824" i="1"/>
  <c r="I824" i="1"/>
  <c r="H824" i="1"/>
  <c r="G824" i="1"/>
  <c r="F824" i="1"/>
  <c r="E824" i="1"/>
  <c r="D824" i="1"/>
  <c r="Q824" i="1" s="1"/>
  <c r="O823" i="1"/>
  <c r="N823" i="1"/>
  <c r="M823" i="1"/>
  <c r="L823" i="1"/>
  <c r="K823" i="1"/>
  <c r="J823" i="1"/>
  <c r="I823" i="1"/>
  <c r="H823" i="1"/>
  <c r="Q823" i="1" s="1"/>
  <c r="G823" i="1"/>
  <c r="F823" i="1"/>
  <c r="E823" i="1"/>
  <c r="D823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Q822" i="1" s="1"/>
  <c r="O821" i="1"/>
  <c r="N821" i="1"/>
  <c r="M821" i="1"/>
  <c r="L821" i="1"/>
  <c r="K821" i="1"/>
  <c r="J821" i="1"/>
  <c r="I821" i="1"/>
  <c r="H821" i="1"/>
  <c r="Q821" i="1" s="1"/>
  <c r="G821" i="1"/>
  <c r="F821" i="1"/>
  <c r="E821" i="1"/>
  <c r="D821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Q820" i="1" s="1"/>
  <c r="O819" i="1"/>
  <c r="N819" i="1"/>
  <c r="M819" i="1"/>
  <c r="L819" i="1"/>
  <c r="K819" i="1"/>
  <c r="J819" i="1"/>
  <c r="I819" i="1"/>
  <c r="H819" i="1"/>
  <c r="G819" i="1"/>
  <c r="F819" i="1"/>
  <c r="E819" i="1"/>
  <c r="D819" i="1"/>
  <c r="Q819" i="1" s="1"/>
  <c r="O818" i="1"/>
  <c r="N818" i="1"/>
  <c r="M818" i="1"/>
  <c r="L818" i="1"/>
  <c r="K818" i="1"/>
  <c r="J818" i="1"/>
  <c r="I818" i="1"/>
  <c r="H818" i="1"/>
  <c r="G818" i="1"/>
  <c r="F818" i="1"/>
  <c r="E818" i="1"/>
  <c r="D818" i="1"/>
  <c r="Q818" i="1" s="1"/>
  <c r="O817" i="1"/>
  <c r="N817" i="1"/>
  <c r="M817" i="1"/>
  <c r="L817" i="1"/>
  <c r="K817" i="1"/>
  <c r="J817" i="1"/>
  <c r="I817" i="1"/>
  <c r="H817" i="1"/>
  <c r="G817" i="1"/>
  <c r="F817" i="1"/>
  <c r="E817" i="1"/>
  <c r="D817" i="1"/>
  <c r="Q817" i="1" s="1"/>
  <c r="O816" i="1"/>
  <c r="N816" i="1"/>
  <c r="M816" i="1"/>
  <c r="L816" i="1"/>
  <c r="K816" i="1"/>
  <c r="J816" i="1"/>
  <c r="I816" i="1"/>
  <c r="H816" i="1"/>
  <c r="G816" i="1"/>
  <c r="F816" i="1"/>
  <c r="E816" i="1"/>
  <c r="D816" i="1"/>
  <c r="Q816" i="1" s="1"/>
  <c r="O815" i="1"/>
  <c r="N815" i="1"/>
  <c r="M815" i="1"/>
  <c r="L815" i="1"/>
  <c r="K815" i="1"/>
  <c r="J815" i="1"/>
  <c r="I815" i="1"/>
  <c r="H815" i="1"/>
  <c r="Q815" i="1" s="1"/>
  <c r="G815" i="1"/>
  <c r="F815" i="1"/>
  <c r="E815" i="1"/>
  <c r="D815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Q814" i="1" s="1"/>
  <c r="O813" i="1"/>
  <c r="N813" i="1"/>
  <c r="M813" i="1"/>
  <c r="L813" i="1"/>
  <c r="K813" i="1"/>
  <c r="J813" i="1"/>
  <c r="I813" i="1"/>
  <c r="H813" i="1"/>
  <c r="Q813" i="1" s="1"/>
  <c r="G813" i="1"/>
  <c r="F813" i="1"/>
  <c r="E813" i="1"/>
  <c r="D813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Q812" i="1" s="1"/>
  <c r="O811" i="1"/>
  <c r="N811" i="1"/>
  <c r="M811" i="1"/>
  <c r="L811" i="1"/>
  <c r="K811" i="1"/>
  <c r="J811" i="1"/>
  <c r="I811" i="1"/>
  <c r="H811" i="1"/>
  <c r="G811" i="1"/>
  <c r="F811" i="1"/>
  <c r="E811" i="1"/>
  <c r="D811" i="1"/>
  <c r="Q811" i="1" s="1"/>
  <c r="O810" i="1"/>
  <c r="N810" i="1"/>
  <c r="M810" i="1"/>
  <c r="L810" i="1"/>
  <c r="K810" i="1"/>
  <c r="J810" i="1"/>
  <c r="I810" i="1"/>
  <c r="H810" i="1"/>
  <c r="G810" i="1"/>
  <c r="F810" i="1"/>
  <c r="E810" i="1"/>
  <c r="D810" i="1"/>
  <c r="Q810" i="1" s="1"/>
  <c r="O809" i="1"/>
  <c r="N809" i="1"/>
  <c r="M809" i="1"/>
  <c r="L809" i="1"/>
  <c r="K809" i="1"/>
  <c r="J809" i="1"/>
  <c r="I809" i="1"/>
  <c r="H809" i="1"/>
  <c r="G809" i="1"/>
  <c r="F809" i="1"/>
  <c r="E809" i="1"/>
  <c r="D809" i="1"/>
  <c r="Q809" i="1" s="1"/>
  <c r="O808" i="1"/>
  <c r="N808" i="1"/>
  <c r="M808" i="1"/>
  <c r="L808" i="1"/>
  <c r="K808" i="1"/>
  <c r="J808" i="1"/>
  <c r="I808" i="1"/>
  <c r="H808" i="1"/>
  <c r="G808" i="1"/>
  <c r="F808" i="1"/>
  <c r="E808" i="1"/>
  <c r="D808" i="1"/>
  <c r="Q808" i="1" s="1"/>
  <c r="O807" i="1"/>
  <c r="N807" i="1"/>
  <c r="M807" i="1"/>
  <c r="L807" i="1"/>
  <c r="K807" i="1"/>
  <c r="J807" i="1"/>
  <c r="I807" i="1"/>
  <c r="H807" i="1"/>
  <c r="Q807" i="1" s="1"/>
  <c r="G807" i="1"/>
  <c r="F807" i="1"/>
  <c r="E807" i="1"/>
  <c r="D807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Q806" i="1" s="1"/>
  <c r="O805" i="1"/>
  <c r="N805" i="1"/>
  <c r="M805" i="1"/>
  <c r="L805" i="1"/>
  <c r="K805" i="1"/>
  <c r="J805" i="1"/>
  <c r="I805" i="1"/>
  <c r="H805" i="1"/>
  <c r="Q805" i="1" s="1"/>
  <c r="G805" i="1"/>
  <c r="F805" i="1"/>
  <c r="E805" i="1"/>
  <c r="D805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Q804" i="1" s="1"/>
  <c r="O803" i="1"/>
  <c r="N803" i="1"/>
  <c r="M803" i="1"/>
  <c r="L803" i="1"/>
  <c r="K803" i="1"/>
  <c r="J803" i="1"/>
  <c r="I803" i="1"/>
  <c r="H803" i="1"/>
  <c r="G803" i="1"/>
  <c r="F803" i="1"/>
  <c r="E803" i="1"/>
  <c r="D803" i="1"/>
  <c r="Q803" i="1" s="1"/>
  <c r="O802" i="1"/>
  <c r="N802" i="1"/>
  <c r="M802" i="1"/>
  <c r="L802" i="1"/>
  <c r="K802" i="1"/>
  <c r="J802" i="1"/>
  <c r="I802" i="1"/>
  <c r="H802" i="1"/>
  <c r="G802" i="1"/>
  <c r="F802" i="1"/>
  <c r="E802" i="1"/>
  <c r="D802" i="1"/>
  <c r="Q802" i="1" s="1"/>
  <c r="O801" i="1"/>
  <c r="N801" i="1"/>
  <c r="M801" i="1"/>
  <c r="L801" i="1"/>
  <c r="K801" i="1"/>
  <c r="J801" i="1"/>
  <c r="I801" i="1"/>
  <c r="H801" i="1"/>
  <c r="G801" i="1"/>
  <c r="F801" i="1"/>
  <c r="E801" i="1"/>
  <c r="D801" i="1"/>
  <c r="Q801" i="1" s="1"/>
  <c r="O800" i="1"/>
  <c r="N800" i="1"/>
  <c r="M800" i="1"/>
  <c r="L800" i="1"/>
  <c r="K800" i="1"/>
  <c r="J800" i="1"/>
  <c r="I800" i="1"/>
  <c r="H800" i="1"/>
  <c r="G800" i="1"/>
  <c r="F800" i="1"/>
  <c r="E800" i="1"/>
  <c r="D800" i="1"/>
  <c r="Q800" i="1" s="1"/>
  <c r="O799" i="1"/>
  <c r="N799" i="1"/>
  <c r="M799" i="1"/>
  <c r="L799" i="1"/>
  <c r="K799" i="1"/>
  <c r="J799" i="1"/>
  <c r="I799" i="1"/>
  <c r="H799" i="1"/>
  <c r="Q799" i="1" s="1"/>
  <c r="G799" i="1"/>
  <c r="F799" i="1"/>
  <c r="E799" i="1"/>
  <c r="D799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Q798" i="1" s="1"/>
  <c r="O797" i="1"/>
  <c r="N797" i="1"/>
  <c r="M797" i="1"/>
  <c r="L797" i="1"/>
  <c r="K797" i="1"/>
  <c r="J797" i="1"/>
  <c r="I797" i="1"/>
  <c r="H797" i="1"/>
  <c r="Q797" i="1" s="1"/>
  <c r="G797" i="1"/>
  <c r="F797" i="1"/>
  <c r="E797" i="1"/>
  <c r="D797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Q796" i="1" s="1"/>
  <c r="O795" i="1"/>
  <c r="N795" i="1"/>
  <c r="M795" i="1"/>
  <c r="L795" i="1"/>
  <c r="K795" i="1"/>
  <c r="J795" i="1"/>
  <c r="I795" i="1"/>
  <c r="H795" i="1"/>
  <c r="G795" i="1"/>
  <c r="F795" i="1"/>
  <c r="E795" i="1"/>
  <c r="D795" i="1"/>
  <c r="Q795" i="1" s="1"/>
  <c r="O794" i="1"/>
  <c r="N794" i="1"/>
  <c r="M794" i="1"/>
  <c r="L794" i="1"/>
  <c r="K794" i="1"/>
  <c r="J794" i="1"/>
  <c r="I794" i="1"/>
  <c r="H794" i="1"/>
  <c r="G794" i="1"/>
  <c r="F794" i="1"/>
  <c r="E794" i="1"/>
  <c r="D794" i="1"/>
  <c r="Q794" i="1" s="1"/>
  <c r="O792" i="1"/>
  <c r="O827" i="1" s="1"/>
  <c r="N792" i="1"/>
  <c r="N827" i="1" s="1"/>
  <c r="M792" i="1"/>
  <c r="M827" i="1" s="1"/>
  <c r="L792" i="1"/>
  <c r="K792" i="1"/>
  <c r="K827" i="1" s="1"/>
  <c r="J792" i="1"/>
  <c r="I792" i="1"/>
  <c r="I827" i="1" s="1"/>
  <c r="H792" i="1"/>
  <c r="H827" i="1" s="1"/>
  <c r="G792" i="1"/>
  <c r="G827" i="1" s="1"/>
  <c r="F792" i="1"/>
  <c r="F827" i="1" s="1"/>
  <c r="E792" i="1"/>
  <c r="E827" i="1" s="1"/>
  <c r="D792" i="1"/>
  <c r="Q792" i="1" s="1"/>
  <c r="O791" i="1"/>
  <c r="N791" i="1"/>
  <c r="M791" i="1"/>
  <c r="L791" i="1"/>
  <c r="K791" i="1"/>
  <c r="J791" i="1"/>
  <c r="I791" i="1"/>
  <c r="H791" i="1"/>
  <c r="G791" i="1"/>
  <c r="F791" i="1"/>
  <c r="E791" i="1"/>
  <c r="D791" i="1"/>
  <c r="Q791" i="1" s="1"/>
  <c r="O790" i="1"/>
  <c r="N790" i="1"/>
  <c r="M790" i="1"/>
  <c r="L790" i="1"/>
  <c r="K790" i="1"/>
  <c r="J790" i="1"/>
  <c r="I790" i="1"/>
  <c r="H790" i="1"/>
  <c r="Q790" i="1" s="1"/>
  <c r="G790" i="1"/>
  <c r="F790" i="1"/>
  <c r="E790" i="1"/>
  <c r="D790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Q789" i="1" s="1"/>
  <c r="O788" i="1"/>
  <c r="N788" i="1"/>
  <c r="M788" i="1"/>
  <c r="L788" i="1"/>
  <c r="K788" i="1"/>
  <c r="J788" i="1"/>
  <c r="I788" i="1"/>
  <c r="H788" i="1"/>
  <c r="Q788" i="1" s="1"/>
  <c r="G788" i="1"/>
  <c r="F788" i="1"/>
  <c r="E788" i="1"/>
  <c r="D788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Q787" i="1" s="1"/>
  <c r="O786" i="1"/>
  <c r="N786" i="1"/>
  <c r="M786" i="1"/>
  <c r="L786" i="1"/>
  <c r="K786" i="1"/>
  <c r="J786" i="1"/>
  <c r="I786" i="1"/>
  <c r="H786" i="1"/>
  <c r="G786" i="1"/>
  <c r="F786" i="1"/>
  <c r="E786" i="1"/>
  <c r="D786" i="1"/>
  <c r="Q786" i="1" s="1"/>
  <c r="O785" i="1"/>
  <c r="N785" i="1"/>
  <c r="M785" i="1"/>
  <c r="L785" i="1"/>
  <c r="K785" i="1"/>
  <c r="J785" i="1"/>
  <c r="I785" i="1"/>
  <c r="H785" i="1"/>
  <c r="G785" i="1"/>
  <c r="F785" i="1"/>
  <c r="E785" i="1"/>
  <c r="D785" i="1"/>
  <c r="Q785" i="1" s="1"/>
  <c r="O784" i="1"/>
  <c r="N784" i="1"/>
  <c r="M784" i="1"/>
  <c r="L784" i="1"/>
  <c r="K784" i="1"/>
  <c r="J784" i="1"/>
  <c r="I784" i="1"/>
  <c r="H784" i="1"/>
  <c r="G784" i="1"/>
  <c r="F784" i="1"/>
  <c r="E784" i="1"/>
  <c r="D784" i="1"/>
  <c r="Q784" i="1" s="1"/>
  <c r="O783" i="1"/>
  <c r="N783" i="1"/>
  <c r="M783" i="1"/>
  <c r="L783" i="1"/>
  <c r="K783" i="1"/>
  <c r="J783" i="1"/>
  <c r="I783" i="1"/>
  <c r="H783" i="1"/>
  <c r="G783" i="1"/>
  <c r="F783" i="1"/>
  <c r="E783" i="1"/>
  <c r="D783" i="1"/>
  <c r="Q783" i="1" s="1"/>
  <c r="O782" i="1"/>
  <c r="N782" i="1"/>
  <c r="M782" i="1"/>
  <c r="L782" i="1"/>
  <c r="K782" i="1"/>
  <c r="J782" i="1"/>
  <c r="I782" i="1"/>
  <c r="H782" i="1"/>
  <c r="Q782" i="1" s="1"/>
  <c r="G782" i="1"/>
  <c r="F782" i="1"/>
  <c r="E782" i="1"/>
  <c r="D782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Q781" i="1" s="1"/>
  <c r="O780" i="1"/>
  <c r="N780" i="1"/>
  <c r="M780" i="1"/>
  <c r="L780" i="1"/>
  <c r="K780" i="1"/>
  <c r="J780" i="1"/>
  <c r="I780" i="1"/>
  <c r="H780" i="1"/>
  <c r="Q780" i="1" s="1"/>
  <c r="G780" i="1"/>
  <c r="F780" i="1"/>
  <c r="E780" i="1"/>
  <c r="D780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Q779" i="1" s="1"/>
  <c r="O778" i="1"/>
  <c r="N778" i="1"/>
  <c r="M778" i="1"/>
  <c r="L778" i="1"/>
  <c r="K778" i="1"/>
  <c r="J778" i="1"/>
  <c r="I778" i="1"/>
  <c r="H778" i="1"/>
  <c r="G778" i="1"/>
  <c r="F778" i="1"/>
  <c r="E778" i="1"/>
  <c r="D778" i="1"/>
  <c r="Q778" i="1" s="1"/>
  <c r="O777" i="1"/>
  <c r="N777" i="1"/>
  <c r="M777" i="1"/>
  <c r="L777" i="1"/>
  <c r="K777" i="1"/>
  <c r="J777" i="1"/>
  <c r="I777" i="1"/>
  <c r="H777" i="1"/>
  <c r="G777" i="1"/>
  <c r="F777" i="1"/>
  <c r="E777" i="1"/>
  <c r="D777" i="1"/>
  <c r="Q777" i="1" s="1"/>
  <c r="O776" i="1"/>
  <c r="N776" i="1"/>
  <c r="M776" i="1"/>
  <c r="L776" i="1"/>
  <c r="K776" i="1"/>
  <c r="J776" i="1"/>
  <c r="I776" i="1"/>
  <c r="H776" i="1"/>
  <c r="G776" i="1"/>
  <c r="F776" i="1"/>
  <c r="E776" i="1"/>
  <c r="D776" i="1"/>
  <c r="Q776" i="1" s="1"/>
  <c r="O772" i="1"/>
  <c r="N772" i="1"/>
  <c r="M772" i="1"/>
  <c r="L772" i="1"/>
  <c r="K772" i="1"/>
  <c r="J772" i="1"/>
  <c r="I772" i="1"/>
  <c r="H772" i="1"/>
  <c r="Q772" i="1" s="1"/>
  <c r="G772" i="1"/>
  <c r="F772" i="1"/>
  <c r="E772" i="1"/>
  <c r="D772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Q771" i="1" s="1"/>
  <c r="O770" i="1"/>
  <c r="N770" i="1"/>
  <c r="M770" i="1"/>
  <c r="L770" i="1"/>
  <c r="K770" i="1"/>
  <c r="J770" i="1"/>
  <c r="I770" i="1"/>
  <c r="H770" i="1"/>
  <c r="Q770" i="1" s="1"/>
  <c r="G770" i="1"/>
  <c r="F770" i="1"/>
  <c r="E770" i="1"/>
  <c r="D770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Q769" i="1" s="1"/>
  <c r="O768" i="1"/>
  <c r="N768" i="1"/>
  <c r="M768" i="1"/>
  <c r="L768" i="1"/>
  <c r="K768" i="1"/>
  <c r="J768" i="1"/>
  <c r="I768" i="1"/>
  <c r="H768" i="1"/>
  <c r="G768" i="1"/>
  <c r="F768" i="1"/>
  <c r="E768" i="1"/>
  <c r="D768" i="1"/>
  <c r="Q768" i="1" s="1"/>
  <c r="O767" i="1"/>
  <c r="N767" i="1"/>
  <c r="M767" i="1"/>
  <c r="L767" i="1"/>
  <c r="K767" i="1"/>
  <c r="J767" i="1"/>
  <c r="I767" i="1"/>
  <c r="H767" i="1"/>
  <c r="G767" i="1"/>
  <c r="F767" i="1"/>
  <c r="E767" i="1"/>
  <c r="D767" i="1"/>
  <c r="Q767" i="1" s="1"/>
  <c r="O766" i="1"/>
  <c r="N766" i="1"/>
  <c r="M766" i="1"/>
  <c r="L766" i="1"/>
  <c r="K766" i="1"/>
  <c r="J766" i="1"/>
  <c r="I766" i="1"/>
  <c r="H766" i="1"/>
  <c r="G766" i="1"/>
  <c r="F766" i="1"/>
  <c r="E766" i="1"/>
  <c r="D766" i="1"/>
  <c r="Q766" i="1" s="1"/>
  <c r="O765" i="1"/>
  <c r="N765" i="1"/>
  <c r="M765" i="1"/>
  <c r="L765" i="1"/>
  <c r="K765" i="1"/>
  <c r="J765" i="1"/>
  <c r="I765" i="1"/>
  <c r="H765" i="1"/>
  <c r="G765" i="1"/>
  <c r="F765" i="1"/>
  <c r="E765" i="1"/>
  <c r="D765" i="1"/>
  <c r="Q765" i="1" s="1"/>
  <c r="O764" i="1"/>
  <c r="N764" i="1"/>
  <c r="M764" i="1"/>
  <c r="L764" i="1"/>
  <c r="K764" i="1"/>
  <c r="J764" i="1"/>
  <c r="I764" i="1"/>
  <c r="H764" i="1"/>
  <c r="Q764" i="1" s="1"/>
  <c r="G764" i="1"/>
  <c r="F764" i="1"/>
  <c r="E764" i="1"/>
  <c r="D764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Q763" i="1" s="1"/>
  <c r="O762" i="1"/>
  <c r="N762" i="1"/>
  <c r="M762" i="1"/>
  <c r="L762" i="1"/>
  <c r="K762" i="1"/>
  <c r="J762" i="1"/>
  <c r="I762" i="1"/>
  <c r="H762" i="1"/>
  <c r="Q762" i="1" s="1"/>
  <c r="G762" i="1"/>
  <c r="F762" i="1"/>
  <c r="E762" i="1"/>
  <c r="D762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Q761" i="1" s="1"/>
  <c r="O760" i="1"/>
  <c r="N760" i="1"/>
  <c r="M760" i="1"/>
  <c r="L760" i="1"/>
  <c r="K760" i="1"/>
  <c r="J760" i="1"/>
  <c r="I760" i="1"/>
  <c r="H760" i="1"/>
  <c r="G760" i="1"/>
  <c r="F760" i="1"/>
  <c r="E760" i="1"/>
  <c r="D760" i="1"/>
  <c r="Q760" i="1" s="1"/>
  <c r="O759" i="1"/>
  <c r="N759" i="1"/>
  <c r="M759" i="1"/>
  <c r="L759" i="1"/>
  <c r="K759" i="1"/>
  <c r="J759" i="1"/>
  <c r="I759" i="1"/>
  <c r="H759" i="1"/>
  <c r="G759" i="1"/>
  <c r="F759" i="1"/>
  <c r="E759" i="1"/>
  <c r="D759" i="1"/>
  <c r="Q759" i="1" s="1"/>
  <c r="O758" i="1"/>
  <c r="N758" i="1"/>
  <c r="M758" i="1"/>
  <c r="L758" i="1"/>
  <c r="K758" i="1"/>
  <c r="J758" i="1"/>
  <c r="I758" i="1"/>
  <c r="H758" i="1"/>
  <c r="G758" i="1"/>
  <c r="F758" i="1"/>
  <c r="E758" i="1"/>
  <c r="D758" i="1"/>
  <c r="Q758" i="1" s="1"/>
  <c r="O757" i="1"/>
  <c r="N757" i="1"/>
  <c r="M757" i="1"/>
  <c r="L757" i="1"/>
  <c r="K757" i="1"/>
  <c r="J757" i="1"/>
  <c r="I757" i="1"/>
  <c r="H757" i="1"/>
  <c r="G757" i="1"/>
  <c r="F757" i="1"/>
  <c r="E757" i="1"/>
  <c r="D757" i="1"/>
  <c r="Q757" i="1" s="1"/>
  <c r="O756" i="1"/>
  <c r="N756" i="1"/>
  <c r="M756" i="1"/>
  <c r="L756" i="1"/>
  <c r="K756" i="1"/>
  <c r="J756" i="1"/>
  <c r="I756" i="1"/>
  <c r="H756" i="1"/>
  <c r="Q756" i="1" s="1"/>
  <c r="G756" i="1"/>
  <c r="F756" i="1"/>
  <c r="E756" i="1"/>
  <c r="D756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Q755" i="1" s="1"/>
  <c r="O754" i="1"/>
  <c r="N754" i="1"/>
  <c r="M754" i="1"/>
  <c r="L754" i="1"/>
  <c r="K754" i="1"/>
  <c r="J754" i="1"/>
  <c r="I754" i="1"/>
  <c r="H754" i="1"/>
  <c r="Q754" i="1" s="1"/>
  <c r="G754" i="1"/>
  <c r="F754" i="1"/>
  <c r="E754" i="1"/>
  <c r="D754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Q753" i="1" s="1"/>
  <c r="O752" i="1"/>
  <c r="N752" i="1"/>
  <c r="M752" i="1"/>
  <c r="L752" i="1"/>
  <c r="K752" i="1"/>
  <c r="J752" i="1"/>
  <c r="I752" i="1"/>
  <c r="H752" i="1"/>
  <c r="G752" i="1"/>
  <c r="F752" i="1"/>
  <c r="E752" i="1"/>
  <c r="D752" i="1"/>
  <c r="Q752" i="1" s="1"/>
  <c r="O751" i="1"/>
  <c r="N751" i="1"/>
  <c r="M751" i="1"/>
  <c r="L751" i="1"/>
  <c r="K751" i="1"/>
  <c r="J751" i="1"/>
  <c r="I751" i="1"/>
  <c r="H751" i="1"/>
  <c r="G751" i="1"/>
  <c r="F751" i="1"/>
  <c r="E751" i="1"/>
  <c r="D751" i="1"/>
  <c r="Q751" i="1" s="1"/>
  <c r="O750" i="1"/>
  <c r="N750" i="1"/>
  <c r="M750" i="1"/>
  <c r="L750" i="1"/>
  <c r="K750" i="1"/>
  <c r="J750" i="1"/>
  <c r="I750" i="1"/>
  <c r="H750" i="1"/>
  <c r="G750" i="1"/>
  <c r="F750" i="1"/>
  <c r="E750" i="1"/>
  <c r="D750" i="1"/>
  <c r="Q750" i="1" s="1"/>
  <c r="O749" i="1"/>
  <c r="N749" i="1"/>
  <c r="M749" i="1"/>
  <c r="L749" i="1"/>
  <c r="K749" i="1"/>
  <c r="J749" i="1"/>
  <c r="I749" i="1"/>
  <c r="H749" i="1"/>
  <c r="G749" i="1"/>
  <c r="F749" i="1"/>
  <c r="E749" i="1"/>
  <c r="D749" i="1"/>
  <c r="Q749" i="1" s="1"/>
  <c r="O748" i="1"/>
  <c r="N748" i="1"/>
  <c r="M748" i="1"/>
  <c r="L748" i="1"/>
  <c r="K748" i="1"/>
  <c r="J748" i="1"/>
  <c r="I748" i="1"/>
  <c r="H748" i="1"/>
  <c r="Q748" i="1" s="1"/>
  <c r="G748" i="1"/>
  <c r="F748" i="1"/>
  <c r="E748" i="1"/>
  <c r="D748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Q747" i="1" s="1"/>
  <c r="O746" i="1"/>
  <c r="N746" i="1"/>
  <c r="M746" i="1"/>
  <c r="L746" i="1"/>
  <c r="K746" i="1"/>
  <c r="J746" i="1"/>
  <c r="I746" i="1"/>
  <c r="H746" i="1"/>
  <c r="Q746" i="1" s="1"/>
  <c r="G746" i="1"/>
  <c r="F746" i="1"/>
  <c r="E746" i="1"/>
  <c r="D746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Q745" i="1" s="1"/>
  <c r="O744" i="1"/>
  <c r="N744" i="1"/>
  <c r="M744" i="1"/>
  <c r="L744" i="1"/>
  <c r="K744" i="1"/>
  <c r="J744" i="1"/>
  <c r="I744" i="1"/>
  <c r="H744" i="1"/>
  <c r="G744" i="1"/>
  <c r="F744" i="1"/>
  <c r="E744" i="1"/>
  <c r="D744" i="1"/>
  <c r="Q744" i="1" s="1"/>
  <c r="O743" i="1"/>
  <c r="N743" i="1"/>
  <c r="M743" i="1"/>
  <c r="L743" i="1"/>
  <c r="K743" i="1"/>
  <c r="J743" i="1"/>
  <c r="I743" i="1"/>
  <c r="H743" i="1"/>
  <c r="G743" i="1"/>
  <c r="F743" i="1"/>
  <c r="E743" i="1"/>
  <c r="D743" i="1"/>
  <c r="Q743" i="1" s="1"/>
  <c r="O742" i="1"/>
  <c r="N742" i="1"/>
  <c r="M742" i="1"/>
  <c r="L742" i="1"/>
  <c r="K742" i="1"/>
  <c r="J742" i="1"/>
  <c r="I742" i="1"/>
  <c r="H742" i="1"/>
  <c r="G742" i="1"/>
  <c r="F742" i="1"/>
  <c r="E742" i="1"/>
  <c r="D742" i="1"/>
  <c r="Q742" i="1" s="1"/>
  <c r="O740" i="1"/>
  <c r="O773" i="1" s="1"/>
  <c r="N740" i="1"/>
  <c r="N773" i="1" s="1"/>
  <c r="M740" i="1"/>
  <c r="M773" i="1" s="1"/>
  <c r="L740" i="1"/>
  <c r="L773" i="1" s="1"/>
  <c r="K740" i="1"/>
  <c r="K773" i="1" s="1"/>
  <c r="J740" i="1"/>
  <c r="J773" i="1" s="1"/>
  <c r="I740" i="1"/>
  <c r="I773" i="1" s="1"/>
  <c r="H740" i="1"/>
  <c r="H773" i="1" s="1"/>
  <c r="G740" i="1"/>
  <c r="G773" i="1" s="1"/>
  <c r="F740" i="1"/>
  <c r="F773" i="1" s="1"/>
  <c r="E740" i="1"/>
  <c r="E773" i="1" s="1"/>
  <c r="D740" i="1"/>
  <c r="Q740" i="1" s="1"/>
  <c r="O739" i="1"/>
  <c r="N739" i="1"/>
  <c r="M739" i="1"/>
  <c r="L739" i="1"/>
  <c r="K739" i="1"/>
  <c r="J739" i="1"/>
  <c r="I739" i="1"/>
  <c r="H739" i="1"/>
  <c r="Q739" i="1" s="1"/>
  <c r="G739" i="1"/>
  <c r="F739" i="1"/>
  <c r="E739" i="1"/>
  <c r="D739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Q738" i="1" s="1"/>
  <c r="O737" i="1"/>
  <c r="N737" i="1"/>
  <c r="M737" i="1"/>
  <c r="L737" i="1"/>
  <c r="K737" i="1"/>
  <c r="J737" i="1"/>
  <c r="I737" i="1"/>
  <c r="H737" i="1"/>
  <c r="Q737" i="1" s="1"/>
  <c r="G737" i="1"/>
  <c r="F737" i="1"/>
  <c r="E737" i="1"/>
  <c r="D737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Q736" i="1" s="1"/>
  <c r="O735" i="1"/>
  <c r="N735" i="1"/>
  <c r="M735" i="1"/>
  <c r="L735" i="1"/>
  <c r="K735" i="1"/>
  <c r="J735" i="1"/>
  <c r="I735" i="1"/>
  <c r="H735" i="1"/>
  <c r="G735" i="1"/>
  <c r="F735" i="1"/>
  <c r="E735" i="1"/>
  <c r="D735" i="1"/>
  <c r="Q735" i="1" s="1"/>
  <c r="O734" i="1"/>
  <c r="N734" i="1"/>
  <c r="M734" i="1"/>
  <c r="L734" i="1"/>
  <c r="K734" i="1"/>
  <c r="J734" i="1"/>
  <c r="I734" i="1"/>
  <c r="H734" i="1"/>
  <c r="G734" i="1"/>
  <c r="F734" i="1"/>
  <c r="E734" i="1"/>
  <c r="D734" i="1"/>
  <c r="Q734" i="1" s="1"/>
  <c r="O733" i="1"/>
  <c r="N733" i="1"/>
  <c r="M733" i="1"/>
  <c r="L733" i="1"/>
  <c r="K733" i="1"/>
  <c r="J733" i="1"/>
  <c r="I733" i="1"/>
  <c r="H733" i="1"/>
  <c r="G733" i="1"/>
  <c r="F733" i="1"/>
  <c r="E733" i="1"/>
  <c r="D733" i="1"/>
  <c r="Q733" i="1" s="1"/>
  <c r="O732" i="1"/>
  <c r="N732" i="1"/>
  <c r="M732" i="1"/>
  <c r="L732" i="1"/>
  <c r="K732" i="1"/>
  <c r="J732" i="1"/>
  <c r="I732" i="1"/>
  <c r="H732" i="1"/>
  <c r="G732" i="1"/>
  <c r="F732" i="1"/>
  <c r="E732" i="1"/>
  <c r="D732" i="1"/>
  <c r="Q732" i="1" s="1"/>
  <c r="O731" i="1"/>
  <c r="N731" i="1"/>
  <c r="M731" i="1"/>
  <c r="L731" i="1"/>
  <c r="K731" i="1"/>
  <c r="J731" i="1"/>
  <c r="I731" i="1"/>
  <c r="H731" i="1"/>
  <c r="Q731" i="1" s="1"/>
  <c r="G731" i="1"/>
  <c r="F731" i="1"/>
  <c r="E731" i="1"/>
  <c r="D731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Q730" i="1" s="1"/>
  <c r="O729" i="1"/>
  <c r="N729" i="1"/>
  <c r="M729" i="1"/>
  <c r="L729" i="1"/>
  <c r="K729" i="1"/>
  <c r="J729" i="1"/>
  <c r="I729" i="1"/>
  <c r="H729" i="1"/>
  <c r="Q729" i="1" s="1"/>
  <c r="G729" i="1"/>
  <c r="F729" i="1"/>
  <c r="E729" i="1"/>
  <c r="D729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Q728" i="1" s="1"/>
  <c r="O727" i="1"/>
  <c r="N727" i="1"/>
  <c r="M727" i="1"/>
  <c r="L727" i="1"/>
  <c r="K727" i="1"/>
  <c r="J727" i="1"/>
  <c r="I727" i="1"/>
  <c r="H727" i="1"/>
  <c r="G727" i="1"/>
  <c r="F727" i="1"/>
  <c r="E727" i="1"/>
  <c r="D727" i="1"/>
  <c r="Q727" i="1" s="1"/>
  <c r="O726" i="1"/>
  <c r="N726" i="1"/>
  <c r="M726" i="1"/>
  <c r="L726" i="1"/>
  <c r="K726" i="1"/>
  <c r="J726" i="1"/>
  <c r="I726" i="1"/>
  <c r="H726" i="1"/>
  <c r="G726" i="1"/>
  <c r="F726" i="1"/>
  <c r="E726" i="1"/>
  <c r="D726" i="1"/>
  <c r="Q726" i="1" s="1"/>
  <c r="O725" i="1"/>
  <c r="N725" i="1"/>
  <c r="M725" i="1"/>
  <c r="L725" i="1"/>
  <c r="K725" i="1"/>
  <c r="J725" i="1"/>
  <c r="I725" i="1"/>
  <c r="H725" i="1"/>
  <c r="G725" i="1"/>
  <c r="F725" i="1"/>
  <c r="E725" i="1"/>
  <c r="D725" i="1"/>
  <c r="Q725" i="1" s="1"/>
  <c r="O724" i="1"/>
  <c r="N724" i="1"/>
  <c r="M724" i="1"/>
  <c r="L724" i="1"/>
  <c r="K724" i="1"/>
  <c r="J724" i="1"/>
  <c r="I724" i="1"/>
  <c r="H724" i="1"/>
  <c r="G724" i="1"/>
  <c r="F724" i="1"/>
  <c r="E724" i="1"/>
  <c r="D724" i="1"/>
  <c r="Q724" i="1" s="1"/>
  <c r="N721" i="1"/>
  <c r="H721" i="1"/>
  <c r="F721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Q720" i="1" s="1"/>
  <c r="O719" i="1"/>
  <c r="N719" i="1"/>
  <c r="M719" i="1"/>
  <c r="L719" i="1"/>
  <c r="K719" i="1"/>
  <c r="J719" i="1"/>
  <c r="I719" i="1"/>
  <c r="H719" i="1"/>
  <c r="Q719" i="1" s="1"/>
  <c r="G719" i="1"/>
  <c r="F719" i="1"/>
  <c r="E719" i="1"/>
  <c r="D719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Q718" i="1" s="1"/>
  <c r="O717" i="1"/>
  <c r="N717" i="1"/>
  <c r="M717" i="1"/>
  <c r="L717" i="1"/>
  <c r="K717" i="1"/>
  <c r="J717" i="1"/>
  <c r="I717" i="1"/>
  <c r="H717" i="1"/>
  <c r="G717" i="1"/>
  <c r="F717" i="1"/>
  <c r="E717" i="1"/>
  <c r="D717" i="1"/>
  <c r="Q717" i="1" s="1"/>
  <c r="O716" i="1"/>
  <c r="N716" i="1"/>
  <c r="M716" i="1"/>
  <c r="L716" i="1"/>
  <c r="K716" i="1"/>
  <c r="J716" i="1"/>
  <c r="I716" i="1"/>
  <c r="H716" i="1"/>
  <c r="G716" i="1"/>
  <c r="F716" i="1"/>
  <c r="E716" i="1"/>
  <c r="D716" i="1"/>
  <c r="Q716" i="1" s="1"/>
  <c r="O715" i="1"/>
  <c r="N715" i="1"/>
  <c r="M715" i="1"/>
  <c r="L715" i="1"/>
  <c r="K715" i="1"/>
  <c r="J715" i="1"/>
  <c r="I715" i="1"/>
  <c r="H715" i="1"/>
  <c r="G715" i="1"/>
  <c r="F715" i="1"/>
  <c r="E715" i="1"/>
  <c r="D715" i="1"/>
  <c r="Q715" i="1" s="1"/>
  <c r="O714" i="1"/>
  <c r="N714" i="1"/>
  <c r="M714" i="1"/>
  <c r="L714" i="1"/>
  <c r="K714" i="1"/>
  <c r="J714" i="1"/>
  <c r="I714" i="1"/>
  <c r="H714" i="1"/>
  <c r="G714" i="1"/>
  <c r="F714" i="1"/>
  <c r="E714" i="1"/>
  <c r="D714" i="1"/>
  <c r="Q714" i="1" s="1"/>
  <c r="O713" i="1"/>
  <c r="N713" i="1"/>
  <c r="M713" i="1"/>
  <c r="L713" i="1"/>
  <c r="K713" i="1"/>
  <c r="J713" i="1"/>
  <c r="I713" i="1"/>
  <c r="H713" i="1"/>
  <c r="Q713" i="1" s="1"/>
  <c r="G713" i="1"/>
  <c r="F713" i="1"/>
  <c r="E713" i="1"/>
  <c r="D713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Q712" i="1" s="1"/>
  <c r="O711" i="1"/>
  <c r="N711" i="1"/>
  <c r="M711" i="1"/>
  <c r="L711" i="1"/>
  <c r="K711" i="1"/>
  <c r="J711" i="1"/>
  <c r="I711" i="1"/>
  <c r="H711" i="1"/>
  <c r="Q711" i="1" s="1"/>
  <c r="G711" i="1"/>
  <c r="F711" i="1"/>
  <c r="E711" i="1"/>
  <c r="D711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Q710" i="1" s="1"/>
  <c r="O709" i="1"/>
  <c r="N709" i="1"/>
  <c r="M709" i="1"/>
  <c r="L709" i="1"/>
  <c r="K709" i="1"/>
  <c r="J709" i="1"/>
  <c r="I709" i="1"/>
  <c r="H709" i="1"/>
  <c r="G709" i="1"/>
  <c r="F709" i="1"/>
  <c r="E709" i="1"/>
  <c r="D709" i="1"/>
  <c r="Q709" i="1" s="1"/>
  <c r="O708" i="1"/>
  <c r="N708" i="1"/>
  <c r="M708" i="1"/>
  <c r="L708" i="1"/>
  <c r="K708" i="1"/>
  <c r="J708" i="1"/>
  <c r="I708" i="1"/>
  <c r="H708" i="1"/>
  <c r="G708" i="1"/>
  <c r="F708" i="1"/>
  <c r="E708" i="1"/>
  <c r="D708" i="1"/>
  <c r="Q708" i="1" s="1"/>
  <c r="O707" i="1"/>
  <c r="N707" i="1"/>
  <c r="M707" i="1"/>
  <c r="L707" i="1"/>
  <c r="K707" i="1"/>
  <c r="J707" i="1"/>
  <c r="I707" i="1"/>
  <c r="H707" i="1"/>
  <c r="G707" i="1"/>
  <c r="F707" i="1"/>
  <c r="E707" i="1"/>
  <c r="D707" i="1"/>
  <c r="Q707" i="1" s="1"/>
  <c r="O706" i="1"/>
  <c r="N706" i="1"/>
  <c r="M706" i="1"/>
  <c r="L706" i="1"/>
  <c r="K706" i="1"/>
  <c r="J706" i="1"/>
  <c r="I706" i="1"/>
  <c r="H706" i="1"/>
  <c r="G706" i="1"/>
  <c r="F706" i="1"/>
  <c r="E706" i="1"/>
  <c r="D706" i="1"/>
  <c r="Q706" i="1" s="1"/>
  <c r="O705" i="1"/>
  <c r="N705" i="1"/>
  <c r="M705" i="1"/>
  <c r="L705" i="1"/>
  <c r="K705" i="1"/>
  <c r="J705" i="1"/>
  <c r="I705" i="1"/>
  <c r="H705" i="1"/>
  <c r="Q705" i="1" s="1"/>
  <c r="G705" i="1"/>
  <c r="F705" i="1"/>
  <c r="E705" i="1"/>
  <c r="D705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Q704" i="1" s="1"/>
  <c r="O703" i="1"/>
  <c r="N703" i="1"/>
  <c r="M703" i="1"/>
  <c r="L703" i="1"/>
  <c r="K703" i="1"/>
  <c r="J703" i="1"/>
  <c r="I703" i="1"/>
  <c r="H703" i="1"/>
  <c r="Q703" i="1" s="1"/>
  <c r="G703" i="1"/>
  <c r="F703" i="1"/>
  <c r="E703" i="1"/>
  <c r="D703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Q702" i="1" s="1"/>
  <c r="O701" i="1"/>
  <c r="N701" i="1"/>
  <c r="M701" i="1"/>
  <c r="L701" i="1"/>
  <c r="K701" i="1"/>
  <c r="J701" i="1"/>
  <c r="I701" i="1"/>
  <c r="H701" i="1"/>
  <c r="G701" i="1"/>
  <c r="F701" i="1"/>
  <c r="E701" i="1"/>
  <c r="D701" i="1"/>
  <c r="Q701" i="1" s="1"/>
  <c r="O700" i="1"/>
  <c r="N700" i="1"/>
  <c r="M700" i="1"/>
  <c r="L700" i="1"/>
  <c r="K700" i="1"/>
  <c r="J700" i="1"/>
  <c r="I700" i="1"/>
  <c r="H700" i="1"/>
  <c r="G700" i="1"/>
  <c r="F700" i="1"/>
  <c r="E700" i="1"/>
  <c r="D700" i="1"/>
  <c r="Q700" i="1" s="1"/>
  <c r="O699" i="1"/>
  <c r="N699" i="1"/>
  <c r="M699" i="1"/>
  <c r="L699" i="1"/>
  <c r="K699" i="1"/>
  <c r="J699" i="1"/>
  <c r="I699" i="1"/>
  <c r="H699" i="1"/>
  <c r="G699" i="1"/>
  <c r="F699" i="1"/>
  <c r="E699" i="1"/>
  <c r="D699" i="1"/>
  <c r="Q699" i="1" s="1"/>
  <c r="O698" i="1"/>
  <c r="N698" i="1"/>
  <c r="M698" i="1"/>
  <c r="L698" i="1"/>
  <c r="K698" i="1"/>
  <c r="J698" i="1"/>
  <c r="I698" i="1"/>
  <c r="H698" i="1"/>
  <c r="G698" i="1"/>
  <c r="F698" i="1"/>
  <c r="E698" i="1"/>
  <c r="D698" i="1"/>
  <c r="Q698" i="1" s="1"/>
  <c r="O697" i="1"/>
  <c r="N697" i="1"/>
  <c r="M697" i="1"/>
  <c r="L697" i="1"/>
  <c r="K697" i="1"/>
  <c r="J697" i="1"/>
  <c r="I697" i="1"/>
  <c r="H697" i="1"/>
  <c r="Q697" i="1" s="1"/>
  <c r="G697" i="1"/>
  <c r="F697" i="1"/>
  <c r="E697" i="1"/>
  <c r="D697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Q696" i="1" s="1"/>
  <c r="O695" i="1"/>
  <c r="N695" i="1"/>
  <c r="M695" i="1"/>
  <c r="L695" i="1"/>
  <c r="K695" i="1"/>
  <c r="J695" i="1"/>
  <c r="I695" i="1"/>
  <c r="H695" i="1"/>
  <c r="Q695" i="1" s="1"/>
  <c r="G695" i="1"/>
  <c r="F695" i="1"/>
  <c r="E695" i="1"/>
  <c r="D695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Q694" i="1" s="1"/>
  <c r="O693" i="1"/>
  <c r="N693" i="1"/>
  <c r="M693" i="1"/>
  <c r="L693" i="1"/>
  <c r="K693" i="1"/>
  <c r="J693" i="1"/>
  <c r="I693" i="1"/>
  <c r="H693" i="1"/>
  <c r="G693" i="1"/>
  <c r="F693" i="1"/>
  <c r="E693" i="1"/>
  <c r="D693" i="1"/>
  <c r="Q693" i="1" s="1"/>
  <c r="O692" i="1"/>
  <c r="N692" i="1"/>
  <c r="M692" i="1"/>
  <c r="L692" i="1"/>
  <c r="K692" i="1"/>
  <c r="J692" i="1"/>
  <c r="I692" i="1"/>
  <c r="H692" i="1"/>
  <c r="G692" i="1"/>
  <c r="F692" i="1"/>
  <c r="E692" i="1"/>
  <c r="D692" i="1"/>
  <c r="Q692" i="1" s="1"/>
  <c r="O691" i="1"/>
  <c r="N691" i="1"/>
  <c r="M691" i="1"/>
  <c r="L691" i="1"/>
  <c r="K691" i="1"/>
  <c r="J691" i="1"/>
  <c r="I691" i="1"/>
  <c r="H691" i="1"/>
  <c r="G691" i="1"/>
  <c r="F691" i="1"/>
  <c r="E691" i="1"/>
  <c r="D691" i="1"/>
  <c r="Q691" i="1" s="1"/>
  <c r="O690" i="1"/>
  <c r="N690" i="1"/>
  <c r="M690" i="1"/>
  <c r="L690" i="1"/>
  <c r="K690" i="1"/>
  <c r="J690" i="1"/>
  <c r="I690" i="1"/>
  <c r="H690" i="1"/>
  <c r="G690" i="1"/>
  <c r="F690" i="1"/>
  <c r="E690" i="1"/>
  <c r="D690" i="1"/>
  <c r="Q690" i="1" s="1"/>
  <c r="O689" i="1"/>
  <c r="N689" i="1"/>
  <c r="M689" i="1"/>
  <c r="L689" i="1"/>
  <c r="K689" i="1"/>
  <c r="J689" i="1"/>
  <c r="I689" i="1"/>
  <c r="H689" i="1"/>
  <c r="Q689" i="1" s="1"/>
  <c r="G689" i="1"/>
  <c r="F689" i="1"/>
  <c r="E689" i="1"/>
  <c r="D689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Q688" i="1" s="1"/>
  <c r="O687" i="1"/>
  <c r="N687" i="1"/>
  <c r="M687" i="1"/>
  <c r="L687" i="1"/>
  <c r="K687" i="1"/>
  <c r="J687" i="1"/>
  <c r="I687" i="1"/>
  <c r="H687" i="1"/>
  <c r="Q687" i="1" s="1"/>
  <c r="G687" i="1"/>
  <c r="F687" i="1"/>
  <c r="E687" i="1"/>
  <c r="D687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Q686" i="1" s="1"/>
  <c r="O685" i="1"/>
  <c r="N685" i="1"/>
  <c r="M685" i="1"/>
  <c r="L685" i="1"/>
  <c r="K685" i="1"/>
  <c r="J685" i="1"/>
  <c r="I685" i="1"/>
  <c r="H685" i="1"/>
  <c r="G685" i="1"/>
  <c r="F685" i="1"/>
  <c r="E685" i="1"/>
  <c r="D685" i="1"/>
  <c r="Q685" i="1" s="1"/>
  <c r="O683" i="1"/>
  <c r="O721" i="1" s="1"/>
  <c r="N683" i="1"/>
  <c r="M683" i="1"/>
  <c r="M721" i="1" s="1"/>
  <c r="L683" i="1"/>
  <c r="L721" i="1" s="1"/>
  <c r="K683" i="1"/>
  <c r="K721" i="1" s="1"/>
  <c r="J683" i="1"/>
  <c r="J721" i="1" s="1"/>
  <c r="I683" i="1"/>
  <c r="I721" i="1" s="1"/>
  <c r="H683" i="1"/>
  <c r="G683" i="1"/>
  <c r="G721" i="1" s="1"/>
  <c r="F683" i="1"/>
  <c r="E683" i="1"/>
  <c r="E721" i="1" s="1"/>
  <c r="D683" i="1"/>
  <c r="Q683" i="1" s="1"/>
  <c r="O682" i="1"/>
  <c r="N682" i="1"/>
  <c r="M682" i="1"/>
  <c r="L682" i="1"/>
  <c r="K682" i="1"/>
  <c r="J682" i="1"/>
  <c r="I682" i="1"/>
  <c r="H682" i="1"/>
  <c r="G682" i="1"/>
  <c r="F682" i="1"/>
  <c r="E682" i="1"/>
  <c r="D682" i="1"/>
  <c r="Q682" i="1" s="1"/>
  <c r="O681" i="1"/>
  <c r="N681" i="1"/>
  <c r="M681" i="1"/>
  <c r="L681" i="1"/>
  <c r="K681" i="1"/>
  <c r="J681" i="1"/>
  <c r="I681" i="1"/>
  <c r="H681" i="1"/>
  <c r="G681" i="1"/>
  <c r="F681" i="1"/>
  <c r="E681" i="1"/>
  <c r="D681" i="1"/>
  <c r="Q681" i="1" s="1"/>
  <c r="O680" i="1"/>
  <c r="N680" i="1"/>
  <c r="M680" i="1"/>
  <c r="L680" i="1"/>
  <c r="K680" i="1"/>
  <c r="J680" i="1"/>
  <c r="I680" i="1"/>
  <c r="H680" i="1"/>
  <c r="Q680" i="1" s="1"/>
  <c r="G680" i="1"/>
  <c r="F680" i="1"/>
  <c r="E680" i="1"/>
  <c r="D680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Q679" i="1" s="1"/>
  <c r="O678" i="1"/>
  <c r="N678" i="1"/>
  <c r="M678" i="1"/>
  <c r="L678" i="1"/>
  <c r="K678" i="1"/>
  <c r="J678" i="1"/>
  <c r="I678" i="1"/>
  <c r="H678" i="1"/>
  <c r="Q678" i="1" s="1"/>
  <c r="G678" i="1"/>
  <c r="F678" i="1"/>
  <c r="E678" i="1"/>
  <c r="D678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Q677" i="1" s="1"/>
  <c r="O676" i="1"/>
  <c r="N676" i="1"/>
  <c r="M676" i="1"/>
  <c r="L676" i="1"/>
  <c r="K676" i="1"/>
  <c r="J676" i="1"/>
  <c r="I676" i="1"/>
  <c r="H676" i="1"/>
  <c r="G676" i="1"/>
  <c r="F676" i="1"/>
  <c r="E676" i="1"/>
  <c r="D676" i="1"/>
  <c r="Q676" i="1" s="1"/>
  <c r="O675" i="1"/>
  <c r="N675" i="1"/>
  <c r="M675" i="1"/>
  <c r="L675" i="1"/>
  <c r="K675" i="1"/>
  <c r="J675" i="1"/>
  <c r="I675" i="1"/>
  <c r="H675" i="1"/>
  <c r="G675" i="1"/>
  <c r="F675" i="1"/>
  <c r="E675" i="1"/>
  <c r="D675" i="1"/>
  <c r="Q675" i="1" s="1"/>
  <c r="O674" i="1"/>
  <c r="N674" i="1"/>
  <c r="M674" i="1"/>
  <c r="L674" i="1"/>
  <c r="K674" i="1"/>
  <c r="J674" i="1"/>
  <c r="I674" i="1"/>
  <c r="H674" i="1"/>
  <c r="G674" i="1"/>
  <c r="F674" i="1"/>
  <c r="E674" i="1"/>
  <c r="D674" i="1"/>
  <c r="Q674" i="1" s="1"/>
  <c r="O673" i="1"/>
  <c r="N673" i="1"/>
  <c r="M673" i="1"/>
  <c r="L673" i="1"/>
  <c r="K673" i="1"/>
  <c r="J673" i="1"/>
  <c r="I673" i="1"/>
  <c r="H673" i="1"/>
  <c r="G673" i="1"/>
  <c r="F673" i="1"/>
  <c r="E673" i="1"/>
  <c r="D673" i="1"/>
  <c r="Q673" i="1" s="1"/>
  <c r="O672" i="1"/>
  <c r="N672" i="1"/>
  <c r="M672" i="1"/>
  <c r="L672" i="1"/>
  <c r="K672" i="1"/>
  <c r="J672" i="1"/>
  <c r="I672" i="1"/>
  <c r="H672" i="1"/>
  <c r="Q672" i="1" s="1"/>
  <c r="G672" i="1"/>
  <c r="F672" i="1"/>
  <c r="E672" i="1"/>
  <c r="D672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Q671" i="1" s="1"/>
  <c r="O670" i="1"/>
  <c r="N670" i="1"/>
  <c r="M670" i="1"/>
  <c r="L670" i="1"/>
  <c r="K670" i="1"/>
  <c r="J670" i="1"/>
  <c r="I670" i="1"/>
  <c r="H670" i="1"/>
  <c r="Q670" i="1" s="1"/>
  <c r="G670" i="1"/>
  <c r="F670" i="1"/>
  <c r="E670" i="1"/>
  <c r="D670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Q669" i="1" s="1"/>
  <c r="O668" i="1"/>
  <c r="N668" i="1"/>
  <c r="M668" i="1"/>
  <c r="L668" i="1"/>
  <c r="K668" i="1"/>
  <c r="J668" i="1"/>
  <c r="I668" i="1"/>
  <c r="H668" i="1"/>
  <c r="G668" i="1"/>
  <c r="F668" i="1"/>
  <c r="E668" i="1"/>
  <c r="D668" i="1"/>
  <c r="Q668" i="1" s="1"/>
  <c r="O667" i="1"/>
  <c r="N667" i="1"/>
  <c r="M667" i="1"/>
  <c r="L667" i="1"/>
  <c r="K667" i="1"/>
  <c r="J667" i="1"/>
  <c r="I667" i="1"/>
  <c r="H667" i="1"/>
  <c r="G667" i="1"/>
  <c r="F667" i="1"/>
  <c r="E667" i="1"/>
  <c r="D667" i="1"/>
  <c r="Q667" i="1" s="1"/>
  <c r="N661" i="1"/>
  <c r="L661" i="1"/>
  <c r="F661" i="1"/>
  <c r="D661" i="1"/>
  <c r="O660" i="1"/>
  <c r="O661" i="1" s="1"/>
  <c r="N660" i="1"/>
  <c r="M660" i="1"/>
  <c r="M661" i="1" s="1"/>
  <c r="L660" i="1"/>
  <c r="K660" i="1"/>
  <c r="K661" i="1" s="1"/>
  <c r="J660" i="1"/>
  <c r="J661" i="1" s="1"/>
  <c r="I660" i="1"/>
  <c r="I661" i="1" s="1"/>
  <c r="H660" i="1"/>
  <c r="H661" i="1" s="1"/>
  <c r="G660" i="1"/>
  <c r="G661" i="1" s="1"/>
  <c r="F660" i="1"/>
  <c r="E660" i="1"/>
  <c r="E661" i="1" s="1"/>
  <c r="D660" i="1"/>
  <c r="Q660" i="1" s="1"/>
  <c r="O659" i="1"/>
  <c r="N659" i="1"/>
  <c r="M659" i="1"/>
  <c r="L659" i="1"/>
  <c r="K659" i="1"/>
  <c r="J659" i="1"/>
  <c r="I659" i="1"/>
  <c r="H659" i="1"/>
  <c r="Q659" i="1" s="1"/>
  <c r="G659" i="1"/>
  <c r="F659" i="1"/>
  <c r="E659" i="1"/>
  <c r="D659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Q658" i="1" s="1"/>
  <c r="O657" i="1"/>
  <c r="N657" i="1"/>
  <c r="M657" i="1"/>
  <c r="L657" i="1"/>
  <c r="K657" i="1"/>
  <c r="J657" i="1"/>
  <c r="I657" i="1"/>
  <c r="H657" i="1"/>
  <c r="Q657" i="1" s="1"/>
  <c r="G657" i="1"/>
  <c r="F657" i="1"/>
  <c r="E657" i="1"/>
  <c r="D657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Q656" i="1" s="1"/>
  <c r="O655" i="1"/>
  <c r="N655" i="1"/>
  <c r="M655" i="1"/>
  <c r="L655" i="1"/>
  <c r="K655" i="1"/>
  <c r="J655" i="1"/>
  <c r="I655" i="1"/>
  <c r="H655" i="1"/>
  <c r="G655" i="1"/>
  <c r="F655" i="1"/>
  <c r="E655" i="1"/>
  <c r="D655" i="1"/>
  <c r="Q655" i="1" s="1"/>
  <c r="O654" i="1"/>
  <c r="N654" i="1"/>
  <c r="M654" i="1"/>
  <c r="L654" i="1"/>
  <c r="K654" i="1"/>
  <c r="J654" i="1"/>
  <c r="I654" i="1"/>
  <c r="H654" i="1"/>
  <c r="G654" i="1"/>
  <c r="F654" i="1"/>
  <c r="E654" i="1"/>
  <c r="D654" i="1"/>
  <c r="Q654" i="1" s="1"/>
  <c r="O653" i="1"/>
  <c r="N653" i="1"/>
  <c r="M653" i="1"/>
  <c r="L653" i="1"/>
  <c r="K653" i="1"/>
  <c r="J653" i="1"/>
  <c r="I653" i="1"/>
  <c r="H653" i="1"/>
  <c r="G653" i="1"/>
  <c r="F653" i="1"/>
  <c r="E653" i="1"/>
  <c r="D653" i="1"/>
  <c r="Q653" i="1" s="1"/>
  <c r="O652" i="1"/>
  <c r="N652" i="1"/>
  <c r="M652" i="1"/>
  <c r="L652" i="1"/>
  <c r="K652" i="1"/>
  <c r="J652" i="1"/>
  <c r="I652" i="1"/>
  <c r="H652" i="1"/>
  <c r="G652" i="1"/>
  <c r="F652" i="1"/>
  <c r="E652" i="1"/>
  <c r="D652" i="1"/>
  <c r="Q652" i="1" s="1"/>
  <c r="O651" i="1"/>
  <c r="N651" i="1"/>
  <c r="M651" i="1"/>
  <c r="L651" i="1"/>
  <c r="K651" i="1"/>
  <c r="J651" i="1"/>
  <c r="I651" i="1"/>
  <c r="H651" i="1"/>
  <c r="Q651" i="1" s="1"/>
  <c r="G651" i="1"/>
  <c r="F651" i="1"/>
  <c r="E651" i="1"/>
  <c r="D651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Q650" i="1" s="1"/>
  <c r="J646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Q644" i="1" s="1"/>
  <c r="O643" i="1"/>
  <c r="N643" i="1"/>
  <c r="M643" i="1"/>
  <c r="L643" i="1"/>
  <c r="K643" i="1"/>
  <c r="J643" i="1"/>
  <c r="I643" i="1"/>
  <c r="H643" i="1"/>
  <c r="G643" i="1"/>
  <c r="F643" i="1"/>
  <c r="E643" i="1"/>
  <c r="D643" i="1"/>
  <c r="Q643" i="1" s="1"/>
  <c r="O642" i="1"/>
  <c r="N642" i="1"/>
  <c r="M642" i="1"/>
  <c r="L642" i="1"/>
  <c r="K642" i="1"/>
  <c r="J642" i="1"/>
  <c r="I642" i="1"/>
  <c r="H642" i="1"/>
  <c r="G642" i="1"/>
  <c r="F642" i="1"/>
  <c r="E642" i="1"/>
  <c r="D642" i="1"/>
  <c r="Q642" i="1" s="1"/>
  <c r="O641" i="1"/>
  <c r="N641" i="1"/>
  <c r="M641" i="1"/>
  <c r="L641" i="1"/>
  <c r="K641" i="1"/>
  <c r="J641" i="1"/>
  <c r="I641" i="1"/>
  <c r="H641" i="1"/>
  <c r="G641" i="1"/>
  <c r="F641" i="1"/>
  <c r="E641" i="1"/>
  <c r="D641" i="1"/>
  <c r="Q641" i="1" s="1"/>
  <c r="O640" i="1"/>
  <c r="N640" i="1"/>
  <c r="M640" i="1"/>
  <c r="L640" i="1"/>
  <c r="K640" i="1"/>
  <c r="J640" i="1"/>
  <c r="I640" i="1"/>
  <c r="H640" i="1"/>
  <c r="G640" i="1"/>
  <c r="F640" i="1"/>
  <c r="E640" i="1"/>
  <c r="D640" i="1"/>
  <c r="Q640" i="1" s="1"/>
  <c r="O639" i="1"/>
  <c r="N639" i="1"/>
  <c r="M639" i="1"/>
  <c r="L639" i="1"/>
  <c r="K639" i="1"/>
  <c r="J639" i="1"/>
  <c r="I639" i="1"/>
  <c r="H639" i="1"/>
  <c r="Q639" i="1" s="1"/>
  <c r="G639" i="1"/>
  <c r="F639" i="1"/>
  <c r="E639" i="1"/>
  <c r="D639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Q638" i="1" s="1"/>
  <c r="O637" i="1"/>
  <c r="N637" i="1"/>
  <c r="M637" i="1"/>
  <c r="L637" i="1"/>
  <c r="K637" i="1"/>
  <c r="J637" i="1"/>
  <c r="I637" i="1"/>
  <c r="H637" i="1"/>
  <c r="Q637" i="1" s="1"/>
  <c r="G637" i="1"/>
  <c r="F637" i="1"/>
  <c r="E637" i="1"/>
  <c r="D637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Q636" i="1" s="1"/>
  <c r="O635" i="1"/>
  <c r="N635" i="1"/>
  <c r="M635" i="1"/>
  <c r="L635" i="1"/>
  <c r="K635" i="1"/>
  <c r="J635" i="1"/>
  <c r="I635" i="1"/>
  <c r="H635" i="1"/>
  <c r="G635" i="1"/>
  <c r="F635" i="1"/>
  <c r="E635" i="1"/>
  <c r="D635" i="1"/>
  <c r="Q635" i="1" s="1"/>
  <c r="O634" i="1"/>
  <c r="N634" i="1"/>
  <c r="M634" i="1"/>
  <c r="L634" i="1"/>
  <c r="K634" i="1"/>
  <c r="J634" i="1"/>
  <c r="I634" i="1"/>
  <c r="H634" i="1"/>
  <c r="G634" i="1"/>
  <c r="F634" i="1"/>
  <c r="E634" i="1"/>
  <c r="D634" i="1"/>
  <c r="Q634" i="1" s="1"/>
  <c r="O633" i="1"/>
  <c r="N633" i="1"/>
  <c r="M633" i="1"/>
  <c r="L633" i="1"/>
  <c r="K633" i="1"/>
  <c r="J633" i="1"/>
  <c r="I633" i="1"/>
  <c r="H633" i="1"/>
  <c r="G633" i="1"/>
  <c r="F633" i="1"/>
  <c r="E633" i="1"/>
  <c r="D633" i="1"/>
  <c r="Q633" i="1" s="1"/>
  <c r="O632" i="1"/>
  <c r="N632" i="1"/>
  <c r="M632" i="1"/>
  <c r="L632" i="1"/>
  <c r="K632" i="1"/>
  <c r="J632" i="1"/>
  <c r="I632" i="1"/>
  <c r="H632" i="1"/>
  <c r="G632" i="1"/>
  <c r="F632" i="1"/>
  <c r="E632" i="1"/>
  <c r="D632" i="1"/>
  <c r="Q632" i="1" s="1"/>
  <c r="O631" i="1"/>
  <c r="N631" i="1"/>
  <c r="M631" i="1"/>
  <c r="L631" i="1"/>
  <c r="K631" i="1"/>
  <c r="J631" i="1"/>
  <c r="I631" i="1"/>
  <c r="H631" i="1"/>
  <c r="Q631" i="1" s="1"/>
  <c r="G631" i="1"/>
  <c r="F631" i="1"/>
  <c r="E631" i="1"/>
  <c r="D631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Q630" i="1" s="1"/>
  <c r="O629" i="1"/>
  <c r="N629" i="1"/>
  <c r="M629" i="1"/>
  <c r="L629" i="1"/>
  <c r="K629" i="1"/>
  <c r="J629" i="1"/>
  <c r="I629" i="1"/>
  <c r="H629" i="1"/>
  <c r="Q629" i="1" s="1"/>
  <c r="G629" i="1"/>
  <c r="F629" i="1"/>
  <c r="E629" i="1"/>
  <c r="D629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Q628" i="1" s="1"/>
  <c r="O627" i="1"/>
  <c r="N627" i="1"/>
  <c r="M627" i="1"/>
  <c r="L627" i="1"/>
  <c r="K627" i="1"/>
  <c r="J627" i="1"/>
  <c r="I627" i="1"/>
  <c r="H627" i="1"/>
  <c r="G627" i="1"/>
  <c r="F627" i="1"/>
  <c r="E627" i="1"/>
  <c r="D627" i="1"/>
  <c r="Q627" i="1" s="1"/>
  <c r="O626" i="1"/>
  <c r="N626" i="1"/>
  <c r="M626" i="1"/>
  <c r="L626" i="1"/>
  <c r="K626" i="1"/>
  <c r="J626" i="1"/>
  <c r="I626" i="1"/>
  <c r="H626" i="1"/>
  <c r="G626" i="1"/>
  <c r="F626" i="1"/>
  <c r="E626" i="1"/>
  <c r="D626" i="1"/>
  <c r="Q626" i="1" s="1"/>
  <c r="O623" i="1"/>
  <c r="O624" i="1" s="1"/>
  <c r="N623" i="1"/>
  <c r="N624" i="1" s="1"/>
  <c r="M623" i="1"/>
  <c r="L623" i="1"/>
  <c r="K623" i="1"/>
  <c r="J623" i="1"/>
  <c r="I623" i="1"/>
  <c r="H623" i="1"/>
  <c r="Q623" i="1" s="1"/>
  <c r="G623" i="1"/>
  <c r="F623" i="1"/>
  <c r="E623" i="1"/>
  <c r="D623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Q622" i="1" s="1"/>
  <c r="O621" i="1"/>
  <c r="N621" i="1"/>
  <c r="M621" i="1"/>
  <c r="L621" i="1"/>
  <c r="K621" i="1"/>
  <c r="J621" i="1"/>
  <c r="I621" i="1"/>
  <c r="H621" i="1"/>
  <c r="Q621" i="1" s="1"/>
  <c r="G621" i="1"/>
  <c r="F621" i="1"/>
  <c r="E621" i="1"/>
  <c r="D621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Q620" i="1" s="1"/>
  <c r="O619" i="1"/>
  <c r="N619" i="1"/>
  <c r="M619" i="1"/>
  <c r="L619" i="1"/>
  <c r="K619" i="1"/>
  <c r="J619" i="1"/>
  <c r="I619" i="1"/>
  <c r="H619" i="1"/>
  <c r="G619" i="1"/>
  <c r="F619" i="1"/>
  <c r="E619" i="1"/>
  <c r="D619" i="1"/>
  <c r="Q619" i="1" s="1"/>
  <c r="O618" i="1"/>
  <c r="N618" i="1"/>
  <c r="M618" i="1"/>
  <c r="L618" i="1"/>
  <c r="K618" i="1"/>
  <c r="J618" i="1"/>
  <c r="I618" i="1"/>
  <c r="H618" i="1"/>
  <c r="G618" i="1"/>
  <c r="Q618" i="1" s="1"/>
  <c r="F618" i="1"/>
  <c r="E618" i="1"/>
  <c r="D618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Q617" i="1" s="1"/>
  <c r="O616" i="1"/>
  <c r="N616" i="1"/>
  <c r="M616" i="1"/>
  <c r="L616" i="1"/>
  <c r="K616" i="1"/>
  <c r="J616" i="1"/>
  <c r="I616" i="1"/>
  <c r="H616" i="1"/>
  <c r="G616" i="1"/>
  <c r="F616" i="1"/>
  <c r="E616" i="1"/>
  <c r="D616" i="1"/>
  <c r="Q616" i="1" s="1"/>
  <c r="O615" i="1"/>
  <c r="N615" i="1"/>
  <c r="M615" i="1"/>
  <c r="L615" i="1"/>
  <c r="K615" i="1"/>
  <c r="J615" i="1"/>
  <c r="I615" i="1"/>
  <c r="H615" i="1"/>
  <c r="Q615" i="1" s="1"/>
  <c r="G615" i="1"/>
  <c r="F615" i="1"/>
  <c r="E615" i="1"/>
  <c r="D615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Q614" i="1" s="1"/>
  <c r="O613" i="1"/>
  <c r="N613" i="1"/>
  <c r="M613" i="1"/>
  <c r="L613" i="1"/>
  <c r="K613" i="1"/>
  <c r="J613" i="1"/>
  <c r="I613" i="1"/>
  <c r="H613" i="1"/>
  <c r="Q613" i="1" s="1"/>
  <c r="G613" i="1"/>
  <c r="F613" i="1"/>
  <c r="E613" i="1"/>
  <c r="D613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Q612" i="1" s="1"/>
  <c r="O611" i="1"/>
  <c r="N611" i="1"/>
  <c r="M611" i="1"/>
  <c r="L611" i="1"/>
  <c r="K611" i="1"/>
  <c r="J611" i="1"/>
  <c r="I611" i="1"/>
  <c r="H611" i="1"/>
  <c r="G611" i="1"/>
  <c r="F611" i="1"/>
  <c r="E611" i="1"/>
  <c r="D611" i="1"/>
  <c r="Q611" i="1" s="1"/>
  <c r="O610" i="1"/>
  <c r="N610" i="1"/>
  <c r="M610" i="1"/>
  <c r="L610" i="1"/>
  <c r="K610" i="1"/>
  <c r="J610" i="1"/>
  <c r="I610" i="1"/>
  <c r="H610" i="1"/>
  <c r="G610" i="1"/>
  <c r="F610" i="1"/>
  <c r="E610" i="1"/>
  <c r="D610" i="1"/>
  <c r="Q610" i="1" s="1"/>
  <c r="O609" i="1"/>
  <c r="N609" i="1"/>
  <c r="M609" i="1"/>
  <c r="L609" i="1"/>
  <c r="K609" i="1"/>
  <c r="J609" i="1"/>
  <c r="I609" i="1"/>
  <c r="H609" i="1"/>
  <c r="G609" i="1"/>
  <c r="F609" i="1"/>
  <c r="E609" i="1"/>
  <c r="D609" i="1"/>
  <c r="Q609" i="1" s="1"/>
  <c r="O608" i="1"/>
  <c r="N608" i="1"/>
  <c r="M608" i="1"/>
  <c r="L608" i="1"/>
  <c r="K608" i="1"/>
  <c r="J608" i="1"/>
  <c r="I608" i="1"/>
  <c r="H608" i="1"/>
  <c r="G608" i="1"/>
  <c r="F608" i="1"/>
  <c r="E608" i="1"/>
  <c r="D608" i="1"/>
  <c r="Q608" i="1" s="1"/>
  <c r="O607" i="1"/>
  <c r="N607" i="1"/>
  <c r="M607" i="1"/>
  <c r="L607" i="1"/>
  <c r="K607" i="1"/>
  <c r="J607" i="1"/>
  <c r="I607" i="1"/>
  <c r="H607" i="1"/>
  <c r="Q607" i="1" s="1"/>
  <c r="G607" i="1"/>
  <c r="F607" i="1"/>
  <c r="E607" i="1"/>
  <c r="D607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Q605" i="1" s="1"/>
  <c r="O604" i="1"/>
  <c r="N604" i="1"/>
  <c r="M604" i="1"/>
  <c r="L604" i="1"/>
  <c r="K604" i="1"/>
  <c r="J604" i="1"/>
  <c r="I604" i="1"/>
  <c r="H604" i="1"/>
  <c r="Q604" i="1" s="1"/>
  <c r="G604" i="1"/>
  <c r="F604" i="1"/>
  <c r="E604" i="1"/>
  <c r="D604" i="1"/>
  <c r="O602" i="1"/>
  <c r="O646" i="1" s="1"/>
  <c r="N602" i="1"/>
  <c r="N646" i="1" s="1"/>
  <c r="M602" i="1"/>
  <c r="M646" i="1" s="1"/>
  <c r="L602" i="1"/>
  <c r="L646" i="1" s="1"/>
  <c r="K602" i="1"/>
  <c r="K646" i="1" s="1"/>
  <c r="J602" i="1"/>
  <c r="I602" i="1"/>
  <c r="I646" i="1" s="1"/>
  <c r="H602" i="1"/>
  <c r="H646" i="1" s="1"/>
  <c r="G602" i="1"/>
  <c r="G646" i="1" s="1"/>
  <c r="F602" i="1"/>
  <c r="F646" i="1" s="1"/>
  <c r="E602" i="1"/>
  <c r="E646" i="1" s="1"/>
  <c r="D602" i="1"/>
  <c r="D646" i="1" s="1"/>
  <c r="O601" i="1"/>
  <c r="N601" i="1"/>
  <c r="M601" i="1"/>
  <c r="L601" i="1"/>
  <c r="K601" i="1"/>
  <c r="J601" i="1"/>
  <c r="I601" i="1"/>
  <c r="H601" i="1"/>
  <c r="G601" i="1"/>
  <c r="F601" i="1"/>
  <c r="E601" i="1"/>
  <c r="D601" i="1"/>
  <c r="Q601" i="1" s="1"/>
  <c r="O600" i="1"/>
  <c r="N600" i="1"/>
  <c r="M600" i="1"/>
  <c r="L600" i="1"/>
  <c r="K600" i="1"/>
  <c r="J600" i="1"/>
  <c r="I600" i="1"/>
  <c r="H600" i="1"/>
  <c r="G600" i="1"/>
  <c r="F600" i="1"/>
  <c r="E600" i="1"/>
  <c r="D600" i="1"/>
  <c r="Q600" i="1" s="1"/>
  <c r="O599" i="1"/>
  <c r="N599" i="1"/>
  <c r="M599" i="1"/>
  <c r="L599" i="1"/>
  <c r="K599" i="1"/>
  <c r="J599" i="1"/>
  <c r="I599" i="1"/>
  <c r="H599" i="1"/>
  <c r="G599" i="1"/>
  <c r="F599" i="1"/>
  <c r="E599" i="1"/>
  <c r="D599" i="1"/>
  <c r="Q599" i="1" s="1"/>
  <c r="K595" i="1"/>
  <c r="O593" i="1"/>
  <c r="N593" i="1"/>
  <c r="M593" i="1"/>
  <c r="L593" i="1"/>
  <c r="K593" i="1"/>
  <c r="J593" i="1"/>
  <c r="I593" i="1"/>
  <c r="H593" i="1"/>
  <c r="Q593" i="1" s="1"/>
  <c r="G593" i="1"/>
  <c r="F593" i="1"/>
  <c r="E593" i="1"/>
  <c r="D593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Q591" i="1" s="1"/>
  <c r="O590" i="1"/>
  <c r="N590" i="1"/>
  <c r="M590" i="1"/>
  <c r="L590" i="1"/>
  <c r="K590" i="1"/>
  <c r="J590" i="1"/>
  <c r="I590" i="1"/>
  <c r="H590" i="1"/>
  <c r="G590" i="1"/>
  <c r="F590" i="1"/>
  <c r="E590" i="1"/>
  <c r="D590" i="1"/>
  <c r="Q590" i="1" s="1"/>
  <c r="O589" i="1"/>
  <c r="N589" i="1"/>
  <c r="M589" i="1"/>
  <c r="L589" i="1"/>
  <c r="K589" i="1"/>
  <c r="J589" i="1"/>
  <c r="I589" i="1"/>
  <c r="H589" i="1"/>
  <c r="G589" i="1"/>
  <c r="F589" i="1"/>
  <c r="E589" i="1"/>
  <c r="D589" i="1"/>
  <c r="Q589" i="1" s="1"/>
  <c r="O588" i="1"/>
  <c r="N588" i="1"/>
  <c r="M588" i="1"/>
  <c r="L588" i="1"/>
  <c r="K588" i="1"/>
  <c r="J588" i="1"/>
  <c r="I588" i="1"/>
  <c r="H588" i="1"/>
  <c r="G588" i="1"/>
  <c r="F588" i="1"/>
  <c r="E588" i="1"/>
  <c r="D588" i="1"/>
  <c r="Q588" i="1" s="1"/>
  <c r="O587" i="1"/>
  <c r="N587" i="1"/>
  <c r="M587" i="1"/>
  <c r="L587" i="1"/>
  <c r="K587" i="1"/>
  <c r="J587" i="1"/>
  <c r="I587" i="1"/>
  <c r="H587" i="1"/>
  <c r="G587" i="1"/>
  <c r="F587" i="1"/>
  <c r="E587" i="1"/>
  <c r="D587" i="1"/>
  <c r="Q587" i="1" s="1"/>
  <c r="O586" i="1"/>
  <c r="N586" i="1"/>
  <c r="M586" i="1"/>
  <c r="L586" i="1"/>
  <c r="K586" i="1"/>
  <c r="J586" i="1"/>
  <c r="I586" i="1"/>
  <c r="H586" i="1"/>
  <c r="G586" i="1"/>
  <c r="F586" i="1"/>
  <c r="E586" i="1"/>
  <c r="D586" i="1"/>
  <c r="Q586" i="1" s="1"/>
  <c r="O585" i="1"/>
  <c r="N585" i="1"/>
  <c r="M585" i="1"/>
  <c r="L585" i="1"/>
  <c r="K585" i="1"/>
  <c r="J585" i="1"/>
  <c r="I585" i="1"/>
  <c r="H585" i="1"/>
  <c r="G585" i="1"/>
  <c r="F585" i="1"/>
  <c r="E585" i="1"/>
  <c r="D585" i="1"/>
  <c r="Q585" i="1" s="1"/>
  <c r="O584" i="1"/>
  <c r="N584" i="1"/>
  <c r="M584" i="1"/>
  <c r="L584" i="1"/>
  <c r="K584" i="1"/>
  <c r="J584" i="1"/>
  <c r="I584" i="1"/>
  <c r="H584" i="1"/>
  <c r="Q584" i="1" s="1"/>
  <c r="G584" i="1"/>
  <c r="F584" i="1"/>
  <c r="E584" i="1"/>
  <c r="D584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Q583" i="1" s="1"/>
  <c r="O582" i="1"/>
  <c r="N582" i="1"/>
  <c r="M582" i="1"/>
  <c r="L582" i="1"/>
  <c r="K582" i="1"/>
  <c r="J582" i="1"/>
  <c r="I582" i="1"/>
  <c r="H582" i="1"/>
  <c r="G582" i="1"/>
  <c r="F582" i="1"/>
  <c r="E582" i="1"/>
  <c r="D582" i="1"/>
  <c r="Q582" i="1" s="1"/>
  <c r="O581" i="1"/>
  <c r="N581" i="1"/>
  <c r="M581" i="1"/>
  <c r="L581" i="1"/>
  <c r="K581" i="1"/>
  <c r="J581" i="1"/>
  <c r="I581" i="1"/>
  <c r="H581" i="1"/>
  <c r="G581" i="1"/>
  <c r="F581" i="1"/>
  <c r="E581" i="1"/>
  <c r="D581" i="1"/>
  <c r="Q581" i="1" s="1"/>
  <c r="O580" i="1"/>
  <c r="N580" i="1"/>
  <c r="M580" i="1"/>
  <c r="L580" i="1"/>
  <c r="K580" i="1"/>
  <c r="J580" i="1"/>
  <c r="I580" i="1"/>
  <c r="H580" i="1"/>
  <c r="G580" i="1"/>
  <c r="F580" i="1"/>
  <c r="E580" i="1"/>
  <c r="D580" i="1"/>
  <c r="Q580" i="1" s="1"/>
  <c r="O579" i="1"/>
  <c r="N579" i="1"/>
  <c r="M579" i="1"/>
  <c r="L579" i="1"/>
  <c r="K579" i="1"/>
  <c r="J579" i="1"/>
  <c r="I579" i="1"/>
  <c r="H579" i="1"/>
  <c r="G579" i="1"/>
  <c r="F579" i="1"/>
  <c r="E579" i="1"/>
  <c r="D579" i="1"/>
  <c r="Q579" i="1" s="1"/>
  <c r="O578" i="1"/>
  <c r="N578" i="1"/>
  <c r="M578" i="1"/>
  <c r="L578" i="1"/>
  <c r="K578" i="1"/>
  <c r="J578" i="1"/>
  <c r="I578" i="1"/>
  <c r="H578" i="1"/>
  <c r="G578" i="1"/>
  <c r="F578" i="1"/>
  <c r="E578" i="1"/>
  <c r="D578" i="1"/>
  <c r="Q578" i="1" s="1"/>
  <c r="O577" i="1"/>
  <c r="N577" i="1"/>
  <c r="M577" i="1"/>
  <c r="L577" i="1"/>
  <c r="K577" i="1"/>
  <c r="J577" i="1"/>
  <c r="I577" i="1"/>
  <c r="H577" i="1"/>
  <c r="G577" i="1"/>
  <c r="F577" i="1"/>
  <c r="E577" i="1"/>
  <c r="D577" i="1"/>
  <c r="Q577" i="1" s="1"/>
  <c r="O576" i="1"/>
  <c r="N576" i="1"/>
  <c r="M576" i="1"/>
  <c r="L576" i="1"/>
  <c r="K576" i="1"/>
  <c r="J576" i="1"/>
  <c r="I576" i="1"/>
  <c r="H576" i="1"/>
  <c r="Q576" i="1" s="1"/>
  <c r="G576" i="1"/>
  <c r="F576" i="1"/>
  <c r="E576" i="1"/>
  <c r="D576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Q575" i="1" s="1"/>
  <c r="O574" i="1"/>
  <c r="N574" i="1"/>
  <c r="M574" i="1"/>
  <c r="L574" i="1"/>
  <c r="K574" i="1"/>
  <c r="J574" i="1"/>
  <c r="I574" i="1"/>
  <c r="H574" i="1"/>
  <c r="G574" i="1"/>
  <c r="F574" i="1"/>
  <c r="E574" i="1"/>
  <c r="D574" i="1"/>
  <c r="Q574" i="1" s="1"/>
  <c r="O573" i="1"/>
  <c r="N573" i="1"/>
  <c r="M573" i="1"/>
  <c r="L573" i="1"/>
  <c r="K573" i="1"/>
  <c r="J573" i="1"/>
  <c r="I573" i="1"/>
  <c r="H573" i="1"/>
  <c r="G573" i="1"/>
  <c r="F573" i="1"/>
  <c r="E573" i="1"/>
  <c r="D573" i="1"/>
  <c r="Q573" i="1" s="1"/>
  <c r="O572" i="1"/>
  <c r="N572" i="1"/>
  <c r="M572" i="1"/>
  <c r="L572" i="1"/>
  <c r="K572" i="1"/>
  <c r="J572" i="1"/>
  <c r="I572" i="1"/>
  <c r="H572" i="1"/>
  <c r="G572" i="1"/>
  <c r="F572" i="1"/>
  <c r="E572" i="1"/>
  <c r="D572" i="1"/>
  <c r="Q572" i="1" s="1"/>
  <c r="O571" i="1"/>
  <c r="N571" i="1"/>
  <c r="M571" i="1"/>
  <c r="L571" i="1"/>
  <c r="K571" i="1"/>
  <c r="J571" i="1"/>
  <c r="I571" i="1"/>
  <c r="H571" i="1"/>
  <c r="G571" i="1"/>
  <c r="F571" i="1"/>
  <c r="E571" i="1"/>
  <c r="D571" i="1"/>
  <c r="Q571" i="1" s="1"/>
  <c r="O570" i="1"/>
  <c r="N570" i="1"/>
  <c r="M570" i="1"/>
  <c r="L570" i="1"/>
  <c r="K570" i="1"/>
  <c r="J570" i="1"/>
  <c r="I570" i="1"/>
  <c r="H570" i="1"/>
  <c r="G570" i="1"/>
  <c r="F570" i="1"/>
  <c r="E570" i="1"/>
  <c r="D570" i="1"/>
  <c r="Q570" i="1" s="1"/>
  <c r="O569" i="1"/>
  <c r="N569" i="1"/>
  <c r="M569" i="1"/>
  <c r="L569" i="1"/>
  <c r="K569" i="1"/>
  <c r="J569" i="1"/>
  <c r="I569" i="1"/>
  <c r="H569" i="1"/>
  <c r="G569" i="1"/>
  <c r="F569" i="1"/>
  <c r="E569" i="1"/>
  <c r="D569" i="1"/>
  <c r="Q569" i="1" s="1"/>
  <c r="O568" i="1"/>
  <c r="N568" i="1"/>
  <c r="M568" i="1"/>
  <c r="L568" i="1"/>
  <c r="K568" i="1"/>
  <c r="J568" i="1"/>
  <c r="I568" i="1"/>
  <c r="H568" i="1"/>
  <c r="Q568" i="1" s="1"/>
  <c r="G568" i="1"/>
  <c r="F568" i="1"/>
  <c r="E568" i="1"/>
  <c r="D568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Q567" i="1" s="1"/>
  <c r="O564" i="1"/>
  <c r="N564" i="1"/>
  <c r="M564" i="1"/>
  <c r="L564" i="1"/>
  <c r="K564" i="1"/>
  <c r="J564" i="1"/>
  <c r="I564" i="1"/>
  <c r="H564" i="1"/>
  <c r="G564" i="1"/>
  <c r="F564" i="1"/>
  <c r="E564" i="1"/>
  <c r="D564" i="1"/>
  <c r="Q564" i="1" s="1"/>
  <c r="O563" i="1"/>
  <c r="N563" i="1"/>
  <c r="M563" i="1"/>
  <c r="L563" i="1"/>
  <c r="K563" i="1"/>
  <c r="J563" i="1"/>
  <c r="I563" i="1"/>
  <c r="H563" i="1"/>
  <c r="G563" i="1"/>
  <c r="F563" i="1"/>
  <c r="E563" i="1"/>
  <c r="D563" i="1"/>
  <c r="Q563" i="1" s="1"/>
  <c r="O562" i="1"/>
  <c r="N562" i="1"/>
  <c r="M562" i="1"/>
  <c r="L562" i="1"/>
  <c r="K562" i="1"/>
  <c r="J562" i="1"/>
  <c r="I562" i="1"/>
  <c r="H562" i="1"/>
  <c r="G562" i="1"/>
  <c r="F562" i="1"/>
  <c r="E562" i="1"/>
  <c r="D562" i="1"/>
  <c r="Q562" i="1" s="1"/>
  <c r="O561" i="1"/>
  <c r="N561" i="1"/>
  <c r="M561" i="1"/>
  <c r="L561" i="1"/>
  <c r="K561" i="1"/>
  <c r="J561" i="1"/>
  <c r="I561" i="1"/>
  <c r="H561" i="1"/>
  <c r="G561" i="1"/>
  <c r="F561" i="1"/>
  <c r="E561" i="1"/>
  <c r="D561" i="1"/>
  <c r="Q561" i="1" s="1"/>
  <c r="O560" i="1"/>
  <c r="N560" i="1"/>
  <c r="M560" i="1"/>
  <c r="L560" i="1"/>
  <c r="K560" i="1"/>
  <c r="J560" i="1"/>
  <c r="I560" i="1"/>
  <c r="H560" i="1"/>
  <c r="G560" i="1"/>
  <c r="F560" i="1"/>
  <c r="E560" i="1"/>
  <c r="D560" i="1"/>
  <c r="Q560" i="1" s="1"/>
  <c r="O559" i="1"/>
  <c r="N559" i="1"/>
  <c r="M559" i="1"/>
  <c r="L559" i="1"/>
  <c r="K559" i="1"/>
  <c r="J559" i="1"/>
  <c r="I559" i="1"/>
  <c r="H559" i="1"/>
  <c r="G559" i="1"/>
  <c r="F559" i="1"/>
  <c r="E559" i="1"/>
  <c r="D559" i="1"/>
  <c r="Q559" i="1" s="1"/>
  <c r="O558" i="1"/>
  <c r="N558" i="1"/>
  <c r="M558" i="1"/>
  <c r="L558" i="1"/>
  <c r="K558" i="1"/>
  <c r="J558" i="1"/>
  <c r="I558" i="1"/>
  <c r="H558" i="1"/>
  <c r="Q558" i="1" s="1"/>
  <c r="G558" i="1"/>
  <c r="F558" i="1"/>
  <c r="E558" i="1"/>
  <c r="D558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Q557" i="1" s="1"/>
  <c r="O556" i="1"/>
  <c r="N556" i="1"/>
  <c r="M556" i="1"/>
  <c r="L556" i="1"/>
  <c r="K556" i="1"/>
  <c r="J556" i="1"/>
  <c r="I556" i="1"/>
  <c r="H556" i="1"/>
  <c r="G556" i="1"/>
  <c r="F556" i="1"/>
  <c r="E556" i="1"/>
  <c r="D556" i="1"/>
  <c r="Q556" i="1" s="1"/>
  <c r="O555" i="1"/>
  <c r="N555" i="1"/>
  <c r="M555" i="1"/>
  <c r="L555" i="1"/>
  <c r="K555" i="1"/>
  <c r="J555" i="1"/>
  <c r="I555" i="1"/>
  <c r="H555" i="1"/>
  <c r="G555" i="1"/>
  <c r="F555" i="1"/>
  <c r="E555" i="1"/>
  <c r="D555" i="1"/>
  <c r="Q555" i="1" s="1"/>
  <c r="O554" i="1"/>
  <c r="N554" i="1"/>
  <c r="M554" i="1"/>
  <c r="L554" i="1"/>
  <c r="K554" i="1"/>
  <c r="J554" i="1"/>
  <c r="I554" i="1"/>
  <c r="H554" i="1"/>
  <c r="G554" i="1"/>
  <c r="F554" i="1"/>
  <c r="E554" i="1"/>
  <c r="D554" i="1"/>
  <c r="Q554" i="1" s="1"/>
  <c r="O553" i="1"/>
  <c r="N553" i="1"/>
  <c r="M553" i="1"/>
  <c r="L553" i="1"/>
  <c r="K553" i="1"/>
  <c r="J553" i="1"/>
  <c r="I553" i="1"/>
  <c r="H553" i="1"/>
  <c r="G553" i="1"/>
  <c r="F553" i="1"/>
  <c r="E553" i="1"/>
  <c r="D553" i="1"/>
  <c r="Q553" i="1" s="1"/>
  <c r="O552" i="1"/>
  <c r="N552" i="1"/>
  <c r="M552" i="1"/>
  <c r="L552" i="1"/>
  <c r="K552" i="1"/>
  <c r="J552" i="1"/>
  <c r="I552" i="1"/>
  <c r="H552" i="1"/>
  <c r="G552" i="1"/>
  <c r="F552" i="1"/>
  <c r="E552" i="1"/>
  <c r="D552" i="1"/>
  <c r="Q552" i="1" s="1"/>
  <c r="O551" i="1"/>
  <c r="N551" i="1"/>
  <c r="M551" i="1"/>
  <c r="L551" i="1"/>
  <c r="K551" i="1"/>
  <c r="J551" i="1"/>
  <c r="I551" i="1"/>
  <c r="H551" i="1"/>
  <c r="G551" i="1"/>
  <c r="F551" i="1"/>
  <c r="E551" i="1"/>
  <c r="D551" i="1"/>
  <c r="Q551" i="1" s="1"/>
  <c r="O550" i="1"/>
  <c r="N550" i="1"/>
  <c r="M550" i="1"/>
  <c r="L550" i="1"/>
  <c r="K550" i="1"/>
  <c r="J550" i="1"/>
  <c r="I550" i="1"/>
  <c r="H550" i="1"/>
  <c r="Q550" i="1" s="1"/>
  <c r="G550" i="1"/>
  <c r="F550" i="1"/>
  <c r="E550" i="1"/>
  <c r="D550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Q549" i="1" s="1"/>
  <c r="O548" i="1"/>
  <c r="N548" i="1"/>
  <c r="M548" i="1"/>
  <c r="L548" i="1"/>
  <c r="K548" i="1"/>
  <c r="J548" i="1"/>
  <c r="I548" i="1"/>
  <c r="H548" i="1"/>
  <c r="G548" i="1"/>
  <c r="F548" i="1"/>
  <c r="E548" i="1"/>
  <c r="D548" i="1"/>
  <c r="Q548" i="1" s="1"/>
  <c r="O546" i="1"/>
  <c r="N546" i="1"/>
  <c r="M546" i="1"/>
  <c r="L546" i="1"/>
  <c r="K546" i="1"/>
  <c r="J546" i="1"/>
  <c r="I546" i="1"/>
  <c r="H546" i="1"/>
  <c r="G546" i="1"/>
  <c r="F546" i="1"/>
  <c r="E546" i="1"/>
  <c r="D546" i="1"/>
  <c r="Q546" i="1" s="1"/>
  <c r="O545" i="1"/>
  <c r="N545" i="1"/>
  <c r="M545" i="1"/>
  <c r="L545" i="1"/>
  <c r="K545" i="1"/>
  <c r="J545" i="1"/>
  <c r="I545" i="1"/>
  <c r="H545" i="1"/>
  <c r="G545" i="1"/>
  <c r="F545" i="1"/>
  <c r="E545" i="1"/>
  <c r="D545" i="1"/>
  <c r="Q545" i="1" s="1"/>
  <c r="O544" i="1"/>
  <c r="N544" i="1"/>
  <c r="M544" i="1"/>
  <c r="L544" i="1"/>
  <c r="K544" i="1"/>
  <c r="J544" i="1"/>
  <c r="I544" i="1"/>
  <c r="H544" i="1"/>
  <c r="G544" i="1"/>
  <c r="F544" i="1"/>
  <c r="E544" i="1"/>
  <c r="D544" i="1"/>
  <c r="Q544" i="1" s="1"/>
  <c r="O542" i="1"/>
  <c r="O595" i="1" s="1"/>
  <c r="N542" i="1"/>
  <c r="N595" i="1" s="1"/>
  <c r="M542" i="1"/>
  <c r="M595" i="1" s="1"/>
  <c r="L542" i="1"/>
  <c r="L595" i="1" s="1"/>
  <c r="K542" i="1"/>
  <c r="J542" i="1"/>
  <c r="J595" i="1" s="1"/>
  <c r="I542" i="1"/>
  <c r="I595" i="1" s="1"/>
  <c r="H542" i="1"/>
  <c r="H595" i="1" s="1"/>
  <c r="G542" i="1"/>
  <c r="G595" i="1" s="1"/>
  <c r="F542" i="1"/>
  <c r="F595" i="1" s="1"/>
  <c r="E542" i="1"/>
  <c r="E595" i="1" s="1"/>
  <c r="D542" i="1"/>
  <c r="Q542" i="1" s="1"/>
  <c r="O541" i="1"/>
  <c r="N541" i="1"/>
  <c r="M541" i="1"/>
  <c r="L541" i="1"/>
  <c r="K541" i="1"/>
  <c r="J541" i="1"/>
  <c r="I541" i="1"/>
  <c r="H541" i="1"/>
  <c r="G541" i="1"/>
  <c r="F541" i="1"/>
  <c r="E541" i="1"/>
  <c r="D541" i="1"/>
  <c r="Q541" i="1" s="1"/>
  <c r="O540" i="1"/>
  <c r="N540" i="1"/>
  <c r="M540" i="1"/>
  <c r="L540" i="1"/>
  <c r="K540" i="1"/>
  <c r="J540" i="1"/>
  <c r="I540" i="1"/>
  <c r="H540" i="1"/>
  <c r="Q540" i="1" s="1"/>
  <c r="G540" i="1"/>
  <c r="F540" i="1"/>
  <c r="E540" i="1"/>
  <c r="D540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Q539" i="1" s="1"/>
  <c r="N535" i="1"/>
  <c r="N536" i="1" s="1"/>
  <c r="F535" i="1"/>
  <c r="F536" i="1" s="1"/>
  <c r="J534" i="1"/>
  <c r="O533" i="1"/>
  <c r="O534" i="1" s="1"/>
  <c r="N533" i="1"/>
  <c r="N534" i="1" s="1"/>
  <c r="M533" i="1"/>
  <c r="M534" i="1" s="1"/>
  <c r="L533" i="1"/>
  <c r="L534" i="1" s="1"/>
  <c r="K533" i="1"/>
  <c r="K534" i="1" s="1"/>
  <c r="J533" i="1"/>
  <c r="I533" i="1"/>
  <c r="I534" i="1" s="1"/>
  <c r="H533" i="1"/>
  <c r="H534" i="1" s="1"/>
  <c r="G533" i="1"/>
  <c r="G534" i="1" s="1"/>
  <c r="F533" i="1"/>
  <c r="F534" i="1" s="1"/>
  <c r="E533" i="1"/>
  <c r="E534" i="1" s="1"/>
  <c r="D533" i="1"/>
  <c r="D534" i="1" s="1"/>
  <c r="O532" i="1"/>
  <c r="N532" i="1"/>
  <c r="M532" i="1"/>
  <c r="L532" i="1"/>
  <c r="K532" i="1"/>
  <c r="J532" i="1"/>
  <c r="I532" i="1"/>
  <c r="H532" i="1"/>
  <c r="G532" i="1"/>
  <c r="F532" i="1"/>
  <c r="E532" i="1"/>
  <c r="D532" i="1"/>
  <c r="Q532" i="1" s="1"/>
  <c r="O531" i="1"/>
  <c r="N531" i="1"/>
  <c r="M531" i="1"/>
  <c r="L531" i="1"/>
  <c r="K531" i="1"/>
  <c r="J531" i="1"/>
  <c r="I531" i="1"/>
  <c r="H531" i="1"/>
  <c r="G531" i="1"/>
  <c r="F531" i="1"/>
  <c r="E531" i="1"/>
  <c r="D531" i="1"/>
  <c r="Q531" i="1" s="1"/>
  <c r="O530" i="1"/>
  <c r="N530" i="1"/>
  <c r="M530" i="1"/>
  <c r="L530" i="1"/>
  <c r="K530" i="1"/>
  <c r="J530" i="1"/>
  <c r="I530" i="1"/>
  <c r="H530" i="1"/>
  <c r="G530" i="1"/>
  <c r="F530" i="1"/>
  <c r="E530" i="1"/>
  <c r="D530" i="1"/>
  <c r="Q530" i="1" s="1"/>
  <c r="O529" i="1"/>
  <c r="N529" i="1"/>
  <c r="M529" i="1"/>
  <c r="L529" i="1"/>
  <c r="K529" i="1"/>
  <c r="J529" i="1"/>
  <c r="I529" i="1"/>
  <c r="H529" i="1"/>
  <c r="G529" i="1"/>
  <c r="F529" i="1"/>
  <c r="E529" i="1"/>
  <c r="D529" i="1"/>
  <c r="Q529" i="1" s="1"/>
  <c r="O528" i="1"/>
  <c r="N528" i="1"/>
  <c r="M528" i="1"/>
  <c r="L528" i="1"/>
  <c r="K528" i="1"/>
  <c r="J528" i="1"/>
  <c r="I528" i="1"/>
  <c r="H528" i="1"/>
  <c r="Q528" i="1" s="1"/>
  <c r="G528" i="1"/>
  <c r="F528" i="1"/>
  <c r="E528" i="1"/>
  <c r="D528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Q527" i="1" s="1"/>
  <c r="O526" i="1"/>
  <c r="N526" i="1"/>
  <c r="M526" i="1"/>
  <c r="L526" i="1"/>
  <c r="K526" i="1"/>
  <c r="J526" i="1"/>
  <c r="I526" i="1"/>
  <c r="H526" i="1"/>
  <c r="G526" i="1"/>
  <c r="F526" i="1"/>
  <c r="E526" i="1"/>
  <c r="D526" i="1"/>
  <c r="Q526" i="1" s="1"/>
  <c r="O525" i="1"/>
  <c r="N525" i="1"/>
  <c r="M525" i="1"/>
  <c r="L525" i="1"/>
  <c r="K525" i="1"/>
  <c r="J525" i="1"/>
  <c r="I525" i="1"/>
  <c r="H525" i="1"/>
  <c r="G525" i="1"/>
  <c r="F525" i="1"/>
  <c r="E525" i="1"/>
  <c r="D525" i="1"/>
  <c r="Q525" i="1" s="1"/>
  <c r="K523" i="1"/>
  <c r="O522" i="1"/>
  <c r="O523" i="1" s="1"/>
  <c r="N522" i="1"/>
  <c r="N523" i="1" s="1"/>
  <c r="M522" i="1"/>
  <c r="M523" i="1" s="1"/>
  <c r="L522" i="1"/>
  <c r="L523" i="1" s="1"/>
  <c r="K522" i="1"/>
  <c r="J522" i="1"/>
  <c r="J523" i="1" s="1"/>
  <c r="I522" i="1"/>
  <c r="I523" i="1" s="1"/>
  <c r="H522" i="1"/>
  <c r="H523" i="1" s="1"/>
  <c r="G522" i="1"/>
  <c r="G523" i="1" s="1"/>
  <c r="F522" i="1"/>
  <c r="F523" i="1" s="1"/>
  <c r="E522" i="1"/>
  <c r="E523" i="1" s="1"/>
  <c r="D522" i="1"/>
  <c r="D523" i="1" s="1"/>
  <c r="O521" i="1"/>
  <c r="N521" i="1"/>
  <c r="M521" i="1"/>
  <c r="L521" i="1"/>
  <c r="K521" i="1"/>
  <c r="J521" i="1"/>
  <c r="I521" i="1"/>
  <c r="H521" i="1"/>
  <c r="G521" i="1"/>
  <c r="F521" i="1"/>
  <c r="E521" i="1"/>
  <c r="D521" i="1"/>
  <c r="Q521" i="1" s="1"/>
  <c r="O520" i="1"/>
  <c r="N520" i="1"/>
  <c r="M520" i="1"/>
  <c r="L520" i="1"/>
  <c r="K520" i="1"/>
  <c r="J520" i="1"/>
  <c r="I520" i="1"/>
  <c r="H520" i="1"/>
  <c r="G520" i="1"/>
  <c r="F520" i="1"/>
  <c r="E520" i="1"/>
  <c r="D520" i="1"/>
  <c r="Q520" i="1" s="1"/>
  <c r="O519" i="1"/>
  <c r="N519" i="1"/>
  <c r="M519" i="1"/>
  <c r="L519" i="1"/>
  <c r="K519" i="1"/>
  <c r="J519" i="1"/>
  <c r="I519" i="1"/>
  <c r="H519" i="1"/>
  <c r="G519" i="1"/>
  <c r="F519" i="1"/>
  <c r="E519" i="1"/>
  <c r="D519" i="1"/>
  <c r="Q519" i="1" s="1"/>
  <c r="O518" i="1"/>
  <c r="N518" i="1"/>
  <c r="M518" i="1"/>
  <c r="L518" i="1"/>
  <c r="K518" i="1"/>
  <c r="J518" i="1"/>
  <c r="I518" i="1"/>
  <c r="H518" i="1"/>
  <c r="G518" i="1"/>
  <c r="F518" i="1"/>
  <c r="E518" i="1"/>
  <c r="D518" i="1"/>
  <c r="Q518" i="1" s="1"/>
  <c r="O517" i="1"/>
  <c r="N517" i="1"/>
  <c r="M517" i="1"/>
  <c r="L517" i="1"/>
  <c r="K517" i="1"/>
  <c r="J517" i="1"/>
  <c r="I517" i="1"/>
  <c r="H517" i="1"/>
  <c r="G517" i="1"/>
  <c r="F517" i="1"/>
  <c r="E517" i="1"/>
  <c r="D517" i="1"/>
  <c r="Q517" i="1" s="1"/>
  <c r="O516" i="1"/>
  <c r="N516" i="1"/>
  <c r="M516" i="1"/>
  <c r="L516" i="1"/>
  <c r="K516" i="1"/>
  <c r="J516" i="1"/>
  <c r="I516" i="1"/>
  <c r="H516" i="1"/>
  <c r="G516" i="1"/>
  <c r="F516" i="1"/>
  <c r="E516" i="1"/>
  <c r="D516" i="1"/>
  <c r="Q516" i="1" s="1"/>
  <c r="O515" i="1"/>
  <c r="N515" i="1"/>
  <c r="M515" i="1"/>
  <c r="L515" i="1"/>
  <c r="K515" i="1"/>
  <c r="J515" i="1"/>
  <c r="I515" i="1"/>
  <c r="H515" i="1"/>
  <c r="G515" i="1"/>
  <c r="F515" i="1"/>
  <c r="E515" i="1"/>
  <c r="D515" i="1"/>
  <c r="Q515" i="1" s="1"/>
  <c r="O514" i="1"/>
  <c r="N514" i="1"/>
  <c r="M514" i="1"/>
  <c r="L514" i="1"/>
  <c r="K514" i="1"/>
  <c r="J514" i="1"/>
  <c r="I514" i="1"/>
  <c r="H514" i="1"/>
  <c r="Q514" i="1" s="1"/>
  <c r="G514" i="1"/>
  <c r="F514" i="1"/>
  <c r="E514" i="1"/>
  <c r="D514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Q513" i="1" s="1"/>
  <c r="O512" i="1"/>
  <c r="N512" i="1"/>
  <c r="M512" i="1"/>
  <c r="L512" i="1"/>
  <c r="K512" i="1"/>
  <c r="J512" i="1"/>
  <c r="I512" i="1"/>
  <c r="H512" i="1"/>
  <c r="G512" i="1"/>
  <c r="F512" i="1"/>
  <c r="E512" i="1"/>
  <c r="D512" i="1"/>
  <c r="Q512" i="1" s="1"/>
  <c r="O511" i="1"/>
  <c r="N511" i="1"/>
  <c r="M511" i="1"/>
  <c r="L511" i="1"/>
  <c r="K511" i="1"/>
  <c r="J511" i="1"/>
  <c r="I511" i="1"/>
  <c r="H511" i="1"/>
  <c r="G511" i="1"/>
  <c r="F511" i="1"/>
  <c r="E511" i="1"/>
  <c r="D511" i="1"/>
  <c r="Q511" i="1" s="1"/>
  <c r="O510" i="1"/>
  <c r="N510" i="1"/>
  <c r="M510" i="1"/>
  <c r="L510" i="1"/>
  <c r="K510" i="1"/>
  <c r="J510" i="1"/>
  <c r="I510" i="1"/>
  <c r="H510" i="1"/>
  <c r="G510" i="1"/>
  <c r="F510" i="1"/>
  <c r="E510" i="1"/>
  <c r="D510" i="1"/>
  <c r="Q510" i="1" s="1"/>
  <c r="O509" i="1"/>
  <c r="N509" i="1"/>
  <c r="M509" i="1"/>
  <c r="L509" i="1"/>
  <c r="K509" i="1"/>
  <c r="J509" i="1"/>
  <c r="I509" i="1"/>
  <c r="H509" i="1"/>
  <c r="G509" i="1"/>
  <c r="F509" i="1"/>
  <c r="E509" i="1"/>
  <c r="D509" i="1"/>
  <c r="Q509" i="1" s="1"/>
  <c r="O508" i="1"/>
  <c r="N508" i="1"/>
  <c r="M508" i="1"/>
  <c r="L508" i="1"/>
  <c r="K508" i="1"/>
  <c r="J508" i="1"/>
  <c r="I508" i="1"/>
  <c r="H508" i="1"/>
  <c r="G508" i="1"/>
  <c r="F508" i="1"/>
  <c r="E508" i="1"/>
  <c r="D508" i="1"/>
  <c r="Q508" i="1" s="1"/>
  <c r="O507" i="1"/>
  <c r="N507" i="1"/>
  <c r="M507" i="1"/>
  <c r="L507" i="1"/>
  <c r="K507" i="1"/>
  <c r="J507" i="1"/>
  <c r="I507" i="1"/>
  <c r="H507" i="1"/>
  <c r="G507" i="1"/>
  <c r="F507" i="1"/>
  <c r="E507" i="1"/>
  <c r="Q507" i="1" s="1"/>
  <c r="D507" i="1"/>
  <c r="O506" i="1"/>
  <c r="N506" i="1"/>
  <c r="M506" i="1"/>
  <c r="L506" i="1"/>
  <c r="K506" i="1"/>
  <c r="J506" i="1"/>
  <c r="I506" i="1"/>
  <c r="H506" i="1"/>
  <c r="Q506" i="1" s="1"/>
  <c r="G506" i="1"/>
  <c r="F506" i="1"/>
  <c r="E506" i="1"/>
  <c r="D506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Q504" i="1" s="1"/>
  <c r="O503" i="1"/>
  <c r="N503" i="1"/>
  <c r="M503" i="1"/>
  <c r="L503" i="1"/>
  <c r="K503" i="1"/>
  <c r="J503" i="1"/>
  <c r="I503" i="1"/>
  <c r="H503" i="1"/>
  <c r="G503" i="1"/>
  <c r="F503" i="1"/>
  <c r="E503" i="1"/>
  <c r="D503" i="1"/>
  <c r="Q503" i="1" s="1"/>
  <c r="O502" i="1"/>
  <c r="N502" i="1"/>
  <c r="M502" i="1"/>
  <c r="L502" i="1"/>
  <c r="K502" i="1"/>
  <c r="J502" i="1"/>
  <c r="I502" i="1"/>
  <c r="H502" i="1"/>
  <c r="G502" i="1"/>
  <c r="F502" i="1"/>
  <c r="E502" i="1"/>
  <c r="D502" i="1"/>
  <c r="Q502" i="1" s="1"/>
  <c r="O501" i="1"/>
  <c r="N501" i="1"/>
  <c r="M501" i="1"/>
  <c r="L501" i="1"/>
  <c r="K501" i="1"/>
  <c r="J501" i="1"/>
  <c r="I501" i="1"/>
  <c r="H501" i="1"/>
  <c r="G501" i="1"/>
  <c r="F501" i="1"/>
  <c r="E501" i="1"/>
  <c r="D501" i="1"/>
  <c r="Q501" i="1" s="1"/>
  <c r="O499" i="1"/>
  <c r="O535" i="1" s="1"/>
  <c r="O536" i="1" s="1"/>
  <c r="N499" i="1"/>
  <c r="M499" i="1"/>
  <c r="M535" i="1" s="1"/>
  <c r="M536" i="1" s="1"/>
  <c r="L499" i="1"/>
  <c r="L535" i="1" s="1"/>
  <c r="L536" i="1" s="1"/>
  <c r="K499" i="1"/>
  <c r="K535" i="1" s="1"/>
  <c r="K536" i="1" s="1"/>
  <c r="J499" i="1"/>
  <c r="J535" i="1" s="1"/>
  <c r="J536" i="1" s="1"/>
  <c r="I499" i="1"/>
  <c r="I535" i="1" s="1"/>
  <c r="I536" i="1" s="1"/>
  <c r="H499" i="1"/>
  <c r="H535" i="1" s="1"/>
  <c r="H536" i="1" s="1"/>
  <c r="G499" i="1"/>
  <c r="G535" i="1" s="1"/>
  <c r="G536" i="1" s="1"/>
  <c r="F499" i="1"/>
  <c r="E499" i="1"/>
  <c r="E535" i="1" s="1"/>
  <c r="E536" i="1" s="1"/>
  <c r="D499" i="1"/>
  <c r="Q499" i="1" s="1"/>
  <c r="O498" i="1"/>
  <c r="N498" i="1"/>
  <c r="M498" i="1"/>
  <c r="L498" i="1"/>
  <c r="K498" i="1"/>
  <c r="J498" i="1"/>
  <c r="I498" i="1"/>
  <c r="H498" i="1"/>
  <c r="G498" i="1"/>
  <c r="F498" i="1"/>
  <c r="E498" i="1"/>
  <c r="D498" i="1"/>
  <c r="Q498" i="1" s="1"/>
  <c r="O497" i="1"/>
  <c r="N497" i="1"/>
  <c r="M497" i="1"/>
  <c r="L497" i="1"/>
  <c r="K497" i="1"/>
  <c r="J497" i="1"/>
  <c r="I497" i="1"/>
  <c r="H497" i="1"/>
  <c r="G497" i="1"/>
  <c r="F497" i="1"/>
  <c r="E497" i="1"/>
  <c r="D497" i="1"/>
  <c r="Q497" i="1" s="1"/>
  <c r="O496" i="1"/>
  <c r="N496" i="1"/>
  <c r="M496" i="1"/>
  <c r="L496" i="1"/>
  <c r="K496" i="1"/>
  <c r="J496" i="1"/>
  <c r="I496" i="1"/>
  <c r="H496" i="1"/>
  <c r="Q496" i="1" s="1"/>
  <c r="G496" i="1"/>
  <c r="F496" i="1"/>
  <c r="E496" i="1"/>
  <c r="D496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Q495" i="1" s="1"/>
  <c r="N491" i="1"/>
  <c r="N492" i="1" s="1"/>
  <c r="F491" i="1"/>
  <c r="F492" i="1" s="1"/>
  <c r="O489" i="1"/>
  <c r="O490" i="1" s="1"/>
  <c r="N489" i="1"/>
  <c r="N490" i="1" s="1"/>
  <c r="M489" i="1"/>
  <c r="M490" i="1" s="1"/>
  <c r="L489" i="1"/>
  <c r="K489" i="1"/>
  <c r="J489" i="1"/>
  <c r="I489" i="1"/>
  <c r="H489" i="1"/>
  <c r="H490" i="1" s="1"/>
  <c r="G489" i="1"/>
  <c r="G490" i="1" s="1"/>
  <c r="F489" i="1"/>
  <c r="F490" i="1" s="1"/>
  <c r="E489" i="1"/>
  <c r="E490" i="1" s="1"/>
  <c r="D489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Q488" i="1" s="1"/>
  <c r="O487" i="1"/>
  <c r="N487" i="1"/>
  <c r="M487" i="1"/>
  <c r="L487" i="1"/>
  <c r="K487" i="1"/>
  <c r="J487" i="1"/>
  <c r="I487" i="1"/>
  <c r="H487" i="1"/>
  <c r="G487" i="1"/>
  <c r="F487" i="1"/>
  <c r="E487" i="1"/>
  <c r="D487" i="1"/>
  <c r="Q487" i="1" s="1"/>
  <c r="O486" i="1"/>
  <c r="N486" i="1"/>
  <c r="M486" i="1"/>
  <c r="L486" i="1"/>
  <c r="K486" i="1"/>
  <c r="J486" i="1"/>
  <c r="I486" i="1"/>
  <c r="H486" i="1"/>
  <c r="G486" i="1"/>
  <c r="F486" i="1"/>
  <c r="E486" i="1"/>
  <c r="D486" i="1"/>
  <c r="Q486" i="1" s="1"/>
  <c r="O485" i="1"/>
  <c r="N485" i="1"/>
  <c r="M485" i="1"/>
  <c r="L485" i="1"/>
  <c r="K485" i="1"/>
  <c r="J485" i="1"/>
  <c r="I485" i="1"/>
  <c r="H485" i="1"/>
  <c r="G485" i="1"/>
  <c r="F485" i="1"/>
  <c r="E485" i="1"/>
  <c r="D485" i="1"/>
  <c r="Q485" i="1" s="1"/>
  <c r="O484" i="1"/>
  <c r="N484" i="1"/>
  <c r="M484" i="1"/>
  <c r="L484" i="1"/>
  <c r="K484" i="1"/>
  <c r="J484" i="1"/>
  <c r="I484" i="1"/>
  <c r="H484" i="1"/>
  <c r="Q484" i="1" s="1"/>
  <c r="G484" i="1"/>
  <c r="F484" i="1"/>
  <c r="E484" i="1"/>
  <c r="D484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Q483" i="1" s="1"/>
  <c r="O482" i="1"/>
  <c r="N482" i="1"/>
  <c r="M482" i="1"/>
  <c r="L482" i="1"/>
  <c r="K482" i="1"/>
  <c r="J482" i="1"/>
  <c r="I482" i="1"/>
  <c r="H482" i="1"/>
  <c r="G482" i="1"/>
  <c r="F482" i="1"/>
  <c r="E482" i="1"/>
  <c r="D482" i="1"/>
  <c r="Q482" i="1" s="1"/>
  <c r="O481" i="1"/>
  <c r="N481" i="1"/>
  <c r="M481" i="1"/>
  <c r="L481" i="1"/>
  <c r="K481" i="1"/>
  <c r="J481" i="1"/>
  <c r="I481" i="1"/>
  <c r="H481" i="1"/>
  <c r="G481" i="1"/>
  <c r="F481" i="1"/>
  <c r="E481" i="1"/>
  <c r="D481" i="1"/>
  <c r="Q481" i="1" s="1"/>
  <c r="O478" i="1"/>
  <c r="O479" i="1" s="1"/>
  <c r="N478" i="1"/>
  <c r="N479" i="1" s="1"/>
  <c r="M478" i="1"/>
  <c r="M479" i="1" s="1"/>
  <c r="L478" i="1"/>
  <c r="K478" i="1"/>
  <c r="K479" i="1" s="1"/>
  <c r="J478" i="1"/>
  <c r="J479" i="1" s="1"/>
  <c r="I478" i="1"/>
  <c r="H478" i="1"/>
  <c r="H479" i="1" s="1"/>
  <c r="G478" i="1"/>
  <c r="G479" i="1" s="1"/>
  <c r="F478" i="1"/>
  <c r="F479" i="1" s="1"/>
  <c r="E478" i="1"/>
  <c r="E479" i="1" s="1"/>
  <c r="D478" i="1"/>
  <c r="O477" i="1"/>
  <c r="N477" i="1"/>
  <c r="M477" i="1"/>
  <c r="L477" i="1"/>
  <c r="K477" i="1"/>
  <c r="J477" i="1"/>
  <c r="I477" i="1"/>
  <c r="H477" i="1"/>
  <c r="Q477" i="1" s="1"/>
  <c r="G477" i="1"/>
  <c r="F477" i="1"/>
  <c r="E477" i="1"/>
  <c r="D477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Q476" i="1" s="1"/>
  <c r="O475" i="1"/>
  <c r="N475" i="1"/>
  <c r="M475" i="1"/>
  <c r="L475" i="1"/>
  <c r="K475" i="1"/>
  <c r="J475" i="1"/>
  <c r="I475" i="1"/>
  <c r="H475" i="1"/>
  <c r="G475" i="1"/>
  <c r="F475" i="1"/>
  <c r="E475" i="1"/>
  <c r="D475" i="1"/>
  <c r="Q475" i="1" s="1"/>
  <c r="O474" i="1"/>
  <c r="N474" i="1"/>
  <c r="M474" i="1"/>
  <c r="L474" i="1"/>
  <c r="K474" i="1"/>
  <c r="J474" i="1"/>
  <c r="I474" i="1"/>
  <c r="H474" i="1"/>
  <c r="G474" i="1"/>
  <c r="F474" i="1"/>
  <c r="E474" i="1"/>
  <c r="D474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Q473" i="1" s="1"/>
  <c r="O472" i="1"/>
  <c r="N472" i="1"/>
  <c r="M472" i="1"/>
  <c r="L472" i="1"/>
  <c r="K472" i="1"/>
  <c r="J472" i="1"/>
  <c r="I472" i="1"/>
  <c r="H472" i="1"/>
  <c r="G472" i="1"/>
  <c r="F472" i="1"/>
  <c r="E472" i="1"/>
  <c r="D472" i="1"/>
  <c r="Q472" i="1" s="1"/>
  <c r="O471" i="1"/>
  <c r="N471" i="1"/>
  <c r="M471" i="1"/>
  <c r="L471" i="1"/>
  <c r="K471" i="1"/>
  <c r="J471" i="1"/>
  <c r="I471" i="1"/>
  <c r="H471" i="1"/>
  <c r="G471" i="1"/>
  <c r="F471" i="1"/>
  <c r="E471" i="1"/>
  <c r="D471" i="1"/>
  <c r="Q471" i="1" s="1"/>
  <c r="O470" i="1"/>
  <c r="N470" i="1"/>
  <c r="M470" i="1"/>
  <c r="L470" i="1"/>
  <c r="K470" i="1"/>
  <c r="J470" i="1"/>
  <c r="I470" i="1"/>
  <c r="H470" i="1"/>
  <c r="G470" i="1"/>
  <c r="F470" i="1"/>
  <c r="E470" i="1"/>
  <c r="D470" i="1"/>
  <c r="O469" i="1"/>
  <c r="N469" i="1"/>
  <c r="M469" i="1"/>
  <c r="L469" i="1"/>
  <c r="K469" i="1"/>
  <c r="J469" i="1"/>
  <c r="I469" i="1"/>
  <c r="H469" i="1"/>
  <c r="Q469" i="1" s="1"/>
  <c r="G469" i="1"/>
  <c r="F469" i="1"/>
  <c r="E469" i="1"/>
  <c r="D469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Q468" i="1" s="1"/>
  <c r="O467" i="1"/>
  <c r="N467" i="1"/>
  <c r="M467" i="1"/>
  <c r="L467" i="1"/>
  <c r="K467" i="1"/>
  <c r="J467" i="1"/>
  <c r="I467" i="1"/>
  <c r="H467" i="1"/>
  <c r="G467" i="1"/>
  <c r="F467" i="1"/>
  <c r="E467" i="1"/>
  <c r="D467" i="1"/>
  <c r="Q467" i="1" s="1"/>
  <c r="O466" i="1"/>
  <c r="N466" i="1"/>
  <c r="M466" i="1"/>
  <c r="L466" i="1"/>
  <c r="K466" i="1"/>
  <c r="J466" i="1"/>
  <c r="I466" i="1"/>
  <c r="H466" i="1"/>
  <c r="G466" i="1"/>
  <c r="F466" i="1"/>
  <c r="E466" i="1"/>
  <c r="D466" i="1"/>
  <c r="Q466" i="1" s="1"/>
  <c r="O465" i="1"/>
  <c r="N465" i="1"/>
  <c r="M465" i="1"/>
  <c r="L465" i="1"/>
  <c r="K465" i="1"/>
  <c r="J465" i="1"/>
  <c r="I465" i="1"/>
  <c r="H465" i="1"/>
  <c r="G465" i="1"/>
  <c r="F465" i="1"/>
  <c r="E465" i="1"/>
  <c r="D465" i="1"/>
  <c r="Q465" i="1" s="1"/>
  <c r="O464" i="1"/>
  <c r="N464" i="1"/>
  <c r="M464" i="1"/>
  <c r="L464" i="1"/>
  <c r="K464" i="1"/>
  <c r="J464" i="1"/>
  <c r="I464" i="1"/>
  <c r="H464" i="1"/>
  <c r="G464" i="1"/>
  <c r="F464" i="1"/>
  <c r="E464" i="1"/>
  <c r="D464" i="1"/>
  <c r="Q464" i="1" s="1"/>
  <c r="O463" i="1"/>
  <c r="N463" i="1"/>
  <c r="M463" i="1"/>
  <c r="L463" i="1"/>
  <c r="K463" i="1"/>
  <c r="J463" i="1"/>
  <c r="I463" i="1"/>
  <c r="H463" i="1"/>
  <c r="G463" i="1"/>
  <c r="F463" i="1"/>
  <c r="E463" i="1"/>
  <c r="D463" i="1"/>
  <c r="Q463" i="1" s="1"/>
  <c r="O462" i="1"/>
  <c r="N462" i="1"/>
  <c r="M462" i="1"/>
  <c r="L462" i="1"/>
  <c r="K462" i="1"/>
  <c r="J462" i="1"/>
  <c r="I462" i="1"/>
  <c r="H462" i="1"/>
  <c r="Q462" i="1" s="1"/>
  <c r="G462" i="1"/>
  <c r="F462" i="1"/>
  <c r="E462" i="1"/>
  <c r="D462" i="1"/>
  <c r="O460" i="1"/>
  <c r="N460" i="1"/>
  <c r="M460" i="1"/>
  <c r="L460" i="1"/>
  <c r="K460" i="1"/>
  <c r="J460" i="1"/>
  <c r="I460" i="1"/>
  <c r="H460" i="1"/>
  <c r="G460" i="1"/>
  <c r="Q460" i="1" s="1"/>
  <c r="F460" i="1"/>
  <c r="E460" i="1"/>
  <c r="D460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O455" i="1"/>
  <c r="N455" i="1"/>
  <c r="M455" i="1"/>
  <c r="L455" i="1"/>
  <c r="K455" i="1"/>
  <c r="J455" i="1"/>
  <c r="I455" i="1"/>
  <c r="H455" i="1"/>
  <c r="G455" i="1"/>
  <c r="Q455" i="1" s="1"/>
  <c r="F455" i="1"/>
  <c r="E455" i="1"/>
  <c r="D455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O452" i="1"/>
  <c r="O491" i="1" s="1"/>
  <c r="O492" i="1" s="1"/>
  <c r="N452" i="1"/>
  <c r="M452" i="1"/>
  <c r="M491" i="1" s="1"/>
  <c r="M492" i="1" s="1"/>
  <c r="L452" i="1"/>
  <c r="L491" i="1" s="1"/>
  <c r="L492" i="1" s="1"/>
  <c r="K452" i="1"/>
  <c r="J452" i="1"/>
  <c r="I452" i="1"/>
  <c r="I491" i="1" s="1"/>
  <c r="I492" i="1" s="1"/>
  <c r="H452" i="1"/>
  <c r="H491" i="1" s="1"/>
  <c r="H492" i="1" s="1"/>
  <c r="G452" i="1"/>
  <c r="G491" i="1" s="1"/>
  <c r="G492" i="1" s="1"/>
  <c r="F452" i="1"/>
  <c r="E452" i="1"/>
  <c r="E491" i="1" s="1"/>
  <c r="E492" i="1" s="1"/>
  <c r="D452" i="1"/>
  <c r="O451" i="1"/>
  <c r="N451" i="1"/>
  <c r="M451" i="1"/>
  <c r="L451" i="1"/>
  <c r="K451" i="1"/>
  <c r="J451" i="1"/>
  <c r="I451" i="1"/>
  <c r="H451" i="1"/>
  <c r="G451" i="1"/>
  <c r="Q451" i="1" s="1"/>
  <c r="F451" i="1"/>
  <c r="E451" i="1"/>
  <c r="D451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O449" i="1"/>
  <c r="N449" i="1"/>
  <c r="M449" i="1"/>
  <c r="L449" i="1"/>
  <c r="K449" i="1"/>
  <c r="J449" i="1"/>
  <c r="I449" i="1"/>
  <c r="H449" i="1"/>
  <c r="Q449" i="1" s="1"/>
  <c r="G449" i="1"/>
  <c r="F449" i="1"/>
  <c r="E449" i="1"/>
  <c r="D449" i="1"/>
  <c r="O448" i="1"/>
  <c r="N448" i="1"/>
  <c r="M448" i="1"/>
  <c r="L448" i="1"/>
  <c r="K448" i="1"/>
  <c r="J448" i="1"/>
  <c r="I448" i="1"/>
  <c r="H448" i="1"/>
  <c r="G448" i="1"/>
  <c r="F448" i="1"/>
  <c r="E448" i="1"/>
  <c r="Q448" i="1" s="1"/>
  <c r="D448" i="1"/>
  <c r="H442" i="1"/>
  <c r="O441" i="1"/>
  <c r="N441" i="1"/>
  <c r="M441" i="1"/>
  <c r="L441" i="1"/>
  <c r="K441" i="1"/>
  <c r="J441" i="1"/>
  <c r="I441" i="1"/>
  <c r="H441" i="1"/>
  <c r="G441" i="1"/>
  <c r="F441" i="1"/>
  <c r="Q441" i="1" s="1"/>
  <c r="E441" i="1"/>
  <c r="D441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O439" i="1"/>
  <c r="N439" i="1"/>
  <c r="M439" i="1"/>
  <c r="L439" i="1"/>
  <c r="K439" i="1"/>
  <c r="J439" i="1"/>
  <c r="I439" i="1"/>
  <c r="H439" i="1"/>
  <c r="G439" i="1"/>
  <c r="Q439" i="1" s="1"/>
  <c r="F439" i="1"/>
  <c r="E439" i="1"/>
  <c r="D439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Q437" i="1" s="1"/>
  <c r="O436" i="1"/>
  <c r="N436" i="1"/>
  <c r="M436" i="1"/>
  <c r="L436" i="1"/>
  <c r="K436" i="1"/>
  <c r="J436" i="1"/>
  <c r="I436" i="1"/>
  <c r="I442" i="1" s="1"/>
  <c r="H436" i="1"/>
  <c r="G436" i="1"/>
  <c r="F436" i="1"/>
  <c r="E436" i="1"/>
  <c r="D436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O434" i="1"/>
  <c r="O442" i="1" s="1"/>
  <c r="N434" i="1"/>
  <c r="N442" i="1" s="1"/>
  <c r="M434" i="1"/>
  <c r="L434" i="1"/>
  <c r="K434" i="1"/>
  <c r="J434" i="1"/>
  <c r="J442" i="1" s="1"/>
  <c r="I434" i="1"/>
  <c r="H434" i="1"/>
  <c r="G434" i="1"/>
  <c r="G442" i="1" s="1"/>
  <c r="F434" i="1"/>
  <c r="F442" i="1" s="1"/>
  <c r="E434" i="1"/>
  <c r="D434" i="1"/>
  <c r="O431" i="1"/>
  <c r="N431" i="1"/>
  <c r="M431" i="1"/>
  <c r="L431" i="1"/>
  <c r="K431" i="1"/>
  <c r="J431" i="1"/>
  <c r="I431" i="1"/>
  <c r="H431" i="1"/>
  <c r="G431" i="1"/>
  <c r="Q431" i="1" s="1"/>
  <c r="F431" i="1"/>
  <c r="E431" i="1"/>
  <c r="D431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O429" i="1"/>
  <c r="N429" i="1"/>
  <c r="M429" i="1"/>
  <c r="L429" i="1"/>
  <c r="K429" i="1"/>
  <c r="J429" i="1"/>
  <c r="I429" i="1"/>
  <c r="H429" i="1"/>
  <c r="Q429" i="1" s="1"/>
  <c r="G429" i="1"/>
  <c r="F429" i="1"/>
  <c r="E429" i="1"/>
  <c r="D429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Q428" i="1" s="1"/>
  <c r="O427" i="1"/>
  <c r="N427" i="1"/>
  <c r="M427" i="1"/>
  <c r="L427" i="1"/>
  <c r="K427" i="1"/>
  <c r="J427" i="1"/>
  <c r="I427" i="1"/>
  <c r="H427" i="1"/>
  <c r="Q427" i="1" s="1"/>
  <c r="G427" i="1"/>
  <c r="F427" i="1"/>
  <c r="E427" i="1"/>
  <c r="D427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O424" i="1"/>
  <c r="N424" i="1"/>
  <c r="M424" i="1"/>
  <c r="L424" i="1"/>
  <c r="K424" i="1"/>
  <c r="J424" i="1"/>
  <c r="I424" i="1"/>
  <c r="H424" i="1"/>
  <c r="G424" i="1"/>
  <c r="Q424" i="1" s="1"/>
  <c r="F424" i="1"/>
  <c r="E424" i="1"/>
  <c r="D424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Q423" i="1" s="1"/>
  <c r="O422" i="1"/>
  <c r="N422" i="1"/>
  <c r="M422" i="1"/>
  <c r="L422" i="1"/>
  <c r="K422" i="1"/>
  <c r="J422" i="1"/>
  <c r="I422" i="1"/>
  <c r="H422" i="1"/>
  <c r="G422" i="1"/>
  <c r="F422" i="1"/>
  <c r="E422" i="1"/>
  <c r="D422" i="1"/>
  <c r="Q422" i="1" s="1"/>
  <c r="O421" i="1"/>
  <c r="N421" i="1"/>
  <c r="M421" i="1"/>
  <c r="L421" i="1"/>
  <c r="K421" i="1"/>
  <c r="J421" i="1"/>
  <c r="I421" i="1"/>
  <c r="H421" i="1"/>
  <c r="G421" i="1"/>
  <c r="F421" i="1"/>
  <c r="E421" i="1"/>
  <c r="D421" i="1"/>
  <c r="Q421" i="1" s="1"/>
  <c r="O420" i="1"/>
  <c r="N420" i="1"/>
  <c r="M420" i="1"/>
  <c r="L420" i="1"/>
  <c r="K420" i="1"/>
  <c r="J420" i="1"/>
  <c r="I420" i="1"/>
  <c r="H420" i="1"/>
  <c r="G420" i="1"/>
  <c r="F420" i="1"/>
  <c r="E420" i="1"/>
  <c r="D420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O417" i="1"/>
  <c r="N417" i="1"/>
  <c r="M417" i="1"/>
  <c r="L417" i="1"/>
  <c r="K417" i="1"/>
  <c r="J417" i="1"/>
  <c r="I417" i="1"/>
  <c r="H417" i="1"/>
  <c r="Q417" i="1" s="1"/>
  <c r="G417" i="1"/>
  <c r="F417" i="1"/>
  <c r="E417" i="1"/>
  <c r="D417" i="1"/>
  <c r="O416" i="1"/>
  <c r="N416" i="1"/>
  <c r="M416" i="1"/>
  <c r="L416" i="1"/>
  <c r="K416" i="1"/>
  <c r="J416" i="1"/>
  <c r="I416" i="1"/>
  <c r="H416" i="1"/>
  <c r="G416" i="1"/>
  <c r="F416" i="1"/>
  <c r="E416" i="1"/>
  <c r="Q416" i="1" s="1"/>
  <c r="D416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Q415" i="1" s="1"/>
  <c r="O414" i="1"/>
  <c r="N414" i="1"/>
  <c r="M414" i="1"/>
  <c r="L414" i="1"/>
  <c r="K414" i="1"/>
  <c r="J414" i="1"/>
  <c r="I414" i="1"/>
  <c r="H414" i="1"/>
  <c r="G414" i="1"/>
  <c r="F414" i="1"/>
  <c r="E414" i="1"/>
  <c r="D414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Q410" i="1" s="1"/>
  <c r="O408" i="1"/>
  <c r="N408" i="1"/>
  <c r="M408" i="1"/>
  <c r="L408" i="1"/>
  <c r="K408" i="1"/>
  <c r="J408" i="1"/>
  <c r="I408" i="1"/>
  <c r="H408" i="1"/>
  <c r="G408" i="1"/>
  <c r="F408" i="1"/>
  <c r="E408" i="1"/>
  <c r="Q408" i="1" s="1"/>
  <c r="D408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Q407" i="1" s="1"/>
  <c r="O406" i="1"/>
  <c r="N406" i="1"/>
  <c r="M406" i="1"/>
  <c r="L406" i="1"/>
  <c r="K406" i="1"/>
  <c r="J406" i="1"/>
  <c r="I406" i="1"/>
  <c r="H406" i="1"/>
  <c r="G406" i="1"/>
  <c r="F406" i="1"/>
  <c r="E406" i="1"/>
  <c r="D406" i="1"/>
  <c r="O405" i="1"/>
  <c r="N405" i="1"/>
  <c r="M405" i="1"/>
  <c r="L405" i="1"/>
  <c r="K405" i="1"/>
  <c r="J405" i="1"/>
  <c r="I405" i="1"/>
  <c r="H405" i="1"/>
  <c r="Q405" i="1" s="1"/>
  <c r="G405" i="1"/>
  <c r="F405" i="1"/>
  <c r="E405" i="1"/>
  <c r="D405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Q404" i="1" s="1"/>
  <c r="O398" i="1"/>
  <c r="N398" i="1"/>
  <c r="M398" i="1"/>
  <c r="L398" i="1"/>
  <c r="K398" i="1"/>
  <c r="J398" i="1"/>
  <c r="I398" i="1"/>
  <c r="H398" i="1"/>
  <c r="G398" i="1"/>
  <c r="F398" i="1"/>
  <c r="E398" i="1"/>
  <c r="D398" i="1"/>
  <c r="Q398" i="1" s="1"/>
  <c r="O397" i="1"/>
  <c r="N397" i="1"/>
  <c r="M397" i="1"/>
  <c r="L397" i="1"/>
  <c r="K397" i="1"/>
  <c r="J397" i="1"/>
  <c r="I397" i="1"/>
  <c r="H397" i="1"/>
  <c r="G397" i="1"/>
  <c r="F397" i="1"/>
  <c r="E397" i="1"/>
  <c r="Q397" i="1" s="1"/>
  <c r="D397" i="1"/>
  <c r="O396" i="1"/>
  <c r="N396" i="1"/>
  <c r="M396" i="1"/>
  <c r="L396" i="1"/>
  <c r="K396" i="1"/>
  <c r="J396" i="1"/>
  <c r="I396" i="1"/>
  <c r="H396" i="1"/>
  <c r="G396" i="1"/>
  <c r="F396" i="1"/>
  <c r="E396" i="1"/>
  <c r="Q396" i="1" s="1"/>
  <c r="D396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O394" i="1"/>
  <c r="N394" i="1"/>
  <c r="M394" i="1"/>
  <c r="L394" i="1"/>
  <c r="K394" i="1"/>
  <c r="J394" i="1"/>
  <c r="I394" i="1"/>
  <c r="H394" i="1"/>
  <c r="Q394" i="1" s="1"/>
  <c r="G394" i="1"/>
  <c r="F394" i="1"/>
  <c r="E394" i="1"/>
  <c r="D394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Q393" i="1" s="1"/>
  <c r="O392" i="1"/>
  <c r="N392" i="1"/>
  <c r="M392" i="1"/>
  <c r="L392" i="1"/>
  <c r="K392" i="1"/>
  <c r="J392" i="1"/>
  <c r="I392" i="1"/>
  <c r="H392" i="1"/>
  <c r="G392" i="1"/>
  <c r="F392" i="1"/>
  <c r="E392" i="1"/>
  <c r="D392" i="1"/>
  <c r="O391" i="1"/>
  <c r="N391" i="1"/>
  <c r="M391" i="1"/>
  <c r="L391" i="1"/>
  <c r="K391" i="1"/>
  <c r="J391" i="1"/>
  <c r="I391" i="1"/>
  <c r="H391" i="1"/>
  <c r="G391" i="1"/>
  <c r="F391" i="1"/>
  <c r="Q391" i="1" s="1"/>
  <c r="E391" i="1"/>
  <c r="D391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O389" i="1"/>
  <c r="N389" i="1"/>
  <c r="M389" i="1"/>
  <c r="L389" i="1"/>
  <c r="K389" i="1"/>
  <c r="J389" i="1"/>
  <c r="I389" i="1"/>
  <c r="H389" i="1"/>
  <c r="Q389" i="1" s="1"/>
  <c r="G389" i="1"/>
  <c r="F389" i="1"/>
  <c r="E389" i="1"/>
  <c r="D389" i="1"/>
  <c r="O388" i="1"/>
  <c r="N388" i="1"/>
  <c r="M388" i="1"/>
  <c r="L388" i="1"/>
  <c r="K388" i="1"/>
  <c r="J388" i="1"/>
  <c r="I388" i="1"/>
  <c r="H388" i="1"/>
  <c r="G388" i="1"/>
  <c r="F388" i="1"/>
  <c r="E388" i="1"/>
  <c r="Q388" i="1" s="1"/>
  <c r="D388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Q387" i="1" s="1"/>
  <c r="O386" i="1"/>
  <c r="N386" i="1"/>
  <c r="M386" i="1"/>
  <c r="L386" i="1"/>
  <c r="K386" i="1"/>
  <c r="J386" i="1"/>
  <c r="I386" i="1"/>
  <c r="H386" i="1"/>
  <c r="G386" i="1"/>
  <c r="Q386" i="1" s="1"/>
  <c r="F386" i="1"/>
  <c r="E386" i="1"/>
  <c r="D386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Q385" i="1" s="1"/>
  <c r="O384" i="1"/>
  <c r="N384" i="1"/>
  <c r="M384" i="1"/>
  <c r="L384" i="1"/>
  <c r="K384" i="1"/>
  <c r="J384" i="1"/>
  <c r="I384" i="1"/>
  <c r="H384" i="1"/>
  <c r="G384" i="1"/>
  <c r="F384" i="1"/>
  <c r="E384" i="1"/>
  <c r="D384" i="1"/>
  <c r="Q384" i="1" s="1"/>
  <c r="O383" i="1"/>
  <c r="N383" i="1"/>
  <c r="M383" i="1"/>
  <c r="L383" i="1"/>
  <c r="K383" i="1"/>
  <c r="J383" i="1"/>
  <c r="I383" i="1"/>
  <c r="H383" i="1"/>
  <c r="G383" i="1"/>
  <c r="F383" i="1"/>
  <c r="Q383" i="1" s="1"/>
  <c r="E383" i="1"/>
  <c r="D383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Q382" i="1" s="1"/>
  <c r="O381" i="1"/>
  <c r="N381" i="1"/>
  <c r="M381" i="1"/>
  <c r="L381" i="1"/>
  <c r="K381" i="1"/>
  <c r="J381" i="1"/>
  <c r="I381" i="1"/>
  <c r="H381" i="1"/>
  <c r="Q381" i="1" s="1"/>
  <c r="G381" i="1"/>
  <c r="F381" i="1"/>
  <c r="E381" i="1"/>
  <c r="D381" i="1"/>
  <c r="O380" i="1"/>
  <c r="N380" i="1"/>
  <c r="M380" i="1"/>
  <c r="L380" i="1"/>
  <c r="K380" i="1"/>
  <c r="J380" i="1"/>
  <c r="I380" i="1"/>
  <c r="H380" i="1"/>
  <c r="Q380" i="1" s="1"/>
  <c r="G380" i="1"/>
  <c r="F380" i="1"/>
  <c r="E380" i="1"/>
  <c r="D380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Q379" i="1" s="1"/>
  <c r="O378" i="1"/>
  <c r="N378" i="1"/>
  <c r="M378" i="1"/>
  <c r="L378" i="1"/>
  <c r="K378" i="1"/>
  <c r="J378" i="1"/>
  <c r="I378" i="1"/>
  <c r="H378" i="1"/>
  <c r="G378" i="1"/>
  <c r="F378" i="1"/>
  <c r="E378" i="1"/>
  <c r="D378" i="1"/>
  <c r="Q378" i="1" s="1"/>
  <c r="O377" i="1"/>
  <c r="N377" i="1"/>
  <c r="M377" i="1"/>
  <c r="L377" i="1"/>
  <c r="K377" i="1"/>
  <c r="J377" i="1"/>
  <c r="I377" i="1"/>
  <c r="H377" i="1"/>
  <c r="G377" i="1"/>
  <c r="F377" i="1"/>
  <c r="E377" i="1"/>
  <c r="D377" i="1"/>
  <c r="Q377" i="1" s="1"/>
  <c r="O376" i="1"/>
  <c r="N376" i="1"/>
  <c r="M376" i="1"/>
  <c r="L376" i="1"/>
  <c r="K376" i="1"/>
  <c r="J376" i="1"/>
  <c r="I376" i="1"/>
  <c r="H376" i="1"/>
  <c r="G376" i="1"/>
  <c r="F376" i="1"/>
  <c r="E376" i="1"/>
  <c r="D376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Q375" i="1" s="1"/>
  <c r="O374" i="1"/>
  <c r="N374" i="1"/>
  <c r="M374" i="1"/>
  <c r="L374" i="1"/>
  <c r="K374" i="1"/>
  <c r="J374" i="1"/>
  <c r="I374" i="1"/>
  <c r="H374" i="1"/>
  <c r="G374" i="1"/>
  <c r="F374" i="1"/>
  <c r="E374" i="1"/>
  <c r="D374" i="1"/>
  <c r="Q374" i="1" s="1"/>
  <c r="O373" i="1"/>
  <c r="N373" i="1"/>
  <c r="M373" i="1"/>
  <c r="L373" i="1"/>
  <c r="K373" i="1"/>
  <c r="J373" i="1"/>
  <c r="I373" i="1"/>
  <c r="H373" i="1"/>
  <c r="G373" i="1"/>
  <c r="F373" i="1"/>
  <c r="E373" i="1"/>
  <c r="D373" i="1"/>
  <c r="Q373" i="1" s="1"/>
  <c r="O372" i="1"/>
  <c r="N372" i="1"/>
  <c r="M372" i="1"/>
  <c r="L372" i="1"/>
  <c r="K372" i="1"/>
  <c r="J372" i="1"/>
  <c r="I372" i="1"/>
  <c r="H372" i="1"/>
  <c r="G372" i="1"/>
  <c r="F372" i="1"/>
  <c r="E372" i="1"/>
  <c r="D372" i="1"/>
  <c r="O371" i="1"/>
  <c r="N371" i="1"/>
  <c r="M371" i="1"/>
  <c r="L371" i="1"/>
  <c r="K371" i="1"/>
  <c r="J371" i="1"/>
  <c r="I371" i="1"/>
  <c r="H371" i="1"/>
  <c r="Q371" i="1" s="1"/>
  <c r="G371" i="1"/>
  <c r="F371" i="1"/>
  <c r="E371" i="1"/>
  <c r="D371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Q368" i="1" s="1"/>
  <c r="O367" i="1"/>
  <c r="N367" i="1"/>
  <c r="M367" i="1"/>
  <c r="L367" i="1"/>
  <c r="K367" i="1"/>
  <c r="J367" i="1"/>
  <c r="I367" i="1"/>
  <c r="H367" i="1"/>
  <c r="G367" i="1"/>
  <c r="F367" i="1"/>
  <c r="E367" i="1"/>
  <c r="D367" i="1"/>
  <c r="Q367" i="1" s="1"/>
  <c r="O366" i="1"/>
  <c r="N366" i="1"/>
  <c r="M366" i="1"/>
  <c r="L366" i="1"/>
  <c r="K366" i="1"/>
  <c r="J366" i="1"/>
  <c r="I366" i="1"/>
  <c r="H366" i="1"/>
  <c r="G366" i="1"/>
  <c r="F366" i="1"/>
  <c r="E366" i="1"/>
  <c r="D366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Q365" i="1" s="1"/>
  <c r="O364" i="1"/>
  <c r="N364" i="1"/>
  <c r="M364" i="1"/>
  <c r="L364" i="1"/>
  <c r="K364" i="1"/>
  <c r="J364" i="1"/>
  <c r="I364" i="1"/>
  <c r="H364" i="1"/>
  <c r="Q364" i="1" s="1"/>
  <c r="G364" i="1"/>
  <c r="F364" i="1"/>
  <c r="E364" i="1"/>
  <c r="D364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O362" i="1"/>
  <c r="N362" i="1"/>
  <c r="M362" i="1"/>
  <c r="L362" i="1"/>
  <c r="K362" i="1"/>
  <c r="J362" i="1"/>
  <c r="I362" i="1"/>
  <c r="H362" i="1"/>
  <c r="G362" i="1"/>
  <c r="F362" i="1"/>
  <c r="E362" i="1"/>
  <c r="Q362" i="1" s="1"/>
  <c r="D362" i="1"/>
  <c r="O361" i="1"/>
  <c r="N361" i="1"/>
  <c r="M361" i="1"/>
  <c r="L361" i="1"/>
  <c r="K361" i="1"/>
  <c r="J361" i="1"/>
  <c r="I361" i="1"/>
  <c r="H361" i="1"/>
  <c r="G361" i="1"/>
  <c r="Q361" i="1" s="1"/>
  <c r="F361" i="1"/>
  <c r="E361" i="1"/>
  <c r="D361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Q360" i="1" s="1"/>
  <c r="O359" i="1"/>
  <c r="N359" i="1"/>
  <c r="M359" i="1"/>
  <c r="L359" i="1"/>
  <c r="K359" i="1"/>
  <c r="J359" i="1"/>
  <c r="I359" i="1"/>
  <c r="H359" i="1"/>
  <c r="G359" i="1"/>
  <c r="F359" i="1"/>
  <c r="E359" i="1"/>
  <c r="D359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O356" i="1"/>
  <c r="N356" i="1"/>
  <c r="M356" i="1"/>
  <c r="L356" i="1"/>
  <c r="K356" i="1"/>
  <c r="J356" i="1"/>
  <c r="I356" i="1"/>
  <c r="H356" i="1"/>
  <c r="G356" i="1"/>
  <c r="Q356" i="1" s="1"/>
  <c r="F356" i="1"/>
  <c r="E356" i="1"/>
  <c r="D356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Q355" i="1" s="1"/>
  <c r="O354" i="1"/>
  <c r="N354" i="1"/>
  <c r="M354" i="1"/>
  <c r="L354" i="1"/>
  <c r="K354" i="1"/>
  <c r="J354" i="1"/>
  <c r="I354" i="1"/>
  <c r="H354" i="1"/>
  <c r="G354" i="1"/>
  <c r="F354" i="1"/>
  <c r="E354" i="1"/>
  <c r="Q354" i="1" s="1"/>
  <c r="D354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O350" i="1"/>
  <c r="N350" i="1"/>
  <c r="M350" i="1"/>
  <c r="L350" i="1"/>
  <c r="L400" i="1" s="1"/>
  <c r="K350" i="1"/>
  <c r="J350" i="1"/>
  <c r="I350" i="1"/>
  <c r="H350" i="1"/>
  <c r="H400" i="1" s="1"/>
  <c r="G350" i="1"/>
  <c r="F350" i="1"/>
  <c r="E350" i="1"/>
  <c r="D350" i="1"/>
  <c r="D400" i="1" s="1"/>
  <c r="O348" i="1"/>
  <c r="N348" i="1"/>
  <c r="M348" i="1"/>
  <c r="L348" i="1"/>
  <c r="K348" i="1"/>
  <c r="J348" i="1"/>
  <c r="I348" i="1"/>
  <c r="H348" i="1"/>
  <c r="G348" i="1"/>
  <c r="F348" i="1"/>
  <c r="E348" i="1"/>
  <c r="D348" i="1"/>
  <c r="Q348" i="1" s="1"/>
  <c r="O346" i="1"/>
  <c r="O400" i="1" s="1"/>
  <c r="N346" i="1"/>
  <c r="N400" i="1" s="1"/>
  <c r="M346" i="1"/>
  <c r="L346" i="1"/>
  <c r="K346" i="1"/>
  <c r="K400" i="1" s="1"/>
  <c r="J346" i="1"/>
  <c r="J400" i="1" s="1"/>
  <c r="I346" i="1"/>
  <c r="I400" i="1" s="1"/>
  <c r="H346" i="1"/>
  <c r="G346" i="1"/>
  <c r="G400" i="1" s="1"/>
  <c r="F346" i="1"/>
  <c r="F400" i="1" s="1"/>
  <c r="E346" i="1"/>
  <c r="D346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O341" i="1"/>
  <c r="N341" i="1"/>
  <c r="M341" i="1"/>
  <c r="L341" i="1"/>
  <c r="K341" i="1"/>
  <c r="J341" i="1"/>
  <c r="I341" i="1"/>
  <c r="H341" i="1"/>
  <c r="Q341" i="1" s="1"/>
  <c r="G341" i="1"/>
  <c r="F341" i="1"/>
  <c r="E341" i="1"/>
  <c r="D341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Q340" i="1" s="1"/>
  <c r="N334" i="1"/>
  <c r="J334" i="1"/>
  <c r="F334" i="1"/>
  <c r="O333" i="1"/>
  <c r="O334" i="1" s="1"/>
  <c r="N333" i="1"/>
  <c r="M333" i="1"/>
  <c r="M334" i="1" s="1"/>
  <c r="L333" i="1"/>
  <c r="L334" i="1" s="1"/>
  <c r="K333" i="1"/>
  <c r="K334" i="1" s="1"/>
  <c r="J333" i="1"/>
  <c r="I333" i="1"/>
  <c r="H333" i="1"/>
  <c r="H334" i="1" s="1"/>
  <c r="G333" i="1"/>
  <c r="F333" i="1"/>
  <c r="E333" i="1"/>
  <c r="E334" i="1" s="1"/>
  <c r="D333" i="1"/>
  <c r="D334" i="1" s="1"/>
  <c r="O332" i="1"/>
  <c r="N332" i="1"/>
  <c r="M332" i="1"/>
  <c r="L332" i="1"/>
  <c r="K332" i="1"/>
  <c r="J332" i="1"/>
  <c r="I332" i="1"/>
  <c r="H332" i="1"/>
  <c r="G332" i="1"/>
  <c r="F332" i="1"/>
  <c r="E332" i="1"/>
  <c r="D332" i="1"/>
  <c r="Q332" i="1" s="1"/>
  <c r="O331" i="1"/>
  <c r="N331" i="1"/>
  <c r="M331" i="1"/>
  <c r="L331" i="1"/>
  <c r="K331" i="1"/>
  <c r="J331" i="1"/>
  <c r="I331" i="1"/>
  <c r="H331" i="1"/>
  <c r="G331" i="1"/>
  <c r="F331" i="1"/>
  <c r="E331" i="1"/>
  <c r="D331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O328" i="1"/>
  <c r="N328" i="1"/>
  <c r="M328" i="1"/>
  <c r="L328" i="1"/>
  <c r="K328" i="1"/>
  <c r="J328" i="1"/>
  <c r="I328" i="1"/>
  <c r="H328" i="1"/>
  <c r="Q328" i="1" s="1"/>
  <c r="G328" i="1"/>
  <c r="F328" i="1"/>
  <c r="E328" i="1"/>
  <c r="D328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O325" i="1"/>
  <c r="N325" i="1"/>
  <c r="M325" i="1"/>
  <c r="L325" i="1"/>
  <c r="K325" i="1"/>
  <c r="J325" i="1"/>
  <c r="I325" i="1"/>
  <c r="H325" i="1"/>
  <c r="G325" i="1"/>
  <c r="Q325" i="1" s="1"/>
  <c r="F325" i="1"/>
  <c r="E325" i="1"/>
  <c r="D325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Q324" i="1" s="1"/>
  <c r="O323" i="1"/>
  <c r="N323" i="1"/>
  <c r="M323" i="1"/>
  <c r="L323" i="1"/>
  <c r="K323" i="1"/>
  <c r="J323" i="1"/>
  <c r="I323" i="1"/>
  <c r="H323" i="1"/>
  <c r="G323" i="1"/>
  <c r="F323" i="1"/>
  <c r="E323" i="1"/>
  <c r="D323" i="1"/>
  <c r="Q323" i="1" s="1"/>
  <c r="O322" i="1"/>
  <c r="N322" i="1"/>
  <c r="M322" i="1"/>
  <c r="L322" i="1"/>
  <c r="K322" i="1"/>
  <c r="J322" i="1"/>
  <c r="I322" i="1"/>
  <c r="H322" i="1"/>
  <c r="G322" i="1"/>
  <c r="F322" i="1"/>
  <c r="E322" i="1"/>
  <c r="D322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O320" i="1"/>
  <c r="N320" i="1"/>
  <c r="M320" i="1"/>
  <c r="L320" i="1"/>
  <c r="K320" i="1"/>
  <c r="J320" i="1"/>
  <c r="I320" i="1"/>
  <c r="H320" i="1"/>
  <c r="Q320" i="1" s="1"/>
  <c r="G320" i="1"/>
  <c r="F320" i="1"/>
  <c r="E320" i="1"/>
  <c r="D320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Q319" i="1" s="1"/>
  <c r="O318" i="1"/>
  <c r="N318" i="1"/>
  <c r="M318" i="1"/>
  <c r="L318" i="1"/>
  <c r="K318" i="1"/>
  <c r="J318" i="1"/>
  <c r="I318" i="1"/>
  <c r="H318" i="1"/>
  <c r="G318" i="1"/>
  <c r="F318" i="1"/>
  <c r="E318" i="1"/>
  <c r="D318" i="1"/>
  <c r="Q318" i="1" s="1"/>
  <c r="O317" i="1"/>
  <c r="N317" i="1"/>
  <c r="M317" i="1"/>
  <c r="L317" i="1"/>
  <c r="K317" i="1"/>
  <c r="J317" i="1"/>
  <c r="I317" i="1"/>
  <c r="H317" i="1"/>
  <c r="G317" i="1"/>
  <c r="Q317" i="1" s="1"/>
  <c r="F317" i="1"/>
  <c r="E317" i="1"/>
  <c r="D317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Q316" i="1" s="1"/>
  <c r="O315" i="1"/>
  <c r="N315" i="1"/>
  <c r="M315" i="1"/>
  <c r="L315" i="1"/>
  <c r="K315" i="1"/>
  <c r="J315" i="1"/>
  <c r="I315" i="1"/>
  <c r="H315" i="1"/>
  <c r="G315" i="1"/>
  <c r="F315" i="1"/>
  <c r="E315" i="1"/>
  <c r="D315" i="1"/>
  <c r="Q315" i="1" s="1"/>
  <c r="O314" i="1"/>
  <c r="N314" i="1"/>
  <c r="M314" i="1"/>
  <c r="L314" i="1"/>
  <c r="K314" i="1"/>
  <c r="J314" i="1"/>
  <c r="I314" i="1"/>
  <c r="H314" i="1"/>
  <c r="G314" i="1"/>
  <c r="F314" i="1"/>
  <c r="E314" i="1"/>
  <c r="D314" i="1"/>
  <c r="Q314" i="1" s="1"/>
  <c r="O313" i="1"/>
  <c r="N313" i="1"/>
  <c r="M313" i="1"/>
  <c r="L313" i="1"/>
  <c r="K313" i="1"/>
  <c r="J313" i="1"/>
  <c r="I313" i="1"/>
  <c r="H313" i="1"/>
  <c r="G313" i="1"/>
  <c r="F313" i="1"/>
  <c r="E313" i="1"/>
  <c r="D313" i="1"/>
  <c r="O312" i="1"/>
  <c r="N312" i="1"/>
  <c r="M312" i="1"/>
  <c r="L312" i="1"/>
  <c r="K312" i="1"/>
  <c r="J312" i="1"/>
  <c r="I312" i="1"/>
  <c r="H312" i="1"/>
  <c r="Q312" i="1" s="1"/>
  <c r="G312" i="1"/>
  <c r="F312" i="1"/>
  <c r="E312" i="1"/>
  <c r="D312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Q311" i="1" s="1"/>
  <c r="O310" i="1"/>
  <c r="N310" i="1"/>
  <c r="M310" i="1"/>
  <c r="L310" i="1"/>
  <c r="K310" i="1"/>
  <c r="J310" i="1"/>
  <c r="I310" i="1"/>
  <c r="H310" i="1"/>
  <c r="G310" i="1"/>
  <c r="F310" i="1"/>
  <c r="E310" i="1"/>
  <c r="D310" i="1"/>
  <c r="Q310" i="1" s="1"/>
  <c r="O309" i="1"/>
  <c r="N309" i="1"/>
  <c r="M309" i="1"/>
  <c r="L309" i="1"/>
  <c r="K309" i="1"/>
  <c r="J309" i="1"/>
  <c r="I309" i="1"/>
  <c r="H309" i="1"/>
  <c r="G309" i="1"/>
  <c r="Q309" i="1" s="1"/>
  <c r="F309" i="1"/>
  <c r="E309" i="1"/>
  <c r="D309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Q308" i="1" s="1"/>
  <c r="O307" i="1"/>
  <c r="N307" i="1"/>
  <c r="M307" i="1"/>
  <c r="L307" i="1"/>
  <c r="K307" i="1"/>
  <c r="J307" i="1"/>
  <c r="I307" i="1"/>
  <c r="H307" i="1"/>
  <c r="G307" i="1"/>
  <c r="F307" i="1"/>
  <c r="E307" i="1"/>
  <c r="D307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Q306" i="1" s="1"/>
  <c r="O305" i="1"/>
  <c r="N305" i="1"/>
  <c r="M305" i="1"/>
  <c r="L305" i="1"/>
  <c r="K305" i="1"/>
  <c r="J305" i="1"/>
  <c r="I305" i="1"/>
  <c r="H305" i="1"/>
  <c r="G305" i="1"/>
  <c r="F305" i="1"/>
  <c r="E305" i="1"/>
  <c r="D305" i="1"/>
  <c r="Q305" i="1" s="1"/>
  <c r="O304" i="1"/>
  <c r="N304" i="1"/>
  <c r="M304" i="1"/>
  <c r="L304" i="1"/>
  <c r="K304" i="1"/>
  <c r="J304" i="1"/>
  <c r="I304" i="1"/>
  <c r="H304" i="1"/>
  <c r="Q304" i="1" s="1"/>
  <c r="G304" i="1"/>
  <c r="F304" i="1"/>
  <c r="E304" i="1"/>
  <c r="D304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O301" i="1"/>
  <c r="N301" i="1"/>
  <c r="M301" i="1"/>
  <c r="L301" i="1"/>
  <c r="K301" i="1"/>
  <c r="J301" i="1"/>
  <c r="I301" i="1"/>
  <c r="H301" i="1"/>
  <c r="G301" i="1"/>
  <c r="Q301" i="1" s="1"/>
  <c r="F301" i="1"/>
  <c r="E301" i="1"/>
  <c r="D301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Q300" i="1" s="1"/>
  <c r="O299" i="1"/>
  <c r="N299" i="1"/>
  <c r="M299" i="1"/>
  <c r="L299" i="1"/>
  <c r="K299" i="1"/>
  <c r="J299" i="1"/>
  <c r="I299" i="1"/>
  <c r="H299" i="1"/>
  <c r="G299" i="1"/>
  <c r="F299" i="1"/>
  <c r="E299" i="1"/>
  <c r="D299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O296" i="1"/>
  <c r="N296" i="1"/>
  <c r="M296" i="1"/>
  <c r="L296" i="1"/>
  <c r="K296" i="1"/>
  <c r="J296" i="1"/>
  <c r="I296" i="1"/>
  <c r="H296" i="1"/>
  <c r="Q296" i="1" s="1"/>
  <c r="G296" i="1"/>
  <c r="F296" i="1"/>
  <c r="E296" i="1"/>
  <c r="D296" i="1"/>
  <c r="L294" i="1"/>
  <c r="H294" i="1"/>
  <c r="D294" i="1"/>
  <c r="O293" i="1"/>
  <c r="O294" i="1" s="1"/>
  <c r="N293" i="1"/>
  <c r="N294" i="1" s="1"/>
  <c r="M293" i="1"/>
  <c r="M294" i="1" s="1"/>
  <c r="L293" i="1"/>
  <c r="K293" i="1"/>
  <c r="K294" i="1" s="1"/>
  <c r="J293" i="1"/>
  <c r="J294" i="1" s="1"/>
  <c r="I293" i="1"/>
  <c r="H293" i="1"/>
  <c r="G293" i="1"/>
  <c r="G294" i="1" s="1"/>
  <c r="F293" i="1"/>
  <c r="F294" i="1" s="1"/>
  <c r="E293" i="1"/>
  <c r="E294" i="1" s="1"/>
  <c r="D293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Q291" i="1" s="1"/>
  <c r="O290" i="1"/>
  <c r="N290" i="1"/>
  <c r="M290" i="1"/>
  <c r="L290" i="1"/>
  <c r="K290" i="1"/>
  <c r="J290" i="1"/>
  <c r="I290" i="1"/>
  <c r="H290" i="1"/>
  <c r="Q290" i="1" s="1"/>
  <c r="G290" i="1"/>
  <c r="F290" i="1"/>
  <c r="E290" i="1"/>
  <c r="D290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O287" i="1"/>
  <c r="N287" i="1"/>
  <c r="M287" i="1"/>
  <c r="L287" i="1"/>
  <c r="K287" i="1"/>
  <c r="J287" i="1"/>
  <c r="I287" i="1"/>
  <c r="H287" i="1"/>
  <c r="G287" i="1"/>
  <c r="Q287" i="1" s="1"/>
  <c r="F287" i="1"/>
  <c r="E287" i="1"/>
  <c r="D287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Q286" i="1" s="1"/>
  <c r="O285" i="1"/>
  <c r="N285" i="1"/>
  <c r="M285" i="1"/>
  <c r="L285" i="1"/>
  <c r="K285" i="1"/>
  <c r="J285" i="1"/>
  <c r="I285" i="1"/>
  <c r="H285" i="1"/>
  <c r="G285" i="1"/>
  <c r="F285" i="1"/>
  <c r="E285" i="1"/>
  <c r="D285" i="1"/>
  <c r="Q285" i="1" s="1"/>
  <c r="O284" i="1"/>
  <c r="N284" i="1"/>
  <c r="M284" i="1"/>
  <c r="L284" i="1"/>
  <c r="K284" i="1"/>
  <c r="J284" i="1"/>
  <c r="I284" i="1"/>
  <c r="H284" i="1"/>
  <c r="G284" i="1"/>
  <c r="F284" i="1"/>
  <c r="E284" i="1"/>
  <c r="D284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O282" i="1"/>
  <c r="N282" i="1"/>
  <c r="M282" i="1"/>
  <c r="L282" i="1"/>
  <c r="K282" i="1"/>
  <c r="J282" i="1"/>
  <c r="I282" i="1"/>
  <c r="H282" i="1"/>
  <c r="Q282" i="1" s="1"/>
  <c r="G282" i="1"/>
  <c r="F282" i="1"/>
  <c r="E282" i="1"/>
  <c r="D282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Q281" i="1" s="1"/>
  <c r="O280" i="1"/>
  <c r="N280" i="1"/>
  <c r="M280" i="1"/>
  <c r="L280" i="1"/>
  <c r="K280" i="1"/>
  <c r="J280" i="1"/>
  <c r="I280" i="1"/>
  <c r="H280" i="1"/>
  <c r="G280" i="1"/>
  <c r="F280" i="1"/>
  <c r="E280" i="1"/>
  <c r="D280" i="1"/>
  <c r="Q280" i="1" s="1"/>
  <c r="O279" i="1"/>
  <c r="N279" i="1"/>
  <c r="M279" i="1"/>
  <c r="L279" i="1"/>
  <c r="K279" i="1"/>
  <c r="J279" i="1"/>
  <c r="I279" i="1"/>
  <c r="H279" i="1"/>
  <c r="G279" i="1"/>
  <c r="Q279" i="1" s="1"/>
  <c r="F279" i="1"/>
  <c r="E279" i="1"/>
  <c r="D279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Q277" i="1" s="1"/>
  <c r="O275" i="1"/>
  <c r="O335" i="1" s="1"/>
  <c r="O336" i="1" s="1"/>
  <c r="N275" i="1"/>
  <c r="N335" i="1" s="1"/>
  <c r="N336" i="1" s="1"/>
  <c r="M275" i="1"/>
  <c r="L275" i="1"/>
  <c r="K275" i="1"/>
  <c r="K335" i="1" s="1"/>
  <c r="K336" i="1" s="1"/>
  <c r="J275" i="1"/>
  <c r="I275" i="1"/>
  <c r="H275" i="1"/>
  <c r="G275" i="1"/>
  <c r="G335" i="1" s="1"/>
  <c r="G336" i="1" s="1"/>
  <c r="F275" i="1"/>
  <c r="F335" i="1" s="1"/>
  <c r="F336" i="1" s="1"/>
  <c r="E275" i="1"/>
  <c r="D275" i="1"/>
  <c r="Q275" i="1" s="1"/>
  <c r="O274" i="1"/>
  <c r="N274" i="1"/>
  <c r="M274" i="1"/>
  <c r="L274" i="1"/>
  <c r="K274" i="1"/>
  <c r="J274" i="1"/>
  <c r="I274" i="1"/>
  <c r="H274" i="1"/>
  <c r="G274" i="1"/>
  <c r="F274" i="1"/>
  <c r="E274" i="1"/>
  <c r="D274" i="1"/>
  <c r="O273" i="1"/>
  <c r="N273" i="1"/>
  <c r="M273" i="1"/>
  <c r="L273" i="1"/>
  <c r="K273" i="1"/>
  <c r="J273" i="1"/>
  <c r="I273" i="1"/>
  <c r="H273" i="1"/>
  <c r="Q273" i="1" s="1"/>
  <c r="G273" i="1"/>
  <c r="F273" i="1"/>
  <c r="E273" i="1"/>
  <c r="D273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Q272" i="1" s="1"/>
  <c r="O271" i="1"/>
  <c r="N271" i="1"/>
  <c r="M271" i="1"/>
  <c r="L271" i="1"/>
  <c r="K271" i="1"/>
  <c r="J271" i="1"/>
  <c r="I271" i="1"/>
  <c r="H271" i="1"/>
  <c r="G271" i="1"/>
  <c r="F271" i="1"/>
  <c r="E271" i="1"/>
  <c r="D271" i="1"/>
  <c r="Q271" i="1" s="1"/>
  <c r="O270" i="1"/>
  <c r="N270" i="1"/>
  <c r="M270" i="1"/>
  <c r="L270" i="1"/>
  <c r="K270" i="1"/>
  <c r="J270" i="1"/>
  <c r="I270" i="1"/>
  <c r="H270" i="1"/>
  <c r="G270" i="1"/>
  <c r="Q270" i="1" s="1"/>
  <c r="F270" i="1"/>
  <c r="E270" i="1"/>
  <c r="D270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Q267" i="1" s="1"/>
  <c r="O266" i="1"/>
  <c r="N266" i="1"/>
  <c r="M266" i="1"/>
  <c r="L266" i="1"/>
  <c r="K266" i="1"/>
  <c r="J266" i="1"/>
  <c r="I266" i="1"/>
  <c r="H266" i="1"/>
  <c r="G266" i="1"/>
  <c r="F266" i="1"/>
  <c r="E266" i="1"/>
  <c r="D266" i="1"/>
  <c r="Q266" i="1" s="1"/>
  <c r="O265" i="1"/>
  <c r="N265" i="1"/>
  <c r="M265" i="1"/>
  <c r="L265" i="1"/>
  <c r="K265" i="1"/>
  <c r="J265" i="1"/>
  <c r="I265" i="1"/>
  <c r="H265" i="1"/>
  <c r="Q265" i="1" s="1"/>
  <c r="G265" i="1"/>
  <c r="F265" i="1"/>
  <c r="E265" i="1"/>
  <c r="D265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O262" i="1"/>
  <c r="N262" i="1"/>
  <c r="M262" i="1"/>
  <c r="L262" i="1"/>
  <c r="K262" i="1"/>
  <c r="J262" i="1"/>
  <c r="I262" i="1"/>
  <c r="H262" i="1"/>
  <c r="G262" i="1"/>
  <c r="Q262" i="1" s="1"/>
  <c r="F262" i="1"/>
  <c r="E262" i="1"/>
  <c r="D262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Q261" i="1" s="1"/>
  <c r="O259" i="1"/>
  <c r="N259" i="1"/>
  <c r="M259" i="1"/>
  <c r="M335" i="1" s="1"/>
  <c r="M336" i="1" s="1"/>
  <c r="L259" i="1"/>
  <c r="L335" i="1" s="1"/>
  <c r="L336" i="1" s="1"/>
  <c r="K259" i="1"/>
  <c r="J259" i="1"/>
  <c r="J335" i="1" s="1"/>
  <c r="J336" i="1" s="1"/>
  <c r="I259" i="1"/>
  <c r="H259" i="1"/>
  <c r="H335" i="1" s="1"/>
  <c r="H336" i="1" s="1"/>
  <c r="G259" i="1"/>
  <c r="F259" i="1"/>
  <c r="E259" i="1"/>
  <c r="E335" i="1" s="1"/>
  <c r="E336" i="1" s="1"/>
  <c r="D259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O256" i="1"/>
  <c r="N256" i="1"/>
  <c r="M256" i="1"/>
  <c r="L256" i="1"/>
  <c r="K256" i="1"/>
  <c r="J256" i="1"/>
  <c r="I256" i="1"/>
  <c r="H256" i="1"/>
  <c r="Q256" i="1" s="1"/>
  <c r="G256" i="1"/>
  <c r="F256" i="1"/>
  <c r="E256" i="1"/>
  <c r="D256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Q255" i="1" s="1"/>
  <c r="O254" i="1"/>
  <c r="N254" i="1"/>
  <c r="M254" i="1"/>
  <c r="L254" i="1"/>
  <c r="K254" i="1"/>
  <c r="J254" i="1"/>
  <c r="I254" i="1"/>
  <c r="H254" i="1"/>
  <c r="G254" i="1"/>
  <c r="F254" i="1"/>
  <c r="E254" i="1"/>
  <c r="D254" i="1"/>
  <c r="O253" i="1"/>
  <c r="N253" i="1"/>
  <c r="M253" i="1"/>
  <c r="L253" i="1"/>
  <c r="K253" i="1"/>
  <c r="J253" i="1"/>
  <c r="I253" i="1"/>
  <c r="H253" i="1"/>
  <c r="G253" i="1"/>
  <c r="Q253" i="1" s="1"/>
  <c r="F253" i="1"/>
  <c r="E253" i="1"/>
  <c r="D253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Q252" i="1" s="1"/>
  <c r="O251" i="1"/>
  <c r="N251" i="1"/>
  <c r="M251" i="1"/>
  <c r="L251" i="1"/>
  <c r="K251" i="1"/>
  <c r="J251" i="1"/>
  <c r="I251" i="1"/>
  <c r="H251" i="1"/>
  <c r="G251" i="1"/>
  <c r="F251" i="1"/>
  <c r="E251" i="1"/>
  <c r="D251" i="1"/>
  <c r="Q251" i="1" s="1"/>
  <c r="O250" i="1"/>
  <c r="N250" i="1"/>
  <c r="M250" i="1"/>
  <c r="L250" i="1"/>
  <c r="K250" i="1"/>
  <c r="J250" i="1"/>
  <c r="I250" i="1"/>
  <c r="H250" i="1"/>
  <c r="G250" i="1"/>
  <c r="F250" i="1"/>
  <c r="E250" i="1"/>
  <c r="D250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O248" i="1"/>
  <c r="N248" i="1"/>
  <c r="M248" i="1"/>
  <c r="L248" i="1"/>
  <c r="K248" i="1"/>
  <c r="J248" i="1"/>
  <c r="I248" i="1"/>
  <c r="H248" i="1"/>
  <c r="Q248" i="1" s="1"/>
  <c r="G248" i="1"/>
  <c r="F248" i="1"/>
  <c r="E248" i="1"/>
  <c r="D248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Q247" i="1" s="1"/>
  <c r="O246" i="1"/>
  <c r="N246" i="1"/>
  <c r="M246" i="1"/>
  <c r="L246" i="1"/>
  <c r="K246" i="1"/>
  <c r="J246" i="1"/>
  <c r="I246" i="1"/>
  <c r="H246" i="1"/>
  <c r="G246" i="1"/>
  <c r="F246" i="1"/>
  <c r="E246" i="1"/>
  <c r="D246" i="1"/>
  <c r="Q246" i="1" s="1"/>
  <c r="O245" i="1"/>
  <c r="N245" i="1"/>
  <c r="M245" i="1"/>
  <c r="L245" i="1"/>
  <c r="K245" i="1"/>
  <c r="J245" i="1"/>
  <c r="I245" i="1"/>
  <c r="H245" i="1"/>
  <c r="G245" i="1"/>
  <c r="Q245" i="1" s="1"/>
  <c r="F245" i="1"/>
  <c r="E245" i="1"/>
  <c r="D245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Q244" i="1" s="1"/>
  <c r="O243" i="1"/>
  <c r="N243" i="1"/>
  <c r="M243" i="1"/>
  <c r="L243" i="1"/>
  <c r="K243" i="1"/>
  <c r="J243" i="1"/>
  <c r="I243" i="1"/>
  <c r="H243" i="1"/>
  <c r="G243" i="1"/>
  <c r="F243" i="1"/>
  <c r="E243" i="1"/>
  <c r="D243" i="1"/>
  <c r="Q243" i="1" s="1"/>
  <c r="O242" i="1"/>
  <c r="N242" i="1"/>
  <c r="M242" i="1"/>
  <c r="L242" i="1"/>
  <c r="K242" i="1"/>
  <c r="J242" i="1"/>
  <c r="I242" i="1"/>
  <c r="H242" i="1"/>
  <c r="G242" i="1"/>
  <c r="F242" i="1"/>
  <c r="E242" i="1"/>
  <c r="D242" i="1"/>
  <c r="Q242" i="1" s="1"/>
  <c r="O241" i="1"/>
  <c r="N241" i="1"/>
  <c r="M241" i="1"/>
  <c r="L241" i="1"/>
  <c r="K241" i="1"/>
  <c r="J241" i="1"/>
  <c r="I241" i="1"/>
  <c r="H241" i="1"/>
  <c r="G241" i="1"/>
  <c r="F241" i="1"/>
  <c r="E241" i="1"/>
  <c r="D241" i="1"/>
  <c r="Q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Q239" i="1" s="1"/>
  <c r="O238" i="1"/>
  <c r="N238" i="1"/>
  <c r="M238" i="1"/>
  <c r="L238" i="1"/>
  <c r="K238" i="1"/>
  <c r="J238" i="1"/>
  <c r="I238" i="1"/>
  <c r="H238" i="1"/>
  <c r="G238" i="1"/>
  <c r="F238" i="1"/>
  <c r="E238" i="1"/>
  <c r="D238" i="1"/>
  <c r="Q238" i="1" s="1"/>
  <c r="O237" i="1"/>
  <c r="N237" i="1"/>
  <c r="M237" i="1"/>
  <c r="L237" i="1"/>
  <c r="K237" i="1"/>
  <c r="J237" i="1"/>
  <c r="I237" i="1"/>
  <c r="H237" i="1"/>
  <c r="G237" i="1"/>
  <c r="Q237" i="1" s="1"/>
  <c r="F237" i="1"/>
  <c r="E237" i="1"/>
  <c r="D237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Q236" i="1" s="1"/>
  <c r="O235" i="1"/>
  <c r="N235" i="1"/>
  <c r="M235" i="1"/>
  <c r="L235" i="1"/>
  <c r="K235" i="1"/>
  <c r="J235" i="1"/>
  <c r="I235" i="1"/>
  <c r="H235" i="1"/>
  <c r="G235" i="1"/>
  <c r="F235" i="1"/>
  <c r="E235" i="1"/>
  <c r="D235" i="1"/>
  <c r="Q235" i="1" s="1"/>
  <c r="O227" i="1"/>
  <c r="N227" i="1"/>
  <c r="M227" i="1"/>
  <c r="L227" i="1"/>
  <c r="K227" i="1"/>
  <c r="J227" i="1"/>
  <c r="I227" i="1"/>
  <c r="H227" i="1"/>
  <c r="G227" i="1"/>
  <c r="F227" i="1"/>
  <c r="E227" i="1"/>
  <c r="D227" i="1"/>
  <c r="O222" i="1"/>
  <c r="N222" i="1"/>
  <c r="M222" i="1"/>
  <c r="L222" i="1"/>
  <c r="K222" i="1"/>
  <c r="J222" i="1"/>
  <c r="I222" i="1"/>
  <c r="H222" i="1"/>
  <c r="Q222" i="1" s="1"/>
  <c r="G222" i="1"/>
  <c r="F222" i="1"/>
  <c r="E222" i="1"/>
  <c r="D222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Q221" i="1" s="1"/>
  <c r="O220" i="1"/>
  <c r="N220" i="1"/>
  <c r="M220" i="1"/>
  <c r="L220" i="1"/>
  <c r="K220" i="1"/>
  <c r="J220" i="1"/>
  <c r="I220" i="1"/>
  <c r="H220" i="1"/>
  <c r="G220" i="1"/>
  <c r="F220" i="1"/>
  <c r="E220" i="1"/>
  <c r="D220" i="1"/>
  <c r="Q220" i="1" s="1"/>
  <c r="O219" i="1"/>
  <c r="N219" i="1"/>
  <c r="M219" i="1"/>
  <c r="L219" i="1"/>
  <c r="K219" i="1"/>
  <c r="J219" i="1"/>
  <c r="I219" i="1"/>
  <c r="H219" i="1"/>
  <c r="G219" i="1"/>
  <c r="Q219" i="1" s="1"/>
  <c r="F219" i="1"/>
  <c r="E219" i="1"/>
  <c r="D219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Q218" i="1" s="1"/>
  <c r="O217" i="1"/>
  <c r="N217" i="1"/>
  <c r="M217" i="1"/>
  <c r="L217" i="1"/>
  <c r="K217" i="1"/>
  <c r="J217" i="1"/>
  <c r="I217" i="1"/>
  <c r="H217" i="1"/>
  <c r="G217" i="1"/>
  <c r="F217" i="1"/>
  <c r="E217" i="1"/>
  <c r="D217" i="1"/>
  <c r="Q217" i="1" s="1"/>
  <c r="O216" i="1"/>
  <c r="N216" i="1"/>
  <c r="M216" i="1"/>
  <c r="L216" i="1"/>
  <c r="K216" i="1"/>
  <c r="J216" i="1"/>
  <c r="I216" i="1"/>
  <c r="H216" i="1"/>
  <c r="G216" i="1"/>
  <c r="F216" i="1"/>
  <c r="E216" i="1"/>
  <c r="D216" i="1"/>
  <c r="Q216" i="1" s="1"/>
  <c r="O215" i="1"/>
  <c r="N215" i="1"/>
  <c r="M215" i="1"/>
  <c r="L215" i="1"/>
  <c r="K215" i="1"/>
  <c r="J215" i="1"/>
  <c r="I215" i="1"/>
  <c r="H215" i="1"/>
  <c r="G215" i="1"/>
  <c r="F215" i="1"/>
  <c r="E215" i="1"/>
  <c r="D215" i="1"/>
  <c r="O214" i="1"/>
  <c r="N214" i="1"/>
  <c r="M214" i="1"/>
  <c r="L214" i="1"/>
  <c r="K214" i="1"/>
  <c r="J214" i="1"/>
  <c r="I214" i="1"/>
  <c r="H214" i="1"/>
  <c r="Q214" i="1" s="1"/>
  <c r="G214" i="1"/>
  <c r="F214" i="1"/>
  <c r="E214" i="1"/>
  <c r="D214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Q213" i="1" s="1"/>
  <c r="O212" i="1"/>
  <c r="N212" i="1"/>
  <c r="M212" i="1"/>
  <c r="L212" i="1"/>
  <c r="K212" i="1"/>
  <c r="J212" i="1"/>
  <c r="I212" i="1"/>
  <c r="H212" i="1"/>
  <c r="G212" i="1"/>
  <c r="F212" i="1"/>
  <c r="E212" i="1"/>
  <c r="D212" i="1"/>
  <c r="Q212" i="1" s="1"/>
  <c r="O211" i="1"/>
  <c r="N211" i="1"/>
  <c r="M211" i="1"/>
  <c r="L211" i="1"/>
  <c r="K211" i="1"/>
  <c r="J211" i="1"/>
  <c r="I211" i="1"/>
  <c r="H211" i="1"/>
  <c r="G211" i="1"/>
  <c r="Q211" i="1" s="1"/>
  <c r="F211" i="1"/>
  <c r="E211" i="1"/>
  <c r="D211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Q210" i="1" s="1"/>
  <c r="O209" i="1"/>
  <c r="N209" i="1"/>
  <c r="M209" i="1"/>
  <c r="L209" i="1"/>
  <c r="K209" i="1"/>
  <c r="J209" i="1"/>
  <c r="I209" i="1"/>
  <c r="H209" i="1"/>
  <c r="G209" i="1"/>
  <c r="F209" i="1"/>
  <c r="E209" i="1"/>
  <c r="D209" i="1"/>
  <c r="Q209" i="1" s="1"/>
  <c r="O208" i="1"/>
  <c r="N208" i="1"/>
  <c r="M208" i="1"/>
  <c r="L208" i="1"/>
  <c r="K208" i="1"/>
  <c r="J208" i="1"/>
  <c r="I208" i="1"/>
  <c r="H208" i="1"/>
  <c r="G208" i="1"/>
  <c r="F208" i="1"/>
  <c r="E208" i="1"/>
  <c r="D208" i="1"/>
  <c r="Q208" i="1" s="1"/>
  <c r="O207" i="1"/>
  <c r="N207" i="1"/>
  <c r="M207" i="1"/>
  <c r="L207" i="1"/>
  <c r="K207" i="1"/>
  <c r="J207" i="1"/>
  <c r="I207" i="1"/>
  <c r="H207" i="1"/>
  <c r="G207" i="1"/>
  <c r="F207" i="1"/>
  <c r="E207" i="1"/>
  <c r="D207" i="1"/>
  <c r="Q207" i="1" s="1"/>
  <c r="O206" i="1"/>
  <c r="N206" i="1"/>
  <c r="M206" i="1"/>
  <c r="L206" i="1"/>
  <c r="K206" i="1"/>
  <c r="J206" i="1"/>
  <c r="I206" i="1"/>
  <c r="H206" i="1"/>
  <c r="Q206" i="1" s="1"/>
  <c r="G206" i="1"/>
  <c r="F206" i="1"/>
  <c r="E206" i="1"/>
  <c r="D206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O203" i="1"/>
  <c r="N203" i="1"/>
  <c r="M203" i="1"/>
  <c r="L203" i="1"/>
  <c r="K203" i="1"/>
  <c r="J203" i="1"/>
  <c r="I203" i="1"/>
  <c r="H203" i="1"/>
  <c r="G203" i="1"/>
  <c r="Q203" i="1" s="1"/>
  <c r="F203" i="1"/>
  <c r="E203" i="1"/>
  <c r="D203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Q202" i="1" s="1"/>
  <c r="O201" i="1"/>
  <c r="N201" i="1"/>
  <c r="M201" i="1"/>
  <c r="L201" i="1"/>
  <c r="K201" i="1"/>
  <c r="J201" i="1"/>
  <c r="I201" i="1"/>
  <c r="H201" i="1"/>
  <c r="G201" i="1"/>
  <c r="F201" i="1"/>
  <c r="E201" i="1"/>
  <c r="D201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Q199" i="1" s="1"/>
  <c r="O198" i="1"/>
  <c r="N198" i="1"/>
  <c r="M198" i="1"/>
  <c r="L198" i="1"/>
  <c r="K198" i="1"/>
  <c r="J198" i="1"/>
  <c r="I198" i="1"/>
  <c r="H198" i="1"/>
  <c r="Q198" i="1" s="1"/>
  <c r="G198" i="1"/>
  <c r="F198" i="1"/>
  <c r="E198" i="1"/>
  <c r="D198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O195" i="1"/>
  <c r="N195" i="1"/>
  <c r="M195" i="1"/>
  <c r="L195" i="1"/>
  <c r="K195" i="1"/>
  <c r="J195" i="1"/>
  <c r="I195" i="1"/>
  <c r="H195" i="1"/>
  <c r="G195" i="1"/>
  <c r="Q195" i="1" s="1"/>
  <c r="F195" i="1"/>
  <c r="E195" i="1"/>
  <c r="D195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Q194" i="1" s="1"/>
  <c r="O193" i="1"/>
  <c r="N193" i="1"/>
  <c r="M193" i="1"/>
  <c r="L193" i="1"/>
  <c r="K193" i="1"/>
  <c r="J193" i="1"/>
  <c r="I193" i="1"/>
  <c r="H193" i="1"/>
  <c r="G193" i="1"/>
  <c r="F193" i="1"/>
  <c r="E193" i="1"/>
  <c r="D193" i="1"/>
  <c r="O186" i="1"/>
  <c r="N186" i="1"/>
  <c r="N230" i="1" s="1"/>
  <c r="M186" i="1"/>
  <c r="L186" i="1"/>
  <c r="K186" i="1"/>
  <c r="J186" i="1"/>
  <c r="J230" i="1" s="1"/>
  <c r="I186" i="1"/>
  <c r="H186" i="1"/>
  <c r="G186" i="1"/>
  <c r="F186" i="1"/>
  <c r="F230" i="1" s="1"/>
  <c r="E186" i="1"/>
  <c r="D186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O183" i="1"/>
  <c r="N183" i="1"/>
  <c r="M183" i="1"/>
  <c r="L183" i="1"/>
  <c r="K183" i="1"/>
  <c r="J183" i="1"/>
  <c r="I183" i="1"/>
  <c r="H183" i="1"/>
  <c r="Q183" i="1" s="1"/>
  <c r="G183" i="1"/>
  <c r="F183" i="1"/>
  <c r="E183" i="1"/>
  <c r="D183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Q182" i="1" s="1"/>
  <c r="O181" i="1"/>
  <c r="N181" i="1"/>
  <c r="M181" i="1"/>
  <c r="L181" i="1"/>
  <c r="K181" i="1"/>
  <c r="J181" i="1"/>
  <c r="I181" i="1"/>
  <c r="H181" i="1"/>
  <c r="G181" i="1"/>
  <c r="F181" i="1"/>
  <c r="E181" i="1"/>
  <c r="D181" i="1"/>
  <c r="Q181" i="1" s="1"/>
  <c r="O180" i="1"/>
  <c r="N180" i="1"/>
  <c r="M180" i="1"/>
  <c r="L180" i="1"/>
  <c r="K180" i="1"/>
  <c r="J180" i="1"/>
  <c r="I180" i="1"/>
  <c r="H180" i="1"/>
  <c r="G180" i="1"/>
  <c r="Q180" i="1" s="1"/>
  <c r="F180" i="1"/>
  <c r="E180" i="1"/>
  <c r="D180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Q179" i="1" s="1"/>
  <c r="O178" i="1"/>
  <c r="N178" i="1"/>
  <c r="M178" i="1"/>
  <c r="L178" i="1"/>
  <c r="K178" i="1"/>
  <c r="J178" i="1"/>
  <c r="I178" i="1"/>
  <c r="H178" i="1"/>
  <c r="G178" i="1"/>
  <c r="F178" i="1"/>
  <c r="E178" i="1"/>
  <c r="D178" i="1"/>
  <c r="Q178" i="1" s="1"/>
  <c r="O177" i="1"/>
  <c r="N177" i="1"/>
  <c r="M177" i="1"/>
  <c r="L177" i="1"/>
  <c r="K177" i="1"/>
  <c r="J177" i="1"/>
  <c r="I177" i="1"/>
  <c r="H177" i="1"/>
  <c r="G177" i="1"/>
  <c r="F177" i="1"/>
  <c r="E177" i="1"/>
  <c r="D177" i="1"/>
  <c r="Q177" i="1" s="1"/>
  <c r="O176" i="1"/>
  <c r="N176" i="1"/>
  <c r="M176" i="1"/>
  <c r="L176" i="1"/>
  <c r="K176" i="1"/>
  <c r="J176" i="1"/>
  <c r="I176" i="1"/>
  <c r="H176" i="1"/>
  <c r="G176" i="1"/>
  <c r="F176" i="1"/>
  <c r="E176" i="1"/>
  <c r="D176" i="1"/>
  <c r="O175" i="1"/>
  <c r="N175" i="1"/>
  <c r="M175" i="1"/>
  <c r="L175" i="1"/>
  <c r="K175" i="1"/>
  <c r="J175" i="1"/>
  <c r="I175" i="1"/>
  <c r="H175" i="1"/>
  <c r="Q175" i="1" s="1"/>
  <c r="G175" i="1"/>
  <c r="F175" i="1"/>
  <c r="E175" i="1"/>
  <c r="D175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Q174" i="1" s="1"/>
  <c r="O173" i="1"/>
  <c r="N173" i="1"/>
  <c r="M173" i="1"/>
  <c r="L173" i="1"/>
  <c r="K173" i="1"/>
  <c r="J173" i="1"/>
  <c r="I173" i="1"/>
  <c r="H173" i="1"/>
  <c r="G173" i="1"/>
  <c r="F173" i="1"/>
  <c r="E173" i="1"/>
  <c r="D173" i="1"/>
  <c r="Q173" i="1" s="1"/>
  <c r="O172" i="1"/>
  <c r="N172" i="1"/>
  <c r="M172" i="1"/>
  <c r="L172" i="1"/>
  <c r="K172" i="1"/>
  <c r="J172" i="1"/>
  <c r="I172" i="1"/>
  <c r="H172" i="1"/>
  <c r="G172" i="1"/>
  <c r="Q172" i="1" s="1"/>
  <c r="F172" i="1"/>
  <c r="E172" i="1"/>
  <c r="D172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Q171" i="1" s="1"/>
  <c r="O170" i="1"/>
  <c r="N170" i="1"/>
  <c r="M170" i="1"/>
  <c r="L170" i="1"/>
  <c r="K170" i="1"/>
  <c r="J170" i="1"/>
  <c r="I170" i="1"/>
  <c r="H170" i="1"/>
  <c r="G170" i="1"/>
  <c r="F170" i="1"/>
  <c r="E170" i="1"/>
  <c r="D170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Q169" i="1" s="1"/>
  <c r="O165" i="1"/>
  <c r="O230" i="1" s="1"/>
  <c r="N165" i="1"/>
  <c r="M165" i="1"/>
  <c r="M230" i="1" s="1"/>
  <c r="L165" i="1"/>
  <c r="L230" i="1" s="1"/>
  <c r="K165" i="1"/>
  <c r="J165" i="1"/>
  <c r="I165" i="1"/>
  <c r="I230" i="1" s="1"/>
  <c r="H165" i="1"/>
  <c r="H230" i="1" s="1"/>
  <c r="G165" i="1"/>
  <c r="G230" i="1" s="1"/>
  <c r="F165" i="1"/>
  <c r="E165" i="1"/>
  <c r="E230" i="1" s="1"/>
  <c r="D165" i="1"/>
  <c r="O161" i="1"/>
  <c r="N161" i="1"/>
  <c r="M161" i="1"/>
  <c r="L161" i="1"/>
  <c r="K161" i="1"/>
  <c r="J161" i="1"/>
  <c r="I161" i="1"/>
  <c r="H161" i="1"/>
  <c r="Q161" i="1" s="1"/>
  <c r="G161" i="1"/>
  <c r="F161" i="1"/>
  <c r="E161" i="1"/>
  <c r="D161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L144" i="1"/>
  <c r="Q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Q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Q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Q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N119" i="1"/>
  <c r="J119" i="1"/>
  <c r="F119" i="1"/>
  <c r="Q116" i="1"/>
  <c r="Q119" i="1" s="1"/>
  <c r="O116" i="1"/>
  <c r="O119" i="1" s="1"/>
  <c r="N116" i="1"/>
  <c r="M116" i="1"/>
  <c r="M119" i="1" s="1"/>
  <c r="L116" i="1"/>
  <c r="L119" i="1" s="1"/>
  <c r="K116" i="1"/>
  <c r="K119" i="1" s="1"/>
  <c r="J116" i="1"/>
  <c r="I116" i="1"/>
  <c r="I119" i="1" s="1"/>
  <c r="H116" i="1"/>
  <c r="H119" i="1" s="1"/>
  <c r="G116" i="1"/>
  <c r="G119" i="1" s="1"/>
  <c r="F116" i="1"/>
  <c r="E116" i="1"/>
  <c r="E119" i="1" s="1"/>
  <c r="D116" i="1"/>
  <c r="D119" i="1" s="1"/>
  <c r="Q114" i="1"/>
  <c r="L114" i="1"/>
  <c r="H114" i="1"/>
  <c r="D114" i="1"/>
  <c r="Q112" i="1"/>
  <c r="O112" i="1"/>
  <c r="O114" i="1" s="1"/>
  <c r="N112" i="1"/>
  <c r="N114" i="1" s="1"/>
  <c r="M112" i="1"/>
  <c r="M114" i="1" s="1"/>
  <c r="L112" i="1"/>
  <c r="K112" i="1"/>
  <c r="K114" i="1" s="1"/>
  <c r="J112" i="1"/>
  <c r="J114" i="1" s="1"/>
  <c r="I112" i="1"/>
  <c r="I114" i="1" s="1"/>
  <c r="H112" i="1"/>
  <c r="G112" i="1"/>
  <c r="G114" i="1" s="1"/>
  <c r="F112" i="1"/>
  <c r="F114" i="1" s="1"/>
  <c r="E112" i="1"/>
  <c r="E114" i="1" s="1"/>
  <c r="D112" i="1"/>
  <c r="O107" i="1"/>
  <c r="O145" i="1" s="1"/>
  <c r="L107" i="1"/>
  <c r="L145" i="1" s="1"/>
  <c r="K107" i="1"/>
  <c r="G107" i="1"/>
  <c r="G145" i="1" s="1"/>
  <c r="Q105" i="1"/>
  <c r="Q107" i="1" s="1"/>
  <c r="O105" i="1"/>
  <c r="N105" i="1"/>
  <c r="M105" i="1"/>
  <c r="L105" i="1"/>
  <c r="K105" i="1"/>
  <c r="J105" i="1"/>
  <c r="I105" i="1"/>
  <c r="H105" i="1"/>
  <c r="H107" i="1" s="1"/>
  <c r="H145" i="1" s="1"/>
  <c r="G105" i="1"/>
  <c r="F105" i="1"/>
  <c r="E105" i="1"/>
  <c r="D105" i="1"/>
  <c r="D107" i="1" s="1"/>
  <c r="D145" i="1" s="1"/>
  <c r="Q104" i="1"/>
  <c r="O104" i="1"/>
  <c r="N104" i="1"/>
  <c r="N107" i="1" s="1"/>
  <c r="M104" i="1"/>
  <c r="M107" i="1" s="1"/>
  <c r="L104" i="1"/>
  <c r="K104" i="1"/>
  <c r="J104" i="1"/>
  <c r="J107" i="1" s="1"/>
  <c r="I104" i="1"/>
  <c r="I107" i="1" s="1"/>
  <c r="I145" i="1" s="1"/>
  <c r="H104" i="1"/>
  <c r="G104" i="1"/>
  <c r="F104" i="1"/>
  <c r="F107" i="1" s="1"/>
  <c r="E104" i="1"/>
  <c r="E107" i="1" s="1"/>
  <c r="D104" i="1"/>
  <c r="Q93" i="1"/>
  <c r="M93" i="1"/>
  <c r="L93" i="1"/>
  <c r="H93" i="1"/>
  <c r="D93" i="1"/>
  <c r="Q91" i="1"/>
  <c r="O91" i="1"/>
  <c r="O93" i="1" s="1"/>
  <c r="N91" i="1"/>
  <c r="N93" i="1" s="1"/>
  <c r="M91" i="1"/>
  <c r="L91" i="1"/>
  <c r="K91" i="1"/>
  <c r="K93" i="1" s="1"/>
  <c r="J91" i="1"/>
  <c r="J93" i="1" s="1"/>
  <c r="I91" i="1"/>
  <c r="I93" i="1" s="1"/>
  <c r="H91" i="1"/>
  <c r="G91" i="1"/>
  <c r="G93" i="1" s="1"/>
  <c r="F91" i="1"/>
  <c r="F93" i="1" s="1"/>
  <c r="E91" i="1"/>
  <c r="E93" i="1" s="1"/>
  <c r="E144" i="1" s="1"/>
  <c r="D91" i="1"/>
  <c r="N89" i="1"/>
  <c r="J89" i="1"/>
  <c r="F89" i="1"/>
  <c r="Q87" i="1"/>
  <c r="Q89" i="1" s="1"/>
  <c r="O87" i="1"/>
  <c r="O89" i="1" s="1"/>
  <c r="N87" i="1"/>
  <c r="M87" i="1"/>
  <c r="M89" i="1" s="1"/>
  <c r="L87" i="1"/>
  <c r="L89" i="1" s="1"/>
  <c r="K87" i="1"/>
  <c r="K89" i="1" s="1"/>
  <c r="K98" i="1" s="1"/>
  <c r="K131" i="1" s="1"/>
  <c r="K139" i="1" s="1"/>
  <c r="J87" i="1"/>
  <c r="I87" i="1"/>
  <c r="I89" i="1" s="1"/>
  <c r="H87" i="1"/>
  <c r="H89" i="1" s="1"/>
  <c r="G87" i="1"/>
  <c r="G89" i="1" s="1"/>
  <c r="F87" i="1"/>
  <c r="E87" i="1"/>
  <c r="E89" i="1" s="1"/>
  <c r="D87" i="1"/>
  <c r="D89" i="1" s="1"/>
  <c r="Q85" i="1"/>
  <c r="Q98" i="1" s="1"/>
  <c r="Q131" i="1" s="1"/>
  <c r="Q139" i="1" s="1"/>
  <c r="L85" i="1"/>
  <c r="H85" i="1"/>
  <c r="H144" i="1" s="1"/>
  <c r="D85" i="1"/>
  <c r="D98" i="1" s="1"/>
  <c r="D131" i="1" s="1"/>
  <c r="D139" i="1" s="1"/>
  <c r="Q83" i="1"/>
  <c r="O83" i="1"/>
  <c r="N83" i="1"/>
  <c r="M83" i="1"/>
  <c r="M85" i="1" s="1"/>
  <c r="M144" i="1" s="1"/>
  <c r="L83" i="1"/>
  <c r="K83" i="1"/>
  <c r="J83" i="1"/>
  <c r="I83" i="1"/>
  <c r="I85" i="1" s="1"/>
  <c r="H83" i="1"/>
  <c r="G83" i="1"/>
  <c r="F83" i="1"/>
  <c r="E83" i="1"/>
  <c r="E85" i="1" s="1"/>
  <c r="D83" i="1"/>
  <c r="Q82" i="1"/>
  <c r="O82" i="1"/>
  <c r="O85" i="1" s="1"/>
  <c r="N82" i="1"/>
  <c r="N85" i="1" s="1"/>
  <c r="M82" i="1"/>
  <c r="L82" i="1"/>
  <c r="K82" i="1"/>
  <c r="K85" i="1" s="1"/>
  <c r="J82" i="1"/>
  <c r="J85" i="1" s="1"/>
  <c r="I82" i="1"/>
  <c r="H82" i="1"/>
  <c r="G82" i="1"/>
  <c r="G85" i="1" s="1"/>
  <c r="G98" i="1" s="1"/>
  <c r="G131" i="1" s="1"/>
  <c r="G139" i="1" s="1"/>
  <c r="F82" i="1"/>
  <c r="F85" i="1" s="1"/>
  <c r="E82" i="1"/>
  <c r="D82" i="1"/>
  <c r="Q78" i="1"/>
  <c r="Q76" i="1"/>
  <c r="O76" i="1"/>
  <c r="N76" i="1"/>
  <c r="M76" i="1"/>
  <c r="K76" i="1"/>
  <c r="J76" i="1"/>
  <c r="I76" i="1"/>
  <c r="G76" i="1"/>
  <c r="F76" i="1"/>
  <c r="E76" i="1"/>
  <c r="E78" i="1" s="1"/>
  <c r="Q75" i="1"/>
  <c r="O75" i="1"/>
  <c r="N75" i="1"/>
  <c r="M75" i="1"/>
  <c r="L75" i="1"/>
  <c r="K75" i="1"/>
  <c r="J75" i="1"/>
  <c r="I75" i="1"/>
  <c r="H75" i="1"/>
  <c r="G75" i="1"/>
  <c r="F75" i="1"/>
  <c r="E75" i="1"/>
  <c r="D75" i="1"/>
  <c r="Q74" i="1"/>
  <c r="O74" i="1"/>
  <c r="N74" i="1"/>
  <c r="M74" i="1"/>
  <c r="L74" i="1"/>
  <c r="K74" i="1"/>
  <c r="J74" i="1"/>
  <c r="I74" i="1"/>
  <c r="H74" i="1"/>
  <c r="G74" i="1"/>
  <c r="F74" i="1"/>
  <c r="E74" i="1"/>
  <c r="D74" i="1"/>
  <c r="Q73" i="1"/>
  <c r="O73" i="1"/>
  <c r="N73" i="1"/>
  <c r="M73" i="1"/>
  <c r="L73" i="1"/>
  <c r="L78" i="1" s="1"/>
  <c r="K73" i="1"/>
  <c r="J73" i="1"/>
  <c r="I73" i="1"/>
  <c r="H73" i="1"/>
  <c r="G73" i="1"/>
  <c r="F73" i="1"/>
  <c r="E73" i="1"/>
  <c r="D73" i="1"/>
  <c r="Q72" i="1"/>
  <c r="O72" i="1"/>
  <c r="N72" i="1"/>
  <c r="M72" i="1"/>
  <c r="M78" i="1" s="1"/>
  <c r="L72" i="1"/>
  <c r="K72" i="1"/>
  <c r="J72" i="1"/>
  <c r="I72" i="1"/>
  <c r="H72" i="1"/>
  <c r="G72" i="1"/>
  <c r="F72" i="1"/>
  <c r="E72" i="1"/>
  <c r="D72" i="1"/>
  <c r="Q71" i="1"/>
  <c r="O71" i="1"/>
  <c r="O78" i="1" s="1"/>
  <c r="N71" i="1"/>
  <c r="N78" i="1" s="1"/>
  <c r="M71" i="1"/>
  <c r="L71" i="1"/>
  <c r="K71" i="1"/>
  <c r="K78" i="1" s="1"/>
  <c r="J71" i="1"/>
  <c r="I71" i="1"/>
  <c r="H71" i="1"/>
  <c r="G71" i="1"/>
  <c r="F71" i="1"/>
  <c r="E71" i="1"/>
  <c r="D71" i="1"/>
  <c r="K65" i="1"/>
  <c r="K80" i="1" s="1"/>
  <c r="K100" i="1" s="1"/>
  <c r="K109" i="1" s="1"/>
  <c r="K122" i="1" s="1"/>
  <c r="K127" i="1" s="1"/>
  <c r="H65" i="1"/>
  <c r="H80" i="1" s="1"/>
  <c r="Q63" i="1"/>
  <c r="O63" i="1"/>
  <c r="N63" i="1"/>
  <c r="M63" i="1"/>
  <c r="L63" i="1"/>
  <c r="K63" i="1"/>
  <c r="J63" i="1"/>
  <c r="I63" i="1"/>
  <c r="H63" i="1"/>
  <c r="G63" i="1"/>
  <c r="F63" i="1"/>
  <c r="E63" i="1"/>
  <c r="D63" i="1"/>
  <c r="Q62" i="1"/>
  <c r="O62" i="1"/>
  <c r="N62" i="1"/>
  <c r="M62" i="1"/>
  <c r="L62" i="1"/>
  <c r="K62" i="1"/>
  <c r="J62" i="1"/>
  <c r="I62" i="1"/>
  <c r="H62" i="1"/>
  <c r="G62" i="1"/>
  <c r="F62" i="1"/>
  <c r="E62" i="1"/>
  <c r="D62" i="1"/>
  <c r="Q61" i="1"/>
  <c r="O61" i="1"/>
  <c r="N61" i="1"/>
  <c r="M61" i="1"/>
  <c r="L61" i="1"/>
  <c r="K61" i="1"/>
  <c r="J61" i="1"/>
  <c r="I61" i="1"/>
  <c r="H61" i="1"/>
  <c r="G61" i="1"/>
  <c r="F61" i="1"/>
  <c r="E61" i="1"/>
  <c r="D61" i="1"/>
  <c r="Q60" i="1"/>
  <c r="O60" i="1"/>
  <c r="N60" i="1"/>
  <c r="M60" i="1"/>
  <c r="L60" i="1"/>
  <c r="K60" i="1"/>
  <c r="J60" i="1"/>
  <c r="I60" i="1"/>
  <c r="H60" i="1"/>
  <c r="G60" i="1"/>
  <c r="F60" i="1"/>
  <c r="E60" i="1"/>
  <c r="D60" i="1"/>
  <c r="Q59" i="1"/>
  <c r="O59" i="1"/>
  <c r="N59" i="1"/>
  <c r="M59" i="1"/>
  <c r="L59" i="1"/>
  <c r="K59" i="1"/>
  <c r="J59" i="1"/>
  <c r="I59" i="1"/>
  <c r="H59" i="1"/>
  <c r="G59" i="1"/>
  <c r="F59" i="1"/>
  <c r="E59" i="1"/>
  <c r="D59" i="1"/>
  <c r="Q58" i="1"/>
  <c r="O58" i="1"/>
  <c r="N58" i="1"/>
  <c r="M58" i="1"/>
  <c r="L58" i="1"/>
  <c r="K58" i="1"/>
  <c r="J58" i="1"/>
  <c r="I58" i="1"/>
  <c r="H58" i="1"/>
  <c r="G58" i="1"/>
  <c r="F58" i="1"/>
  <c r="E58" i="1"/>
  <c r="D58" i="1"/>
  <c r="Q57" i="1"/>
  <c r="O57" i="1"/>
  <c r="N57" i="1"/>
  <c r="M57" i="1"/>
  <c r="L57" i="1"/>
  <c r="K57" i="1"/>
  <c r="J57" i="1"/>
  <c r="I57" i="1"/>
  <c r="H57" i="1"/>
  <c r="G57" i="1"/>
  <c r="F57" i="1"/>
  <c r="E57" i="1"/>
  <c r="D57" i="1"/>
  <c r="Q56" i="1"/>
  <c r="O56" i="1"/>
  <c r="O65" i="1" s="1"/>
  <c r="O80" i="1" s="1"/>
  <c r="N56" i="1"/>
  <c r="M56" i="1"/>
  <c r="L56" i="1"/>
  <c r="K56" i="1"/>
  <c r="J56" i="1"/>
  <c r="I56" i="1"/>
  <c r="H56" i="1"/>
  <c r="G56" i="1"/>
  <c r="G65" i="1" s="1"/>
  <c r="F56" i="1"/>
  <c r="E56" i="1"/>
  <c r="D56" i="1"/>
  <c r="Q55" i="1"/>
  <c r="Q65" i="1" s="1"/>
  <c r="Q80" i="1" s="1"/>
  <c r="O55" i="1"/>
  <c r="N55" i="1"/>
  <c r="N65" i="1" s="1"/>
  <c r="N80" i="1" s="1"/>
  <c r="M55" i="1"/>
  <c r="M65" i="1" s="1"/>
  <c r="L55" i="1"/>
  <c r="L65" i="1" s="1"/>
  <c r="K55" i="1"/>
  <c r="J55" i="1"/>
  <c r="J65" i="1" s="1"/>
  <c r="I55" i="1"/>
  <c r="H55" i="1"/>
  <c r="G55" i="1"/>
  <c r="F55" i="1"/>
  <c r="F65" i="1" s="1"/>
  <c r="E55" i="1"/>
  <c r="E65" i="1" s="1"/>
  <c r="D55" i="1"/>
  <c r="D65" i="1" s="1"/>
  <c r="Q48" i="1"/>
  <c r="O48" i="1"/>
  <c r="N48" i="1"/>
  <c r="M48" i="1"/>
  <c r="L48" i="1"/>
  <c r="K48" i="1"/>
  <c r="J48" i="1"/>
  <c r="I48" i="1"/>
  <c r="H48" i="1"/>
  <c r="G48" i="1"/>
  <c r="F48" i="1"/>
  <c r="E48" i="1"/>
  <c r="D48" i="1"/>
  <c r="Q47" i="1"/>
  <c r="O47" i="1"/>
  <c r="N47" i="1"/>
  <c r="M47" i="1"/>
  <c r="L47" i="1"/>
  <c r="K47" i="1"/>
  <c r="J47" i="1"/>
  <c r="I47" i="1"/>
  <c r="H47" i="1"/>
  <c r="G47" i="1"/>
  <c r="F47" i="1"/>
  <c r="E47" i="1"/>
  <c r="D47" i="1"/>
  <c r="Q46" i="1"/>
  <c r="O46" i="1"/>
  <c r="N46" i="1"/>
  <c r="M46" i="1"/>
  <c r="L46" i="1"/>
  <c r="K46" i="1"/>
  <c r="J46" i="1"/>
  <c r="I46" i="1"/>
  <c r="H46" i="1"/>
  <c r="G46" i="1"/>
  <c r="F46" i="1"/>
  <c r="E46" i="1"/>
  <c r="D46" i="1"/>
  <c r="Q45" i="1"/>
  <c r="O45" i="1"/>
  <c r="N45" i="1"/>
  <c r="M45" i="1"/>
  <c r="L45" i="1"/>
  <c r="K45" i="1"/>
  <c r="J45" i="1"/>
  <c r="I45" i="1"/>
  <c r="H45" i="1"/>
  <c r="G45" i="1"/>
  <c r="F45" i="1"/>
  <c r="E45" i="1"/>
  <c r="D45" i="1"/>
  <c r="Q44" i="1"/>
  <c r="O44" i="1"/>
  <c r="N44" i="1"/>
  <c r="M44" i="1"/>
  <c r="L44" i="1"/>
  <c r="K44" i="1"/>
  <c r="J44" i="1"/>
  <c r="I44" i="1"/>
  <c r="H44" i="1"/>
  <c r="G44" i="1"/>
  <c r="F44" i="1"/>
  <c r="E44" i="1"/>
  <c r="D44" i="1"/>
  <c r="Q43" i="1"/>
  <c r="O43" i="1"/>
  <c r="N43" i="1"/>
  <c r="M43" i="1"/>
  <c r="L43" i="1"/>
  <c r="K43" i="1"/>
  <c r="J43" i="1"/>
  <c r="I43" i="1"/>
  <c r="H43" i="1"/>
  <c r="G43" i="1"/>
  <c r="F43" i="1"/>
  <c r="E43" i="1"/>
  <c r="D43" i="1"/>
  <c r="Q42" i="1"/>
  <c r="O42" i="1"/>
  <c r="N42" i="1"/>
  <c r="M42" i="1"/>
  <c r="M50" i="1" s="1"/>
  <c r="L42" i="1"/>
  <c r="K42" i="1"/>
  <c r="J42" i="1"/>
  <c r="I42" i="1"/>
  <c r="H42" i="1"/>
  <c r="G42" i="1"/>
  <c r="F42" i="1"/>
  <c r="E42" i="1"/>
  <c r="E50" i="1" s="1"/>
  <c r="E130" i="1" s="1"/>
  <c r="D42" i="1"/>
  <c r="Q41" i="1"/>
  <c r="O41" i="1"/>
  <c r="N41" i="1"/>
  <c r="M41" i="1"/>
  <c r="L41" i="1"/>
  <c r="K41" i="1"/>
  <c r="J41" i="1"/>
  <c r="J50" i="1" s="1"/>
  <c r="I41" i="1"/>
  <c r="I50" i="1" s="1"/>
  <c r="H41" i="1"/>
  <c r="G41" i="1"/>
  <c r="F41" i="1"/>
  <c r="E41" i="1"/>
  <c r="D41" i="1"/>
  <c r="Q40" i="1"/>
  <c r="O40" i="1"/>
  <c r="O50" i="1" s="1"/>
  <c r="O130" i="1" s="1"/>
  <c r="N40" i="1"/>
  <c r="M40" i="1"/>
  <c r="L40" i="1"/>
  <c r="K40" i="1"/>
  <c r="J40" i="1"/>
  <c r="I40" i="1"/>
  <c r="H40" i="1"/>
  <c r="G40" i="1"/>
  <c r="G50" i="1" s="1"/>
  <c r="F40" i="1"/>
  <c r="E40" i="1"/>
  <c r="D40" i="1"/>
  <c r="Q31" i="1"/>
  <c r="O31" i="1"/>
  <c r="N31" i="1"/>
  <c r="M31" i="1"/>
  <c r="L31" i="1"/>
  <c r="K31" i="1"/>
  <c r="J31" i="1"/>
  <c r="I31" i="1"/>
  <c r="H31" i="1"/>
  <c r="G31" i="1"/>
  <c r="F31" i="1"/>
  <c r="E31" i="1"/>
  <c r="D31" i="1"/>
  <c r="Q30" i="1"/>
  <c r="O30" i="1"/>
  <c r="N30" i="1"/>
  <c r="M30" i="1"/>
  <c r="L30" i="1"/>
  <c r="K30" i="1"/>
  <c r="J30" i="1"/>
  <c r="I30" i="1"/>
  <c r="H30" i="1"/>
  <c r="G30" i="1"/>
  <c r="F30" i="1"/>
  <c r="E30" i="1"/>
  <c r="D30" i="1"/>
  <c r="Q29" i="1"/>
  <c r="O29" i="1"/>
  <c r="N29" i="1"/>
  <c r="M29" i="1"/>
  <c r="L29" i="1"/>
  <c r="K29" i="1"/>
  <c r="J29" i="1"/>
  <c r="I29" i="1"/>
  <c r="H29" i="1"/>
  <c r="G29" i="1"/>
  <c r="F29" i="1"/>
  <c r="E29" i="1"/>
  <c r="D29" i="1"/>
  <c r="Q28" i="1"/>
  <c r="O28" i="1"/>
  <c r="N28" i="1"/>
  <c r="M28" i="1"/>
  <c r="L28" i="1"/>
  <c r="K28" i="1"/>
  <c r="J28" i="1"/>
  <c r="I28" i="1"/>
  <c r="H28" i="1"/>
  <c r="G28" i="1"/>
  <c r="F28" i="1"/>
  <c r="E28" i="1"/>
  <c r="D28" i="1"/>
  <c r="Q27" i="1"/>
  <c r="O27" i="1"/>
  <c r="N27" i="1"/>
  <c r="M27" i="1"/>
  <c r="L27" i="1"/>
  <c r="K27" i="1"/>
  <c r="J27" i="1"/>
  <c r="I27" i="1"/>
  <c r="H27" i="1"/>
  <c r="G27" i="1"/>
  <c r="F27" i="1"/>
  <c r="E27" i="1"/>
  <c r="D27" i="1"/>
  <c r="Q26" i="1"/>
  <c r="O26" i="1"/>
  <c r="N26" i="1"/>
  <c r="M26" i="1"/>
  <c r="L26" i="1"/>
  <c r="K26" i="1"/>
  <c r="J26" i="1"/>
  <c r="I26" i="1"/>
  <c r="H26" i="1"/>
  <c r="G26" i="1"/>
  <c r="F26" i="1"/>
  <c r="E26" i="1"/>
  <c r="D26" i="1"/>
  <c r="Q25" i="1"/>
  <c r="O25" i="1"/>
  <c r="O36" i="1" s="1"/>
  <c r="O129" i="1" s="1"/>
  <c r="N25" i="1"/>
  <c r="M25" i="1"/>
  <c r="L25" i="1"/>
  <c r="K25" i="1"/>
  <c r="J25" i="1"/>
  <c r="I25" i="1"/>
  <c r="H25" i="1"/>
  <c r="G25" i="1"/>
  <c r="G36" i="1" s="1"/>
  <c r="G129" i="1" s="1"/>
  <c r="F25" i="1"/>
  <c r="E25" i="1"/>
  <c r="D25" i="1"/>
  <c r="Q24" i="1"/>
  <c r="O24" i="1"/>
  <c r="N24" i="1"/>
  <c r="M24" i="1"/>
  <c r="L24" i="1"/>
  <c r="K24" i="1"/>
  <c r="J24" i="1"/>
  <c r="I24" i="1"/>
  <c r="H24" i="1"/>
  <c r="G24" i="1"/>
  <c r="F24" i="1"/>
  <c r="E24" i="1"/>
  <c r="D24" i="1"/>
  <c r="D36" i="1" s="1"/>
  <c r="D129" i="1" s="1"/>
  <c r="Q23" i="1"/>
  <c r="O23" i="1"/>
  <c r="N23" i="1"/>
  <c r="M23" i="1"/>
  <c r="L23" i="1"/>
  <c r="L36" i="1" s="1"/>
  <c r="L129" i="1" s="1"/>
  <c r="K23" i="1"/>
  <c r="K36" i="1" s="1"/>
  <c r="K129" i="1" s="1"/>
  <c r="J23" i="1"/>
  <c r="I23" i="1"/>
  <c r="I36" i="1" s="1"/>
  <c r="I129" i="1" s="1"/>
  <c r="H23" i="1"/>
  <c r="G23" i="1"/>
  <c r="F23" i="1"/>
  <c r="E23" i="1"/>
  <c r="D23" i="1"/>
  <c r="Q14" i="1"/>
  <c r="O14" i="1"/>
  <c r="N14" i="1"/>
  <c r="M14" i="1"/>
  <c r="L14" i="1"/>
  <c r="K14" i="1"/>
  <c r="J14" i="1"/>
  <c r="I14" i="1"/>
  <c r="H14" i="1"/>
  <c r="G14" i="1"/>
  <c r="F14" i="1"/>
  <c r="E14" i="1"/>
  <c r="D14" i="1"/>
  <c r="O13" i="1"/>
  <c r="Q13" i="1" s="1"/>
  <c r="N13" i="1"/>
  <c r="M13" i="1"/>
  <c r="L13" i="1"/>
  <c r="K13" i="1"/>
  <c r="J13" i="1"/>
  <c r="I13" i="1"/>
  <c r="H13" i="1"/>
  <c r="G13" i="1"/>
  <c r="F13" i="1"/>
  <c r="E13" i="1"/>
  <c r="D13" i="1"/>
  <c r="O12" i="1"/>
  <c r="Q12" i="1" s="1"/>
  <c r="N12" i="1"/>
  <c r="M12" i="1"/>
  <c r="L12" i="1"/>
  <c r="K12" i="1"/>
  <c r="J12" i="1"/>
  <c r="I12" i="1"/>
  <c r="H12" i="1"/>
  <c r="G12" i="1"/>
  <c r="F12" i="1"/>
  <c r="E12" i="1"/>
  <c r="D12" i="1"/>
  <c r="Q11" i="1"/>
  <c r="O11" i="1"/>
  <c r="N11" i="1"/>
  <c r="M11" i="1"/>
  <c r="L11" i="1"/>
  <c r="K11" i="1"/>
  <c r="J11" i="1"/>
  <c r="I11" i="1"/>
  <c r="H11" i="1"/>
  <c r="G11" i="1"/>
  <c r="F11" i="1"/>
  <c r="E11" i="1"/>
  <c r="D11" i="1"/>
  <c r="O8" i="1"/>
  <c r="N8" i="1"/>
  <c r="M8" i="1"/>
  <c r="L8" i="1"/>
  <c r="K8" i="1"/>
  <c r="J8" i="1"/>
  <c r="I8" i="1"/>
  <c r="H8" i="1"/>
  <c r="O7" i="1"/>
  <c r="N7" i="1"/>
  <c r="M7" i="1"/>
  <c r="L7" i="1"/>
  <c r="K7" i="1"/>
  <c r="J7" i="1"/>
  <c r="I7" i="1"/>
  <c r="H7" i="1"/>
  <c r="O6" i="1"/>
  <c r="N6" i="1"/>
  <c r="M6" i="1"/>
  <c r="L6" i="1"/>
  <c r="K6" i="1"/>
  <c r="J6" i="1"/>
  <c r="I6" i="1"/>
  <c r="H6" i="1"/>
  <c r="Q6" i="1" s="1"/>
  <c r="O5" i="1"/>
  <c r="N5" i="1"/>
  <c r="M5" i="1"/>
  <c r="L5" i="1"/>
  <c r="K5" i="1"/>
  <c r="J5" i="1"/>
  <c r="I5" i="1"/>
  <c r="H5" i="1"/>
  <c r="Q5" i="1" s="1"/>
  <c r="O4" i="1"/>
  <c r="N4" i="1"/>
  <c r="M4" i="1"/>
  <c r="L4" i="1"/>
  <c r="K4" i="1"/>
  <c r="J4" i="1"/>
  <c r="I4" i="1"/>
  <c r="H4" i="1"/>
  <c r="Q4" i="1" s="1"/>
  <c r="O3" i="1"/>
  <c r="N3" i="1"/>
  <c r="M3" i="1"/>
  <c r="L3" i="1"/>
  <c r="K3" i="1"/>
  <c r="J3" i="1"/>
  <c r="I3" i="1"/>
  <c r="H3" i="1"/>
  <c r="K140" i="1" l="1"/>
  <c r="K132" i="1"/>
  <c r="K141" i="1" s="1"/>
  <c r="G78" i="1"/>
  <c r="G80" i="1"/>
  <c r="G100" i="1" s="1"/>
  <c r="G109" i="1" s="1"/>
  <c r="G122" i="1" s="1"/>
  <c r="G127" i="1" s="1"/>
  <c r="I130" i="1"/>
  <c r="I98" i="1"/>
  <c r="I131" i="1" s="1"/>
  <c r="I139" i="1" s="1"/>
  <c r="I144" i="1"/>
  <c r="M130" i="1"/>
  <c r="L140" i="1"/>
  <c r="D140" i="1"/>
  <c r="G140" i="1"/>
  <c r="H100" i="1"/>
  <c r="H109" i="1" s="1"/>
  <c r="H122" i="1" s="1"/>
  <c r="H127" i="1" s="1"/>
  <c r="Q100" i="1"/>
  <c r="Q109" i="1" s="1"/>
  <c r="Q122" i="1" s="1"/>
  <c r="Q127" i="1" s="1"/>
  <c r="F144" i="1"/>
  <c r="F98" i="1"/>
  <c r="F131" i="1" s="1"/>
  <c r="F139" i="1" s="1"/>
  <c r="I335" i="1"/>
  <c r="I336" i="1" s="1"/>
  <c r="I334" i="1"/>
  <c r="Q215" i="1"/>
  <c r="Q278" i="1"/>
  <c r="I78" i="1"/>
  <c r="Q186" i="1"/>
  <c r="Q196" i="1"/>
  <c r="Q227" i="1"/>
  <c r="Q249" i="1"/>
  <c r="Q284" i="1"/>
  <c r="Q288" i="1"/>
  <c r="Q322" i="1"/>
  <c r="Q326" i="1"/>
  <c r="Q333" i="1"/>
  <c r="G334" i="1"/>
  <c r="Q342" i="1"/>
  <c r="Q390" i="1"/>
  <c r="Q269" i="1"/>
  <c r="Q241" i="1"/>
  <c r="Q406" i="1"/>
  <c r="I65" i="1"/>
  <c r="I80" i="1" s="1"/>
  <c r="I100" i="1" s="1"/>
  <c r="I109" i="1" s="1"/>
  <c r="I122" i="1" s="1"/>
  <c r="I127" i="1" s="1"/>
  <c r="L98" i="1"/>
  <c r="L131" i="1" s="1"/>
  <c r="L139" i="1" s="1"/>
  <c r="H98" i="1"/>
  <c r="H131" i="1" s="1"/>
  <c r="H139" i="1" s="1"/>
  <c r="Q160" i="1"/>
  <c r="K230" i="1"/>
  <c r="Q200" i="1"/>
  <c r="Q204" i="1"/>
  <c r="Q257" i="1"/>
  <c r="Q259" i="1"/>
  <c r="Q264" i="1"/>
  <c r="Q292" i="1"/>
  <c r="Q297" i="1"/>
  <c r="Q299" i="1"/>
  <c r="Q303" i="1"/>
  <c r="Q330" i="1"/>
  <c r="Q353" i="1"/>
  <c r="Q359" i="1"/>
  <c r="Q363" i="1"/>
  <c r="Q426" i="1"/>
  <c r="G130" i="1"/>
  <c r="G132" i="1" s="1"/>
  <c r="G141" i="1" s="1"/>
  <c r="J36" i="1"/>
  <c r="J129" i="1" s="1"/>
  <c r="K50" i="1"/>
  <c r="K130" i="1" s="1"/>
  <c r="J80" i="1"/>
  <c r="D230" i="1"/>
  <c r="Q230" i="1" s="1"/>
  <c r="Q165" i="1"/>
  <c r="Q307" i="1"/>
  <c r="Q372" i="1"/>
  <c r="Q436" i="1"/>
  <c r="I140" i="1"/>
  <c r="I132" i="1"/>
  <c r="I141" i="1" s="1"/>
  <c r="M98" i="1"/>
  <c r="M131" i="1" s="1"/>
  <c r="M139" i="1" s="1"/>
  <c r="M145" i="1"/>
  <c r="K144" i="1"/>
  <c r="N145" i="1"/>
  <c r="Q176" i="1"/>
  <c r="Q274" i="1"/>
  <c r="Q313" i="1"/>
  <c r="Q357" i="1"/>
  <c r="L444" i="1"/>
  <c r="Q418" i="1"/>
  <c r="F78" i="1"/>
  <c r="F80" i="1"/>
  <c r="F100" i="1" s="1"/>
  <c r="F109" i="1" s="1"/>
  <c r="F122" i="1" s="1"/>
  <c r="F127" i="1" s="1"/>
  <c r="Q50" i="1"/>
  <c r="Q130" i="1" s="1"/>
  <c r="O144" i="1"/>
  <c r="M36" i="1"/>
  <c r="M129" i="1" s="1"/>
  <c r="J98" i="1"/>
  <c r="J131" i="1" s="1"/>
  <c r="J139" i="1" s="1"/>
  <c r="J144" i="1"/>
  <c r="E145" i="1"/>
  <c r="Q145" i="1" s="1"/>
  <c r="I294" i="1"/>
  <c r="N36" i="1"/>
  <c r="N129" i="1" s="1"/>
  <c r="D50" i="1"/>
  <c r="F145" i="1"/>
  <c r="Q3" i="1"/>
  <c r="Q7" i="1" s="1"/>
  <c r="L80" i="1"/>
  <c r="L100" i="1" s="1"/>
  <c r="L109" i="1" s="1"/>
  <c r="L122" i="1" s="1"/>
  <c r="L127" i="1" s="1"/>
  <c r="J78" i="1"/>
  <c r="J130" i="1" s="1"/>
  <c r="Q184" i="1"/>
  <c r="Q193" i="1"/>
  <c r="Q197" i="1"/>
  <c r="Q250" i="1"/>
  <c r="Q254" i="1"/>
  <c r="Q283" i="1"/>
  <c r="Q289" i="1"/>
  <c r="Q321" i="1"/>
  <c r="Q327" i="1"/>
  <c r="Q343" i="1"/>
  <c r="Q350" i="1"/>
  <c r="I444" i="1"/>
  <c r="Q419" i="1"/>
  <c r="N144" i="1"/>
  <c r="N98" i="1"/>
  <c r="N131" i="1" s="1"/>
  <c r="N139" i="1" s="1"/>
  <c r="H50" i="1"/>
  <c r="H130" i="1" s="1"/>
  <c r="G144" i="1"/>
  <c r="J145" i="1"/>
  <c r="E36" i="1"/>
  <c r="E129" i="1" s="1"/>
  <c r="E98" i="1"/>
  <c r="E131" i="1" s="1"/>
  <c r="E139" i="1" s="1"/>
  <c r="Q170" i="1"/>
  <c r="Q268" i="1"/>
  <c r="F36" i="1"/>
  <c r="F129" i="1" s="1"/>
  <c r="L50" i="1"/>
  <c r="L130" i="1" s="1"/>
  <c r="L132" i="1" s="1"/>
  <c r="L141" i="1" s="1"/>
  <c r="O98" i="1"/>
  <c r="O131" i="1" s="1"/>
  <c r="O139" i="1" s="1"/>
  <c r="O140" i="1" s="1"/>
  <c r="H36" i="1"/>
  <c r="H129" i="1" s="1"/>
  <c r="Q8" i="1"/>
  <c r="Q36" i="1"/>
  <c r="Q129" i="1" s="1"/>
  <c r="F50" i="1"/>
  <c r="F130" i="1" s="1"/>
  <c r="N50" i="1"/>
  <c r="N130" i="1" s="1"/>
  <c r="E80" i="1"/>
  <c r="E100" i="1" s="1"/>
  <c r="E109" i="1" s="1"/>
  <c r="E122" i="1" s="1"/>
  <c r="E127" i="1" s="1"/>
  <c r="M80" i="1"/>
  <c r="K145" i="1"/>
  <c r="D144" i="1"/>
  <c r="Q159" i="1"/>
  <c r="Q201" i="1"/>
  <c r="Q205" i="1"/>
  <c r="Q258" i="1"/>
  <c r="Q263" i="1"/>
  <c r="Q293" i="1"/>
  <c r="Q298" i="1"/>
  <c r="Q302" i="1"/>
  <c r="Q329" i="1"/>
  <c r="Q331" i="1"/>
  <c r="Q352" i="1"/>
  <c r="Q395" i="1"/>
  <c r="J444" i="1"/>
  <c r="M400" i="1"/>
  <c r="J491" i="1"/>
  <c r="J492" i="1" s="1"/>
  <c r="J490" i="1"/>
  <c r="Q376" i="1"/>
  <c r="F444" i="1"/>
  <c r="N444" i="1"/>
  <c r="Q411" i="1"/>
  <c r="Q412" i="1"/>
  <c r="Q438" i="1"/>
  <c r="Q450" i="1"/>
  <c r="K491" i="1"/>
  <c r="K492" i="1" s="1"/>
  <c r="Q470" i="1"/>
  <c r="K490" i="1"/>
  <c r="Q827" i="1"/>
  <c r="D335" i="1"/>
  <c r="Q366" i="1"/>
  <c r="G444" i="1"/>
  <c r="O444" i="1"/>
  <c r="Q414" i="1"/>
  <c r="Q434" i="1"/>
  <c r="Q440" i="1"/>
  <c r="D491" i="1"/>
  <c r="Q452" i="1"/>
  <c r="D490" i="1"/>
  <c r="L490" i="1"/>
  <c r="E400" i="1"/>
  <c r="Q400" i="1" s="1"/>
  <c r="Q346" i="1"/>
  <c r="Q358" i="1"/>
  <c r="H444" i="1"/>
  <c r="Q435" i="1"/>
  <c r="Q457" i="1"/>
  <c r="Q459" i="1"/>
  <c r="I479" i="1"/>
  <c r="Q430" i="1"/>
  <c r="K442" i="1"/>
  <c r="K444" i="1" s="1"/>
  <c r="Q474" i="1"/>
  <c r="Q646" i="1"/>
  <c r="Q425" i="1"/>
  <c r="D442" i="1"/>
  <c r="D444" i="1" s="1"/>
  <c r="Q444" i="1" s="1"/>
  <c r="L442" i="1"/>
  <c r="Q454" i="1"/>
  <c r="D479" i="1"/>
  <c r="L479" i="1"/>
  <c r="Q661" i="1"/>
  <c r="Q392" i="1"/>
  <c r="Q420" i="1"/>
  <c r="E442" i="1"/>
  <c r="E444" i="1" s="1"/>
  <c r="M442" i="1"/>
  <c r="M444" i="1" s="1"/>
  <c r="Q456" i="1"/>
  <c r="Q458" i="1"/>
  <c r="I490" i="1"/>
  <c r="Q478" i="1"/>
  <c r="Q522" i="1"/>
  <c r="Q905" i="1"/>
  <c r="D938" i="1"/>
  <c r="D940" i="1" s="1"/>
  <c r="D76" i="1" s="1"/>
  <c r="D78" i="1" s="1"/>
  <c r="D80" i="1" s="1"/>
  <c r="D100" i="1" s="1"/>
  <c r="D109" i="1" s="1"/>
  <c r="D122" i="1" s="1"/>
  <c r="D127" i="1" s="1"/>
  <c r="Q489" i="1"/>
  <c r="Q533" i="1"/>
  <c r="D595" i="1"/>
  <c r="Q595" i="1" s="1"/>
  <c r="Q602" i="1"/>
  <c r="D773" i="1"/>
  <c r="Q773" i="1" s="1"/>
  <c r="Q846" i="1"/>
  <c r="D721" i="1"/>
  <c r="Q721" i="1" s="1"/>
  <c r="D535" i="1"/>
  <c r="D336" i="1" l="1"/>
  <c r="Q335" i="1"/>
  <c r="M140" i="1"/>
  <c r="M132" i="1"/>
  <c r="M141" i="1" s="1"/>
  <c r="J100" i="1"/>
  <c r="J109" i="1" s="1"/>
  <c r="J122" i="1" s="1"/>
  <c r="J127" i="1" s="1"/>
  <c r="F132" i="1"/>
  <c r="F140" i="1"/>
  <c r="D492" i="1"/>
  <c r="Q491" i="1"/>
  <c r="Q140" i="1"/>
  <c r="Q132" i="1"/>
  <c r="Q141" i="1" s="1"/>
  <c r="O132" i="1"/>
  <c r="O141" i="1" s="1"/>
  <c r="N100" i="1"/>
  <c r="N109" i="1" s="1"/>
  <c r="N122" i="1" s="1"/>
  <c r="N127" i="1" s="1"/>
  <c r="Q442" i="1"/>
  <c r="E140" i="1"/>
  <c r="E132" i="1"/>
  <c r="E141" i="1" s="1"/>
  <c r="D130" i="1"/>
  <c r="D132" i="1" s="1"/>
  <c r="D141" i="1" s="1"/>
  <c r="D942" i="1"/>
  <c r="Q942" i="1" s="1"/>
  <c r="J132" i="1"/>
  <c r="J140" i="1"/>
  <c r="O100" i="1"/>
  <c r="O109" i="1" s="1"/>
  <c r="O122" i="1" s="1"/>
  <c r="O127" i="1" s="1"/>
  <c r="H140" i="1"/>
  <c r="H132" i="1"/>
  <c r="H141" i="1" s="1"/>
  <c r="N132" i="1"/>
  <c r="N141" i="1" s="1"/>
  <c r="N140" i="1"/>
  <c r="D536" i="1"/>
  <c r="Q535" i="1"/>
  <c r="Q144" i="1"/>
  <c r="M100" i="1"/>
  <c r="M109" i="1" s="1"/>
  <c r="M122" i="1" s="1"/>
  <c r="M127" i="1" s="1"/>
  <c r="F141" i="1" l="1"/>
  <c r="J1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Bismark Rodriguez</author>
  </authors>
  <commentList>
    <comment ref="C567" authorId="0" shapeId="0" xr:uid="{B65A84C0-3DDF-466E-8966-24C76930FD22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Mantenimiento Instalaciones +Mantenimiento General </t>
        </r>
      </text>
    </comment>
    <comment ref="C568" authorId="0" shapeId="0" xr:uid="{42FDB231-8368-4F33-B538-154911F255B1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 Subcontrato Facturación - Contabilidad - cobros (SANDI)</t>
        </r>
      </text>
    </comment>
    <comment ref="C570" authorId="0" shapeId="0" xr:uid="{75E1816D-8194-4890-BAC9-F23658E583A0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servicios  de seguridad</t>
        </r>
      </text>
    </comment>
    <comment ref="C581" authorId="0" shapeId="0" xr:uid="{FA13DEAB-D36E-4FD3-8ED1-17F50AEA5C15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Dispensador de agua JUTURNA + suministros de oficinas</t>
        </r>
      </text>
    </comment>
    <comment ref="C584" authorId="0" shapeId="0" xr:uid="{6A423112-EAE7-4F6A-99D1-CCC71AD9D14A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Actividad find año, eventos especiales y  Publicidad y promocion</t>
        </r>
      </text>
    </comment>
    <comment ref="C585" authorId="0" shapeId="0" xr:uid="{DF1530CC-995B-4E52-B20F-9536E2AEBCDC}">
      <text>
        <r>
          <rPr>
            <b/>
            <sz val="9"/>
            <color indexed="81"/>
            <rFont val="Tahoma"/>
            <family val="2"/>
          </rPr>
          <t>Bismark Rodriguez:</t>
        </r>
        <r>
          <rPr>
            <sz val="9"/>
            <color indexed="81"/>
            <rFont val="Tahoma"/>
            <family val="2"/>
          </rPr>
          <t xml:space="preserve">
Servicio de mantenmiento piscina, Equipo de piscina y quimicos Piscinas</t>
        </r>
      </text>
    </comment>
    <comment ref="C586" authorId="0" shapeId="0" xr:uid="{FE4E2F20-3625-4714-8B1B-FA40B9027790}">
      <text>
        <r>
          <rPr>
            <b/>
            <sz val="9"/>
            <color indexed="81"/>
            <rFont val="Tahoma"/>
            <family val="2"/>
          </rPr>
          <t>Bismark Rodriguez:EQUIPOY LICENCIAS</t>
        </r>
      </text>
    </comment>
  </commentList>
</comments>
</file>

<file path=xl/sharedStrings.xml><?xml version="1.0" encoding="utf-8"?>
<sst xmlns="http://schemas.openxmlformats.org/spreadsheetml/2006/main" count="1118" uniqueCount="392">
  <si>
    <t>Presupuesto 2026 Consolidado</t>
  </si>
  <si>
    <t>Habitaciones Disponibles Totales</t>
  </si>
  <si>
    <t>Habitaciones Ocupadas Totales</t>
  </si>
  <si>
    <t>Habitaciones por Día</t>
  </si>
  <si>
    <t>Huéspedes Totales</t>
  </si>
  <si>
    <t>% de Ocupación</t>
  </si>
  <si>
    <t>Tarifa Promedio Diaria (solo habitación)</t>
  </si>
  <si>
    <t>Total Membresias</t>
  </si>
  <si>
    <t>Membresías Condicionados</t>
  </si>
  <si>
    <t>Membresias Pagando</t>
  </si>
  <si>
    <t>Membresias En acuerdo de pago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</si>
  <si>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</si>
  <si>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</si>
  <si>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</si>
  <si>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</si>
  <si>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</si>
  <si>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</si>
  <si>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</si>
  <si>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</si>
  <si>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</si>
  <si>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</si>
  <si>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</si>
  <si>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</si>
  <si>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</si>
  <si>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DESCRIPCIÓN DE CUENTA</t>
  </si>
  <si>
    <t>Presupuesto 2026</t>
  </si>
  <si>
    <t>INGRESOS</t>
  </si>
  <si>
    <t>Habitaciones</t>
  </si>
  <si>
    <t>Alimentos y Bebidas</t>
  </si>
  <si>
    <t>Spa</t>
  </si>
  <si>
    <t>Tours</t>
  </si>
  <si>
    <t>Tienda de Regalos</t>
  </si>
  <si>
    <t>Club Madresal</t>
  </si>
  <si>
    <t>Lavandería</t>
  </si>
  <si>
    <t>January</t>
  </si>
  <si>
    <t>Bar Privado</t>
  </si>
  <si>
    <t>March</t>
  </si>
  <si>
    <t>Ingresos Varios</t>
  </si>
  <si>
    <t>April</t>
  </si>
  <si>
    <t xml:space="preserve"> </t>
  </si>
  <si>
    <t>May</t>
  </si>
  <si>
    <t>INGRESOS TOTALES</t>
  </si>
  <si>
    <t>June</t>
  </si>
  <si>
    <t>July</t>
  </si>
  <si>
    <t>Gastos Operativos</t>
  </si>
  <si>
    <t>August</t>
  </si>
  <si>
    <t>September</t>
  </si>
  <si>
    <t>October</t>
  </si>
  <si>
    <t>November</t>
  </si>
  <si>
    <t>December</t>
  </si>
  <si>
    <t>Total Gastos Operativos</t>
  </si>
  <si>
    <t>Utilidad Operativa</t>
  </si>
  <si>
    <t>UTILIDAD OPERATIVA</t>
  </si>
  <si>
    <t>GASTOS GENERALES (OVERHEAD)</t>
  </si>
  <si>
    <t>Administración</t>
  </si>
  <si>
    <t>Ventas y Mercadeo</t>
  </si>
  <si>
    <t>Mantenimiento</t>
  </si>
  <si>
    <t>Sistemas de Información</t>
  </si>
  <si>
    <t>Servicios Públicos</t>
  </si>
  <si>
    <t>Área Recreativa</t>
  </si>
  <si>
    <t>TOTAL GASTOS GENERALES</t>
  </si>
  <si>
    <t>UTILIDAD OPERATIVA BRUTA TOTAL (GOP)</t>
  </si>
  <si>
    <t>Alquiler</t>
  </si>
  <si>
    <t>Honorarios de Administración (5%)</t>
  </si>
  <si>
    <t>TOTAL ALQUILER Y HONORARIOS DE ADMINISTRACIÓN</t>
  </si>
  <si>
    <t>Seguro de Propiedad</t>
  </si>
  <si>
    <t>SEGURO DE PROPIEDAD</t>
  </si>
  <si>
    <t>Otros Gastos</t>
  </si>
  <si>
    <t>TOTAL OTROS GASTOS</t>
  </si>
  <si>
    <t>TOTAL GASTOS NO OPERATIVOS</t>
  </si>
  <si>
    <t>EBITDA ANTES DE CAPITAL</t>
  </si>
  <si>
    <t>Reserva de Capital</t>
  </si>
  <si>
    <t>Mejoras Mayores</t>
  </si>
  <si>
    <t>GASTO DE CAPITAL</t>
  </si>
  <si>
    <t>EBITDA DESPUÉS DE CAPITAL</t>
  </si>
  <si>
    <t>Pérdida Financiera</t>
  </si>
  <si>
    <t>GASTOS FINANCIEROS</t>
  </si>
  <si>
    <t>Depreciación</t>
  </si>
  <si>
    <t>TOTAL DEPRECIACIONES</t>
  </si>
  <si>
    <t>UTILIDAD ANTES DE IMPUESTOS</t>
  </si>
  <si>
    <t>Impuesto sobre la Renta (30%)</t>
  </si>
  <si>
    <t>UTILIDAD NETA</t>
  </si>
  <si>
    <t>Ingresos totales</t>
  </si>
  <si>
    <t>Total gastos operativos</t>
  </si>
  <si>
    <t>Gastos de la Propiedad</t>
  </si>
  <si>
    <t>Resumen</t>
  </si>
  <si>
    <t>Total Nómina y Beneficios</t>
  </si>
  <si>
    <t>Costo Total</t>
  </si>
  <si>
    <t>Total Gastos de Propiedad</t>
  </si>
  <si>
    <t>Variación 0</t>
  </si>
  <si>
    <t>Gastos de propiedad</t>
  </si>
  <si>
    <t>Gastos después de EBITDA</t>
  </si>
  <si>
    <t>DEPARTAMENTO DE HABITACIONES</t>
  </si>
  <si>
    <t>Ingresos por Habitaciones</t>
  </si>
  <si>
    <t>Cancelaciones</t>
  </si>
  <si>
    <t>No Show</t>
  </si>
  <si>
    <t>Total Ingresos por Habitaciones</t>
  </si>
  <si>
    <t>NÓMINA</t>
  </si>
  <si>
    <t>Salarios y Sueldos</t>
  </si>
  <si>
    <t>Horas Extra</t>
  </si>
  <si>
    <t>Día Libre</t>
  </si>
  <si>
    <t>Feriado Trabajado</t>
  </si>
  <si>
    <t>Comisiones</t>
  </si>
  <si>
    <t>Seguro Social (CCSS)</t>
  </si>
  <si>
    <t>Aguinaldo</t>
  </si>
  <si>
    <t>Póliza de Riesgos del Trabajo</t>
  </si>
  <si>
    <t>Provisión de Vacaciones</t>
  </si>
  <si>
    <t>Vacaciones Disfrutadas</t>
  </si>
  <si>
    <t>Cafetería</t>
  </si>
  <si>
    <t>Preaviso y Cesantía</t>
  </si>
  <si>
    <t>Bono de Incentivo</t>
  </si>
  <si>
    <t>Vivienda</t>
  </si>
  <si>
    <t>Transporte de Empleados</t>
  </si>
  <si>
    <t>Otros Beneficios a Empleados</t>
  </si>
  <si>
    <t>TOTAL NÓMINA</t>
  </si>
  <si>
    <t>Suministros de Limpieza</t>
  </si>
  <si>
    <t>Servicios de Clúster</t>
  </si>
  <si>
    <t>Comisiones y Honorarios—Grupos</t>
  </si>
  <si>
    <t>Alimentos y Bebidas de Cortesía</t>
  </si>
  <si>
    <t>Entretenimiento en Habitación de Cortesía</t>
  </si>
  <si>
    <t>Servicios y Regalos de Cortesía</t>
  </si>
  <si>
    <t>Servicios Contratados</t>
  </si>
  <si>
    <t>Reembolsos a Oficina Corporativa</t>
  </si>
  <si>
    <t>Decoraciones</t>
  </si>
  <si>
    <t>Suscripciones</t>
  </si>
  <si>
    <t>Entretenimiento—Interno</t>
  </si>
  <si>
    <t>Alquiler de Equipo</t>
  </si>
  <si>
    <t>Reubicación de Huéspedes</t>
  </si>
  <si>
    <t>Suministros para Huéspedes</t>
  </si>
  <si>
    <t>Transporte de Huéspedes</t>
  </si>
  <si>
    <t>Lavandería y Limpieza en Seco</t>
  </si>
  <si>
    <t>Licencias y Permisos</t>
  </si>
  <si>
    <t>Linen</t>
  </si>
  <si>
    <t>Gastos Varios</t>
  </si>
  <si>
    <t>Suministros Operativos</t>
  </si>
  <si>
    <t>Envios</t>
  </si>
  <si>
    <t>Impresión y Papelería</t>
  </si>
  <si>
    <t>Reservaciones</t>
  </si>
  <si>
    <t>Honorarios de Regalía</t>
  </si>
  <si>
    <t>Capacitación</t>
  </si>
  <si>
    <t>Viajes—Comidas y Entretenimiento</t>
  </si>
  <si>
    <t>Viajes—Otros</t>
  </si>
  <si>
    <t>Costos de Uniformes</t>
  </si>
  <si>
    <t>Lavado de Uniformes</t>
  </si>
  <si>
    <t>TOTAL GASTOS OPERATIVOS</t>
  </si>
  <si>
    <t>UTILIDAD NETA HABITACIONES</t>
  </si>
  <si>
    <t>DEPARTAMENTO DE ALIMENTOS Y BEBIDAS</t>
  </si>
  <si>
    <t>Alimentos</t>
  </si>
  <si>
    <t>Bebida sin Alcohol</t>
  </si>
  <si>
    <t>Cerveza</t>
  </si>
  <si>
    <t>Licor</t>
  </si>
  <si>
    <t>Vino</t>
  </si>
  <si>
    <t>A&amp;B Varios</t>
  </si>
  <si>
    <t>Total Ingresos A&amp;B</t>
  </si>
  <si>
    <t>COSTO DE VENTAS</t>
  </si>
  <si>
    <t>Costo de Alimentos</t>
  </si>
  <si>
    <t>Traslado de Bar a Alimentos</t>
  </si>
  <si>
    <t>Flete sobre Alimentos</t>
  </si>
  <si>
    <t>Costo de Bebidas</t>
  </si>
  <si>
    <t>Costo de Licor</t>
  </si>
  <si>
    <t>Costo de Vino</t>
  </si>
  <si>
    <t>Costo de Cerveza</t>
  </si>
  <si>
    <t>Costo de Otras Bebidas</t>
  </si>
  <si>
    <t>Traslado de Alimentos a Bar</t>
  </si>
  <si>
    <t>Costo A&amp;B Varios</t>
  </si>
  <si>
    <t>Total Costo de Ventas</t>
  </si>
  <si>
    <t>% de Ingresos del Depto.</t>
  </si>
  <si>
    <t>Gastos de Banquetes</t>
  </si>
  <si>
    <t>Vajilla (Loza)</t>
  </si>
  <si>
    <t>Suministros de Lavavajillas</t>
  </si>
  <si>
    <t>Cuotas y Suscripciones</t>
  </si>
  <si>
    <t>Cubería</t>
  </si>
  <si>
    <t>Cristalería</t>
  </si>
  <si>
    <t>Hielo</t>
  </si>
  <si>
    <t>Combustible de Cocina</t>
  </si>
  <si>
    <t>Utensilios Menores de Cocina</t>
  </si>
  <si>
    <t>Lencería</t>
  </si>
  <si>
    <t>Honorarios de Administración</t>
  </si>
  <si>
    <t>Menús y Cartas de Bebidas</t>
  </si>
  <si>
    <t>Desayunos</t>
  </si>
  <si>
    <t>Música y Entretenimiento</t>
  </si>
  <si>
    <t>Papel y Plásticos</t>
  </si>
  <si>
    <t>Franqueo y Mensajería</t>
  </si>
  <si>
    <t>Utensilios</t>
  </si>
  <si>
    <t>UTILIDAD NETA A&amp;B</t>
  </si>
  <si>
    <t>% Utilidad</t>
  </si>
  <si>
    <t>DEPARTAMENTO DE SPA</t>
  </si>
  <si>
    <t>Masajes</t>
  </si>
  <si>
    <t>Ingresos de Tratamientos Corporales</t>
  </si>
  <si>
    <t>Ingresos de Belleza</t>
  </si>
  <si>
    <t>Tienda de Spa (Retail)</t>
  </si>
  <si>
    <t>Total Ingresos de Spa</t>
  </si>
  <si>
    <t>Costo de Spa</t>
  </si>
  <si>
    <t>Ambientación</t>
  </si>
  <si>
    <t>Suministros Deportivos</t>
  </si>
  <si>
    <t>Productos de Salud y Belleza</t>
  </si>
  <si>
    <t>Varios</t>
  </si>
  <si>
    <t>Piscina</t>
  </si>
  <si>
    <t>UTILIDAD NETA SPA</t>
  </si>
  <si>
    <t>DEPARTAMENTO DE TOURS</t>
  </si>
  <si>
    <t>Ingresos por Tours</t>
  </si>
  <si>
    <t>Total Ingresos por Tours</t>
  </si>
  <si>
    <t>Costo de Tours</t>
  </si>
  <si>
    <t>Costo Tours</t>
  </si>
  <si>
    <t>Mano de Obra por Contrato</t>
  </si>
  <si>
    <t>UTILIDAD NETA TOURS</t>
  </si>
  <si>
    <t>DEPARTAMENTO DE TIENDA DE REGALOS</t>
  </si>
  <si>
    <t>Ingreso Tienda</t>
  </si>
  <si>
    <t>Total Ingresos de Tienda</t>
  </si>
  <si>
    <t>Costo de Ropa de Mujer</t>
  </si>
  <si>
    <t>Costo de Ropa de Niños</t>
  </si>
  <si>
    <t>Costo de Accesorios de Vestir</t>
  </si>
  <si>
    <t>Costo de Viseras/Sombreros/Gorras</t>
  </si>
  <si>
    <t>Costo de Calzado</t>
  </si>
  <si>
    <t>Costo de Otra Ropa</t>
  </si>
  <si>
    <t>UTILIDAD NETA TIENDA</t>
  </si>
  <si>
    <t>DEPARTAMENTO DE BAR PRIVADO</t>
  </si>
  <si>
    <t>Total Ingresos de Bar Privado</t>
  </si>
  <si>
    <t>Costo</t>
  </si>
  <si>
    <t>UTILIDAD NETA BAR PRIVADO</t>
  </si>
  <si>
    <t>DEPARTAMENTO CLUB MADRESAL</t>
  </si>
  <si>
    <t>Ingreso Madresal Club-Cuotas</t>
  </si>
  <si>
    <t>Ingreso Club Madresal</t>
  </si>
  <si>
    <t>Total Ingresos Club Madresal</t>
  </si>
  <si>
    <t>Costos</t>
  </si>
  <si>
    <t>Edificio</t>
  </si>
  <si>
    <t>Cargos de contabilidad centralizada</t>
  </si>
  <si>
    <t>Suministros de limpieza</t>
  </si>
  <si>
    <t>Servicios contratados</t>
  </si>
  <si>
    <t>Equipo eléctrico y mecánico</t>
  </si>
  <si>
    <t>Electricidad</t>
  </si>
  <si>
    <t>Suministros de ingeniería</t>
  </si>
  <si>
    <t>Entretenimiento—interno</t>
  </si>
  <si>
    <t>Equipo</t>
  </si>
  <si>
    <t>Mantenimiento de terrenos y jardinería</t>
  </si>
  <si>
    <t>Lavandería y limpieza en seco</t>
  </si>
  <si>
    <t>Licencias y permisos</t>
  </si>
  <si>
    <t>Vida/seguridad</t>
  </si>
  <si>
    <t>Varios/caja chica</t>
  </si>
  <si>
    <t>Suministros operativos</t>
  </si>
  <si>
    <t>Otros combustibles</t>
  </si>
  <si>
    <t>Impresión y papelería</t>
  </si>
  <si>
    <t>Promoción</t>
  </si>
  <si>
    <t>Gastos de sistemas: sistemas de información</t>
  </si>
  <si>
    <t>Gastos de sistemas: telecomunicaciones y sistemas de información-internet</t>
  </si>
  <si>
    <t>Costos de uniformes</t>
  </si>
  <si>
    <t>Agua</t>
  </si>
  <si>
    <t>Fees</t>
  </si>
  <si>
    <t>Seguro de propiedad</t>
  </si>
  <si>
    <t>UTILIDAD NETA CLUB MADRESAL</t>
  </si>
  <si>
    <t>DEPARTAMENTO DE LAVANDERÍA</t>
  </si>
  <si>
    <t>Total Ingresos de Lavandería</t>
  </si>
  <si>
    <t>Costos de Lavandería</t>
  </si>
  <si>
    <t>Suministros de Lavandería</t>
  </si>
  <si>
    <t>UTILIDAD NETA LAVANDERÍA</t>
  </si>
  <si>
    <t>DEPARTAMENTO DE INGRESOS VARIOS</t>
  </si>
  <si>
    <t>Cargos por Deserción (Attrition)</t>
  </si>
  <si>
    <t>Cargo por Cancelación</t>
  </si>
  <si>
    <t>Descuento por Pronto Pago Obtenido</t>
  </si>
  <si>
    <t>Pérdidas Cambiarias</t>
  </si>
  <si>
    <t>Ingresos por Intereses</t>
  </si>
  <si>
    <t>Ruptura de Paquetes (Package Breakage)</t>
  </si>
  <si>
    <t>Cuota de Sostenibilidad</t>
  </si>
  <si>
    <t>Servicios Médicos</t>
  </si>
  <si>
    <t>Total Ingresos Varios</t>
  </si>
  <si>
    <t>UTILIDAD NETA INGRESOS VARIOS</t>
  </si>
  <si>
    <t>DEPARTAMENTOS DE GASTOS GENERALES (OVERHEAD)</t>
  </si>
  <si>
    <t>ADMINISTRACIÓN Y GENERAL</t>
  </si>
  <si>
    <t>Honorarios de Auditoría</t>
  </si>
  <si>
    <t>Cargos Bancarios</t>
  </si>
  <si>
    <t>Sobrantes y Faltantes de Caja</t>
  </si>
  <si>
    <t>Cargos de Contabilidad Centralizada</t>
  </si>
  <si>
    <t>Crédito y Cobranza</t>
  </si>
  <si>
    <t>Comisiones de Tarjeta de Crédito</t>
  </si>
  <si>
    <t>Donaciones</t>
  </si>
  <si>
    <t>Ganancias (Pérdidas)</t>
  </si>
  <si>
    <t>Recursos Humanos</t>
  </si>
  <si>
    <t>Servicios Legales</t>
  </si>
  <si>
    <t>Pérdidas y Daños</t>
  </si>
  <si>
    <t>Varios/Sostenibilidad</t>
  </si>
  <si>
    <t>Cambio de Divisa de No Huéspedes</t>
  </si>
  <si>
    <t>Procesamiento de Planilla</t>
  </si>
  <si>
    <t>Honorarios Profesionales</t>
  </si>
  <si>
    <t>Provisión para Cuentas Incobrables</t>
  </si>
  <si>
    <t>Seguridad</t>
  </si>
  <si>
    <t>Costos de Liquidación</t>
  </si>
  <si>
    <t>Transporte de Personal</t>
  </si>
  <si>
    <t>TOTAL ADMINISTRACIÓN Y GENERAL</t>
  </si>
  <si>
    <t>VENTAS Y MERCADEO</t>
  </si>
  <si>
    <t>Honorarios de Agencia</t>
  </si>
  <si>
    <t>Servicios de Clúster (cuota de mercadeo)</t>
  </si>
  <si>
    <t>Material Promocional (Colateral)</t>
  </si>
  <si>
    <t>Correo Directo</t>
  </si>
  <si>
    <t>Entretenimiento—Interno (CPL)</t>
  </si>
  <si>
    <t>Viajes de Familiarización</t>
  </si>
  <si>
    <t>Franquicia y Afiliación—Regalías</t>
  </si>
  <si>
    <t>Mercadeo de Franquicia y Afiliación</t>
  </si>
  <si>
    <t>Diseño Gráfico Interno</t>
  </si>
  <si>
    <t>Programas de Lealtad</t>
  </si>
  <si>
    <t>Medios</t>
  </si>
  <si>
    <t>Representación de Ventas Externa</t>
  </si>
  <si>
    <t>Servicios Externos de Investigación de Mercado</t>
  </si>
  <si>
    <t>Rotulación Externa</t>
  </si>
  <si>
    <t>Fotografía</t>
  </si>
  <si>
    <t>Ferias Comerciales</t>
  </si>
  <si>
    <t>Sitio Web</t>
  </si>
  <si>
    <t>TOTAL VENTAS Y MERCADEO</t>
  </si>
  <si>
    <t>MANTENIMIENTO</t>
  </si>
  <si>
    <t>Equipo Eléctrico y Mecánico</t>
  </si>
  <si>
    <t>Ascensores y Escaleras Eléctricas</t>
  </si>
  <si>
    <t>Suministros de Ingeniería</t>
  </si>
  <si>
    <t>Equipo (hardware)</t>
  </si>
  <si>
    <t>Revestimiento de Pisos</t>
  </si>
  <si>
    <t>Mobiliario y Equipo</t>
  </si>
  <si>
    <t>Mantenimiento de Terrenos y Jardinería</t>
  </si>
  <si>
    <t>Calefacción, Ventilación y A/C</t>
  </si>
  <si>
    <t>Equipo de Cocina</t>
  </si>
  <si>
    <t>Equipo de Lavandería</t>
  </si>
  <si>
    <t>Vida/Seguridad</t>
  </si>
  <si>
    <t>Bombillos</t>
  </si>
  <si>
    <t>Pintura y Revestimiento de Paredes</t>
  </si>
  <si>
    <t>Plomería</t>
  </si>
  <si>
    <t>Reparación de Vehículos</t>
  </si>
  <si>
    <t>Recolección de Desechos</t>
  </si>
  <si>
    <t>TOTAL MANTENIMIENTO</t>
  </si>
  <si>
    <t>SISTEMAS DE INFORMACIÓN</t>
  </si>
  <si>
    <t>Costo de Servicios</t>
  </si>
  <si>
    <t>Costo de Telefonía Celular</t>
  </si>
  <si>
    <t>Costo de Llamadas Locales</t>
  </si>
  <si>
    <t>Costo de Servicios de Internet</t>
  </si>
  <si>
    <t>Costo de Larga Distancia</t>
  </si>
  <si>
    <t>Otros Costos de Servicios</t>
  </si>
  <si>
    <t>Total Costo de Servicios</t>
  </si>
  <si>
    <t>Otro Equipo</t>
  </si>
  <si>
    <t>Gastos de Sistema: Administración y General</t>
  </si>
  <si>
    <t>Gastos de Sistema: SI Centralizados</t>
  </si>
  <si>
    <t>Gastos de Sistema: Gestión de Energía</t>
  </si>
  <si>
    <t>Gastos de Sistema: A&amp;B</t>
  </si>
  <si>
    <t>Gastos de Sistema: Golf</t>
  </si>
  <si>
    <t>Gastos de Sistema: Hardware</t>
  </si>
  <si>
    <t>Gastos de Sistema: Club de Salud/Spa</t>
  </si>
  <si>
    <t>Gastos de Sistema: RR. HH.</t>
  </si>
  <si>
    <t>Gastos de Sistema: Seguridad de la Información</t>
  </si>
  <si>
    <t>Gastos de Sistema: Sistemas de Información</t>
  </si>
  <si>
    <t>Gastos de Sistema: Otros</t>
  </si>
  <si>
    <t>Gastos de Sistema: Estacionamiento</t>
  </si>
  <si>
    <t>Gastos de Sistema: Operaciones de Propiedad</t>
  </si>
  <si>
    <t>Gastos de Sistema: Habitaciones</t>
  </si>
  <si>
    <t>Gastos de Sistema: Ventas y Mercadeo</t>
  </si>
  <si>
    <t>Gastos de Sistema: Telecomunicaciones</t>
  </si>
  <si>
    <t>Almacenamiento y Optimización de Sistemas</t>
  </si>
  <si>
    <t>TOTAL SISTEMAS DE INFORMACIÓN</t>
  </si>
  <si>
    <t>SERVICIOS PÚBLICOS</t>
  </si>
  <si>
    <t>Agua (Chilled Water)</t>
  </si>
  <si>
    <t>Gas</t>
  </si>
  <si>
    <t>Combustible (Generador)</t>
  </si>
  <si>
    <t xml:space="preserve">Combustible </t>
  </si>
  <si>
    <t>Combustible (Lancha y Equipo)</t>
  </si>
  <si>
    <t>Otros Combustibles</t>
  </si>
  <si>
    <t>Vapor</t>
  </si>
  <si>
    <t>TOTAL SERVICIOS PÚBLICOS</t>
  </si>
  <si>
    <t>DEPARTAMENTO ÁREA RECREATIVA</t>
  </si>
  <si>
    <t>Ingreso</t>
  </si>
  <si>
    <t>Total Ingresos Área Recreativa</t>
  </si>
  <si>
    <t>UTILIDAD NETA ÁREA RECREATIVA</t>
  </si>
  <si>
    <t>GASTOS DE PROPIEDAD</t>
  </si>
  <si>
    <t>ALQUILER</t>
  </si>
  <si>
    <t>TOTAL ALQUILER</t>
  </si>
  <si>
    <t>HONORARIOS DE ADMINISTRACIÓN</t>
  </si>
  <si>
    <t>TOTAL HONORARIOS DE ADMINISTRACIÓN (5%) Y REGALÍAS</t>
  </si>
  <si>
    <t>TOTAL SEGURO DE PROPIEDAD</t>
  </si>
  <si>
    <t>INTERESES SOBRE PRÉSTAMOS</t>
  </si>
  <si>
    <t>Intereses sobre Préstamos</t>
  </si>
  <si>
    <t>TOTAL INTERESES SOBRE PRÉSTAMOS</t>
  </si>
  <si>
    <t>CARGOS BANCARIOS Y COMISIONES</t>
  </si>
  <si>
    <t xml:space="preserve">Cargos Bancarios y Comisiones </t>
  </si>
  <si>
    <t>TOTAL CARGOS BANCARIOS Y COMISIONES</t>
  </si>
  <si>
    <t>GANANCIA / PÉRDIDA CAMBIARIA</t>
  </si>
  <si>
    <t>Ganancia / Pérdida Cambiaria</t>
  </si>
  <si>
    <t>TOTAL GANANCIA / PÉRDIDA CAMBIARIA</t>
  </si>
  <si>
    <t>RESERVA / GASTO DE CAPITAL</t>
  </si>
  <si>
    <t>Gasto de Capital Mayor</t>
  </si>
  <si>
    <t>TOTAL GASTO DE CAPITAL</t>
  </si>
  <si>
    <t>DEPRECIACIÓN</t>
  </si>
  <si>
    <t xml:space="preserve">Depreciación </t>
  </si>
  <si>
    <t>TOTAL DEPRECIACIÓN</t>
  </si>
  <si>
    <t>MULTAS Y OTROS GASTOS NO DEDUCIBLES</t>
  </si>
  <si>
    <t>Multas y Otros Gastos No Deducibles</t>
  </si>
  <si>
    <t>TOTAL MULTAS Y OTROS NO DEDUCIBLES</t>
  </si>
  <si>
    <t>IMPUESTO SOBRE LA RENTA</t>
  </si>
  <si>
    <t>Impuesto sobre la Renta</t>
  </si>
  <si>
    <t>TOTAL IMPUESTO SOBRE LA 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</si>
</sst>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164" formatCode="_-* #,##0.00_-;\-* #,##0.00_-;_-* &quot;-&quot;??_-;_-@_-"/>
    <numFmt numFmtId="165" formatCode="_-* #,##0_-;\-* #,##0_-;_-* &quot;-&quot;??_-;_-@_-"/>
    <numFmt numFmtId="166" formatCode="_-&quot;₡&quot;* #,##0.00_-;\-&quot;₡&quot;* #,##0.00_-;_-&quot;₡&quot;* &quot;-&quot;??_-;_-@_-"/>
    <numFmt numFmtId="167" formatCode="_([$$-409]* #,##0.00_);_([$$-409]* \(#,##0.00\);_([$$-409]* &quot;-&quot;??_);_(@_)"/>
    <numFmt numFmtId="168" formatCode="[$$-45C]#,##0.00;[Red]\-[$$-45C]#,##0.00"/>
    <numFmt numFmtId="169" formatCode="&quot;$&quot;#,##0.00;[Red]\(&quot;$&quot;#,##0.00\);&quot;&quot;"/>
    <numFmt numFmtId="170" formatCode="&quot;$&quot;#,##0.00;[Red]&quot;$&quot;#,##0.00"/>
    <numFmt numFmtId="171" formatCode="[$$-409]#,##0.00_);[Red]\([$$-409]#,##0.00\)"/>
    <numFmt numFmtId="172" formatCode="#,##0;\(#,##0\);\-"/>
    <numFmt numFmtId="173" formatCode="_([$$-409]* #,##0.000_);_([$$-409]* \(#,##0.000\);_([$$-409]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color rgb="FFC6591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26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name val="Segoe UI"/>
      <family val="2"/>
    </font>
    <font>
      <b/>
      <sz val="12"/>
      <color theme="5" tint="-0.249977111117893"/>
      <name val="Arial"/>
      <family val="2"/>
    </font>
    <font>
      <b/>
      <sz val="12"/>
      <color rgb="FFFF0000"/>
      <name val="Arial"/>
      <family val="2"/>
    </font>
    <font>
      <sz val="12"/>
      <color theme="4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rgb="FF1F3864"/>
      <name val="Arial"/>
      <family val="2"/>
    </font>
    <font>
      <i/>
      <sz val="12"/>
      <color rgb="FF595959"/>
      <name val="Arial"/>
      <family val="2"/>
    </font>
    <font>
      <sz val="12"/>
      <color rgb="FFFF0000"/>
      <name val="Arial"/>
      <family val="2"/>
    </font>
    <font>
      <sz val="12"/>
      <color rgb="FF59595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A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indexed="31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626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auto="1"/>
      </top>
      <bottom style="thick">
        <color auto="1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34">
    <xf numFmtId="0" fontId="0" fillId="0" borderId="0" xfId="0"/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/>
    </xf>
    <xf numFmtId="0" fontId="4" fillId="3" borderId="0" xfId="4" applyFont="1" applyFill="1" applyAlignment="1">
      <alignment horizontal="center"/>
    </xf>
    <xf numFmtId="0" fontId="3" fillId="2" borderId="0" xfId="4" applyFont="1" applyFill="1" applyAlignment="1">
      <alignment horizontal="center"/>
    </xf>
    <xf numFmtId="0" fontId="5" fillId="4" borderId="0" xfId="4" applyFont="1" applyFill="1" applyAlignment="1">
      <alignment horizontal="center"/>
    </xf>
    <xf numFmtId="0" fontId="3" fillId="2" borderId="0" xfId="4" applyFont="1" applyFill="1"/>
    <xf numFmtId="0" fontId="6" fillId="2" borderId="0" xfId="4" applyFont="1" applyFill="1" applyAlignment="1">
      <alignment horizontal="left"/>
    </xf>
    <xf numFmtId="0" fontId="7" fillId="2" borderId="0" xfId="4" applyFont="1" applyFill="1" applyAlignment="1">
      <alignment horizontal="center"/>
    </xf>
    <xf numFmtId="0" fontId="7" fillId="4" borderId="0" xfId="4" applyFont="1" applyFill="1" applyAlignment="1">
      <alignment horizontal="center"/>
    </xf>
    <xf numFmtId="0" fontId="6" fillId="2" borderId="0" xfId="4" applyFont="1" applyFill="1"/>
    <xf numFmtId="165" fontId="6" fillId="5" borderId="1" xfId="1" applyNumberFormat="1" applyFont="1" applyFill="1" applyBorder="1"/>
    <xf numFmtId="165" fontId="6" fillId="5" borderId="2" xfId="1" applyNumberFormat="1" applyFont="1" applyFill="1" applyBorder="1" applyAlignment="1">
      <alignment horizontal="center"/>
    </xf>
    <xf numFmtId="165" fontId="6" fillId="5" borderId="2" xfId="1" applyNumberFormat="1" applyFont="1" applyFill="1" applyBorder="1"/>
    <xf numFmtId="165" fontId="6" fillId="5" borderId="3" xfId="1" applyNumberFormat="1" applyFont="1" applyFill="1" applyBorder="1"/>
    <xf numFmtId="165" fontId="6" fillId="5" borderId="0" xfId="1" applyNumberFormat="1" applyFont="1" applyFill="1" applyBorder="1"/>
    <xf numFmtId="165" fontId="8" fillId="5" borderId="4" xfId="1" applyNumberFormat="1" applyFont="1" applyFill="1" applyBorder="1" applyAlignment="1">
      <alignment horizontal="center"/>
    </xf>
    <xf numFmtId="165" fontId="6" fillId="5" borderId="5" xfId="1" applyNumberFormat="1" applyFont="1" applyFill="1" applyBorder="1"/>
    <xf numFmtId="165" fontId="6" fillId="5" borderId="0" xfId="1" applyNumberFormat="1" applyFont="1" applyFill="1" applyBorder="1" applyAlignment="1">
      <alignment horizontal="center"/>
    </xf>
    <xf numFmtId="165" fontId="6" fillId="5" borderId="6" xfId="1" applyNumberFormat="1" applyFont="1" applyFill="1" applyBorder="1"/>
    <xf numFmtId="165" fontId="8" fillId="5" borderId="7" xfId="1" applyNumberFormat="1" applyFont="1" applyFill="1" applyBorder="1" applyAlignment="1">
      <alignment horizontal="center"/>
    </xf>
    <xf numFmtId="0" fontId="6" fillId="5" borderId="5" xfId="4" applyFont="1" applyFill="1" applyBorder="1"/>
    <xf numFmtId="10" fontId="6" fillId="2" borderId="0" xfId="4" applyNumberFormat="1" applyFont="1" applyFill="1" applyAlignment="1">
      <alignment horizontal="left"/>
    </xf>
    <xf numFmtId="10" fontId="6" fillId="5" borderId="5" xfId="5" applyNumberFormat="1" applyFont="1" applyFill="1" applyBorder="1"/>
    <xf numFmtId="10" fontId="6" fillId="5" borderId="0" xfId="3" applyNumberFormat="1" applyFont="1" applyFill="1" applyBorder="1" applyAlignment="1">
      <alignment horizontal="center"/>
    </xf>
    <xf numFmtId="10" fontId="6" fillId="5" borderId="0" xfId="3" applyNumberFormat="1" applyFont="1" applyFill="1" applyBorder="1"/>
    <xf numFmtId="10" fontId="6" fillId="5" borderId="6" xfId="3" applyNumberFormat="1" applyFont="1" applyFill="1" applyBorder="1"/>
    <xf numFmtId="10" fontId="8" fillId="5" borderId="7" xfId="3" applyNumberFormat="1" applyFont="1" applyFill="1" applyBorder="1" applyAlignment="1">
      <alignment horizontal="center"/>
    </xf>
    <xf numFmtId="10" fontId="6" fillId="2" borderId="0" xfId="4" applyNumberFormat="1" applyFont="1" applyFill="1"/>
    <xf numFmtId="164" fontId="6" fillId="5" borderId="5" xfId="1" applyFont="1" applyFill="1" applyBorder="1"/>
    <xf numFmtId="167" fontId="6" fillId="5" borderId="0" xfId="2" applyNumberFormat="1" applyFont="1" applyFill="1" applyBorder="1" applyAlignment="1">
      <alignment horizontal="center"/>
    </xf>
    <xf numFmtId="167" fontId="6" fillId="5" borderId="0" xfId="2" applyNumberFormat="1" applyFont="1" applyFill="1" applyBorder="1"/>
    <xf numFmtId="167" fontId="6" fillId="5" borderId="6" xfId="2" applyNumberFormat="1" applyFont="1" applyFill="1" applyBorder="1"/>
    <xf numFmtId="167" fontId="8" fillId="5" borderId="7" xfId="2" applyNumberFormat="1" applyFont="1" applyFill="1" applyBorder="1" applyAlignment="1">
      <alignment horizontal="center"/>
    </xf>
    <xf numFmtId="0" fontId="6" fillId="5" borderId="8" xfId="4" applyFont="1" applyFill="1" applyBorder="1"/>
    <xf numFmtId="167" fontId="6" fillId="5" borderId="9" xfId="2" applyNumberFormat="1" applyFont="1" applyFill="1" applyBorder="1" applyAlignment="1">
      <alignment horizontal="center"/>
    </xf>
    <xf numFmtId="167" fontId="6" fillId="5" borderId="9" xfId="2" applyNumberFormat="1" applyFont="1" applyFill="1" applyBorder="1"/>
    <xf numFmtId="167" fontId="6" fillId="5" borderId="10" xfId="2" applyNumberFormat="1" applyFont="1" applyFill="1" applyBorder="1"/>
    <xf numFmtId="168" fontId="6" fillId="5" borderId="0" xfId="4" applyNumberFormat="1" applyFont="1" applyFill="1"/>
    <xf numFmtId="167" fontId="8" fillId="5" borderId="11" xfId="2" applyNumberFormat="1" applyFont="1" applyFill="1" applyBorder="1" applyAlignment="1">
      <alignment horizontal="center"/>
    </xf>
    <xf numFmtId="0" fontId="3" fillId="2" borderId="5" xfId="4" applyFont="1" applyFill="1" applyBorder="1"/>
    <xf numFmtId="168" fontId="3" fillId="2" borderId="0" xfId="4" applyNumberFormat="1" applyFont="1" applyFill="1" applyAlignment="1">
      <alignment horizontal="center"/>
    </xf>
    <xf numFmtId="168" fontId="3" fillId="2" borderId="0" xfId="4" applyNumberFormat="1" applyFont="1" applyFill="1"/>
    <xf numFmtId="168" fontId="5" fillId="4" borderId="0" xfId="4" applyNumberFormat="1" applyFont="1" applyFill="1" applyAlignment="1">
      <alignment horizontal="center"/>
    </xf>
    <xf numFmtId="164" fontId="9" fillId="5" borderId="5" xfId="1" applyFont="1" applyFill="1" applyBorder="1"/>
    <xf numFmtId="165" fontId="3" fillId="5" borderId="0" xfId="1" applyNumberFormat="1" applyFont="1" applyFill="1" applyAlignment="1">
      <alignment horizontal="center"/>
    </xf>
    <xf numFmtId="165" fontId="5" fillId="5" borderId="0" xfId="1" applyNumberFormat="1" applyFont="1" applyFill="1" applyAlignment="1">
      <alignment horizontal="center"/>
    </xf>
    <xf numFmtId="0" fontId="6" fillId="2" borderId="12" xfId="4" applyFont="1" applyFill="1" applyBorder="1"/>
    <xf numFmtId="17" fontId="10" fillId="6" borderId="1" xfId="1" applyNumberFormat="1" applyFont="1" applyFill="1" applyBorder="1" applyAlignment="1">
      <alignment horizontal="center"/>
    </xf>
    <xf numFmtId="17" fontId="10" fillId="6" borderId="2" xfId="1" applyNumberFormat="1" applyFont="1" applyFill="1" applyBorder="1" applyAlignment="1">
      <alignment horizontal="center"/>
    </xf>
    <xf numFmtId="17" fontId="10" fillId="6" borderId="3" xfId="1" applyNumberFormat="1" applyFont="1" applyFill="1" applyBorder="1" applyAlignment="1">
      <alignment horizontal="center"/>
    </xf>
    <xf numFmtId="17" fontId="10" fillId="2" borderId="0" xfId="1" applyNumberFormat="1" applyFont="1" applyFill="1" applyBorder="1" applyAlignment="1">
      <alignment horizontal="center"/>
    </xf>
    <xf numFmtId="17" fontId="4" fillId="7" borderId="13" xfId="1" applyNumberFormat="1" applyFont="1" applyFill="1" applyBorder="1" applyAlignment="1">
      <alignment horizontal="center"/>
    </xf>
    <xf numFmtId="0" fontId="6" fillId="8" borderId="5" xfId="4" applyFont="1" applyFill="1" applyBorder="1"/>
    <xf numFmtId="0" fontId="6" fillId="6" borderId="12" xfId="4" applyFont="1" applyFill="1" applyBorder="1" applyAlignment="1">
      <alignment horizontal="center"/>
    </xf>
    <xf numFmtId="0" fontId="6" fillId="6" borderId="14" xfId="4" applyFont="1" applyFill="1" applyBorder="1" applyAlignment="1">
      <alignment horizontal="center"/>
    </xf>
    <xf numFmtId="0" fontId="6" fillId="6" borderId="15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8" fillId="7" borderId="11" xfId="4" applyFont="1" applyFill="1" applyBorder="1" applyAlignment="1">
      <alignment horizontal="center"/>
    </xf>
    <xf numFmtId="0" fontId="6" fillId="0" borderId="0" xfId="4" applyFont="1"/>
    <xf numFmtId="0" fontId="6" fillId="8" borderId="8" xfId="4" applyFont="1" applyFill="1" applyBorder="1"/>
    <xf numFmtId="4" fontId="6" fillId="8" borderId="9" xfId="4" applyNumberFormat="1" applyFont="1" applyFill="1" applyBorder="1" applyAlignment="1">
      <alignment horizontal="center"/>
    </xf>
    <xf numFmtId="4" fontId="6" fillId="8" borderId="9" xfId="4" applyNumberFormat="1" applyFont="1" applyFill="1" applyBorder="1"/>
    <xf numFmtId="4" fontId="6" fillId="2" borderId="0" xfId="4" applyNumberFormat="1" applyFont="1" applyFill="1"/>
    <xf numFmtId="4" fontId="8" fillId="9" borderId="8" xfId="4" applyNumberFormat="1" applyFont="1" applyFill="1" applyBorder="1" applyAlignment="1">
      <alignment horizontal="center"/>
    </xf>
    <xf numFmtId="0" fontId="3" fillId="0" borderId="0" xfId="4" applyFont="1"/>
    <xf numFmtId="4" fontId="6" fillId="2" borderId="0" xfId="4" applyNumberFormat="1" applyFont="1" applyFill="1" applyAlignment="1">
      <alignment horizontal="center"/>
    </xf>
    <xf numFmtId="4" fontId="8" fillId="4" borderId="0" xfId="4" applyNumberFormat="1" applyFont="1" applyFill="1" applyAlignment="1">
      <alignment horizontal="center"/>
    </xf>
    <xf numFmtId="0" fontId="6" fillId="8" borderId="0" xfId="4" applyFont="1" applyFill="1"/>
    <xf numFmtId="169" fontId="6" fillId="2" borderId="0" xfId="4" applyNumberFormat="1" applyFont="1" applyFill="1" applyAlignment="1">
      <alignment horizontal="center"/>
    </xf>
    <xf numFmtId="169" fontId="6" fillId="2" borderId="0" xfId="4" applyNumberFormat="1" applyFont="1" applyFill="1"/>
    <xf numFmtId="169" fontId="8" fillId="4" borderId="0" xfId="4" applyNumberFormat="1" applyFont="1" applyFill="1" applyAlignment="1">
      <alignment horizontal="center"/>
    </xf>
    <xf numFmtId="0" fontId="11" fillId="2" borderId="0" xfId="4" applyFont="1" applyFill="1" applyAlignment="1">
      <alignment horizontal="left"/>
    </xf>
    <xf numFmtId="169" fontId="3" fillId="2" borderId="0" xfId="4" applyNumberFormat="1" applyFont="1" applyFill="1" applyAlignment="1">
      <alignment horizontal="center"/>
    </xf>
    <xf numFmtId="169" fontId="3" fillId="2" borderId="0" xfId="4" applyNumberFormat="1" applyFont="1" applyFill="1"/>
    <xf numFmtId="169" fontId="5" fillId="4" borderId="0" xfId="4" applyNumberFormat="1" applyFont="1" applyFill="1" applyAlignment="1">
      <alignment horizontal="center"/>
    </xf>
    <xf numFmtId="169" fontId="3" fillId="10" borderId="0" xfId="4" applyNumberFormat="1" applyFont="1" applyFill="1"/>
    <xf numFmtId="10" fontId="3" fillId="2" borderId="0" xfId="4" applyNumberFormat="1" applyFont="1" applyFill="1"/>
    <xf numFmtId="0" fontId="6" fillId="8" borderId="16" xfId="4" applyFont="1" applyFill="1" applyBorder="1"/>
    <xf numFmtId="170" fontId="6" fillId="8" borderId="17" xfId="4" applyNumberFormat="1" applyFont="1" applyFill="1" applyBorder="1"/>
    <xf numFmtId="169" fontId="8" fillId="9" borderId="18" xfId="4" applyNumberFormat="1" applyFont="1" applyFill="1" applyBorder="1" applyAlignment="1">
      <alignment horizontal="center"/>
    </xf>
    <xf numFmtId="164" fontId="6" fillId="2" borderId="0" xfId="1" applyFont="1" applyFill="1"/>
    <xf numFmtId="0" fontId="6" fillId="8" borderId="19" xfId="4" applyFont="1" applyFill="1" applyBorder="1"/>
    <xf numFmtId="169" fontId="6" fillId="8" borderId="17" xfId="4" applyNumberFormat="1" applyFont="1" applyFill="1" applyBorder="1"/>
    <xf numFmtId="169" fontId="6" fillId="2" borderId="0" xfId="5" applyNumberFormat="1" applyFont="1" applyFill="1" applyBorder="1" applyAlignment="1">
      <alignment horizontal="center"/>
    </xf>
    <xf numFmtId="169" fontId="6" fillId="2" borderId="0" xfId="5" applyNumberFormat="1" applyFont="1" applyFill="1" applyBorder="1"/>
    <xf numFmtId="169" fontId="8" fillId="4" borderId="0" xfId="5" applyNumberFormat="1" applyFont="1" applyFill="1" applyBorder="1" applyAlignment="1">
      <alignment horizontal="center"/>
    </xf>
    <xf numFmtId="0" fontId="11" fillId="10" borderId="0" xfId="4" applyFont="1" applyFill="1" applyAlignment="1">
      <alignment horizontal="left"/>
    </xf>
    <xf numFmtId="0" fontId="3" fillId="10" borderId="0" xfId="4" applyFont="1" applyFill="1"/>
    <xf numFmtId="169" fontId="3" fillId="10" borderId="0" xfId="4" applyNumberFormat="1" applyFont="1" applyFill="1" applyAlignment="1">
      <alignment horizontal="center"/>
    </xf>
    <xf numFmtId="169" fontId="5" fillId="10" borderId="0" xfId="4" applyNumberFormat="1" applyFont="1" applyFill="1" applyAlignment="1">
      <alignment horizontal="center"/>
    </xf>
    <xf numFmtId="168" fontId="3" fillId="10" borderId="0" xfId="4" applyNumberFormat="1" applyFont="1" applyFill="1"/>
    <xf numFmtId="169" fontId="8" fillId="4" borderId="0" xfId="3" applyNumberFormat="1" applyFont="1" applyFill="1" applyAlignment="1">
      <alignment horizontal="center"/>
    </xf>
    <xf numFmtId="0" fontId="12" fillId="2" borderId="0" xfId="4" applyFont="1" applyFill="1"/>
    <xf numFmtId="0" fontId="6" fillId="8" borderId="20" xfId="4" applyFont="1" applyFill="1" applyBorder="1"/>
    <xf numFmtId="169" fontId="6" fillId="8" borderId="21" xfId="4" applyNumberFormat="1" applyFont="1" applyFill="1" applyBorder="1"/>
    <xf numFmtId="169" fontId="8" fillId="9" borderId="22" xfId="4" applyNumberFormat="1" applyFont="1" applyFill="1" applyBorder="1" applyAlignment="1">
      <alignment horizontal="center"/>
    </xf>
    <xf numFmtId="169" fontId="3" fillId="2" borderId="0" xfId="3" applyNumberFormat="1" applyFont="1" applyFill="1" applyBorder="1" applyAlignment="1">
      <alignment horizontal="center"/>
    </xf>
    <xf numFmtId="169" fontId="3" fillId="2" borderId="0" xfId="3" applyNumberFormat="1" applyFont="1" applyFill="1" applyBorder="1"/>
    <xf numFmtId="169" fontId="3" fillId="2" borderId="0" xfId="1" applyNumberFormat="1" applyFont="1" applyFill="1" applyBorder="1"/>
    <xf numFmtId="169" fontId="5" fillId="4" borderId="0" xfId="1" applyNumberFormat="1" applyFont="1" applyFill="1" applyBorder="1" applyAlignment="1">
      <alignment horizontal="center"/>
    </xf>
    <xf numFmtId="169" fontId="3" fillId="2" borderId="0" xfId="1" applyNumberFormat="1" applyFont="1" applyFill="1" applyAlignment="1">
      <alignment horizontal="center"/>
    </xf>
    <xf numFmtId="169" fontId="3" fillId="2" borderId="0" xfId="1" applyNumberFormat="1" applyFont="1" applyFill="1"/>
    <xf numFmtId="169" fontId="5" fillId="4" borderId="0" xfId="1" applyNumberFormat="1" applyFont="1" applyFill="1" applyAlignment="1">
      <alignment horizontal="center"/>
    </xf>
    <xf numFmtId="169" fontId="6" fillId="8" borderId="20" xfId="4" applyNumberFormat="1" applyFont="1" applyFill="1" applyBorder="1"/>
    <xf numFmtId="169" fontId="8" fillId="9" borderId="23" xfId="4" applyNumberFormat="1" applyFont="1" applyFill="1" applyBorder="1" applyAlignment="1">
      <alignment horizontal="center"/>
    </xf>
    <xf numFmtId="169" fontId="3" fillId="2" borderId="0" xfId="1" applyNumberFormat="1" applyFont="1" applyFill="1" applyBorder="1" applyAlignment="1">
      <alignment horizontal="center"/>
    </xf>
    <xf numFmtId="169" fontId="3" fillId="2" borderId="0" xfId="1" applyNumberFormat="1" applyFont="1" applyFill="1" applyBorder="1" applyAlignment="1"/>
    <xf numFmtId="169" fontId="6" fillId="8" borderId="19" xfId="4" applyNumberFormat="1" applyFont="1" applyFill="1" applyBorder="1"/>
    <xf numFmtId="169" fontId="8" fillId="9" borderId="24" xfId="4" applyNumberFormat="1" applyFont="1" applyFill="1" applyBorder="1" applyAlignment="1">
      <alignment horizontal="center"/>
    </xf>
    <xf numFmtId="170" fontId="6" fillId="8" borderId="17" xfId="4" applyNumberFormat="1" applyFont="1" applyFill="1" applyBorder="1" applyAlignment="1">
      <alignment horizontal="center"/>
    </xf>
    <xf numFmtId="0" fontId="13" fillId="2" borderId="0" xfId="6" applyFont="1" applyFill="1"/>
    <xf numFmtId="164" fontId="3" fillId="2" borderId="0" xfId="1" applyFont="1" applyFill="1"/>
    <xf numFmtId="169" fontId="6" fillId="2" borderId="0" xfId="1" applyNumberFormat="1" applyFont="1" applyFill="1" applyAlignment="1">
      <alignment horizontal="center"/>
    </xf>
    <xf numFmtId="169" fontId="6" fillId="2" borderId="0" xfId="1" applyNumberFormat="1" applyFont="1" applyFill="1"/>
    <xf numFmtId="169" fontId="6" fillId="2" borderId="0" xfId="1" applyNumberFormat="1" applyFont="1" applyFill="1" applyBorder="1"/>
    <xf numFmtId="169" fontId="8" fillId="4" borderId="0" xfId="1" applyNumberFormat="1" applyFont="1" applyFill="1" applyAlignment="1">
      <alignment horizontal="center"/>
    </xf>
    <xf numFmtId="169" fontId="6" fillId="2" borderId="0" xfId="1" applyNumberFormat="1" applyFont="1" applyFill="1" applyBorder="1" applyAlignment="1">
      <alignment horizontal="center"/>
    </xf>
    <xf numFmtId="169" fontId="8" fillId="4" borderId="0" xfId="1" applyNumberFormat="1" applyFont="1" applyFill="1" applyBorder="1" applyAlignment="1">
      <alignment horizontal="center"/>
    </xf>
    <xf numFmtId="0" fontId="3" fillId="2" borderId="1" xfId="4" applyFont="1" applyFill="1" applyBorder="1"/>
    <xf numFmtId="169" fontId="3" fillId="2" borderId="2" xfId="2" applyNumberFormat="1" applyFont="1" applyFill="1" applyBorder="1" applyAlignment="1">
      <alignment horizontal="center"/>
    </xf>
    <xf numFmtId="169" fontId="3" fillId="2" borderId="2" xfId="2" applyNumberFormat="1" applyFont="1" applyFill="1" applyBorder="1"/>
    <xf numFmtId="169" fontId="3" fillId="2" borderId="3" xfId="2" applyNumberFormat="1" applyFont="1" applyFill="1" applyBorder="1"/>
    <xf numFmtId="169" fontId="3" fillId="0" borderId="0" xfId="2" applyNumberFormat="1" applyFont="1"/>
    <xf numFmtId="169" fontId="5" fillId="4" borderId="4" xfId="2" applyNumberFormat="1" applyFont="1" applyFill="1" applyBorder="1" applyAlignment="1">
      <alignment horizontal="center"/>
    </xf>
    <xf numFmtId="0" fontId="6" fillId="11" borderId="0" xfId="4" applyFont="1" applyFill="1"/>
    <xf numFmtId="10" fontId="6" fillId="2" borderId="0" xfId="3" applyNumberFormat="1" applyFont="1" applyFill="1"/>
    <xf numFmtId="10" fontId="6" fillId="2" borderId="0" xfId="3" applyNumberFormat="1" applyFont="1" applyFill="1" applyAlignment="1">
      <alignment horizontal="left"/>
    </xf>
    <xf numFmtId="169" fontId="3" fillId="2" borderId="0" xfId="2" applyNumberFormat="1" applyFont="1" applyFill="1" applyBorder="1" applyAlignment="1">
      <alignment horizontal="center"/>
    </xf>
    <xf numFmtId="169" fontId="3" fillId="2" borderId="0" xfId="2" applyNumberFormat="1" applyFont="1" applyFill="1" applyBorder="1"/>
    <xf numFmtId="169" fontId="3" fillId="2" borderId="6" xfId="2" applyNumberFormat="1" applyFont="1" applyFill="1" applyBorder="1"/>
    <xf numFmtId="169" fontId="3" fillId="2" borderId="0" xfId="2" applyNumberFormat="1" applyFont="1" applyFill="1"/>
    <xf numFmtId="169" fontId="5" fillId="4" borderId="7" xfId="2" applyNumberFormat="1" applyFont="1" applyFill="1" applyBorder="1" applyAlignment="1">
      <alignment horizontal="center"/>
    </xf>
    <xf numFmtId="169" fontId="3" fillId="0" borderId="0" xfId="2" applyNumberFormat="1" applyFont="1" applyBorder="1" applyAlignment="1">
      <alignment horizontal="center"/>
    </xf>
    <xf numFmtId="169" fontId="3" fillId="0" borderId="0" xfId="2" applyNumberFormat="1" applyFont="1" applyBorder="1"/>
    <xf numFmtId="169" fontId="3" fillId="0" borderId="6" xfId="2" applyNumberFormat="1" applyFont="1" applyBorder="1"/>
    <xf numFmtId="169" fontId="5" fillId="0" borderId="7" xfId="2" applyNumberFormat="1" applyFont="1" applyBorder="1" applyAlignment="1">
      <alignment horizontal="center"/>
    </xf>
    <xf numFmtId="169" fontId="3" fillId="0" borderId="0" xfId="4" applyNumberFormat="1" applyFont="1" applyAlignment="1">
      <alignment horizontal="center"/>
    </xf>
    <xf numFmtId="169" fontId="3" fillId="0" borderId="0" xfId="2" applyNumberFormat="1" applyFont="1" applyAlignment="1">
      <alignment horizontal="center"/>
    </xf>
    <xf numFmtId="169" fontId="5" fillId="0" borderId="0" xfId="2" applyNumberFormat="1" applyFont="1" applyAlignment="1">
      <alignment horizontal="center"/>
    </xf>
    <xf numFmtId="169" fontId="5" fillId="0" borderId="0" xfId="2" applyNumberFormat="1" applyFont="1" applyBorder="1" applyAlignment="1">
      <alignment horizontal="center"/>
    </xf>
    <xf numFmtId="0" fontId="14" fillId="2" borderId="0" xfId="4" applyFont="1" applyFill="1" applyAlignment="1">
      <alignment horizontal="left"/>
    </xf>
    <xf numFmtId="0" fontId="11" fillId="12" borderId="13" xfId="4" applyFont="1" applyFill="1" applyBorder="1"/>
    <xf numFmtId="169" fontId="14" fillId="2" borderId="0" xfId="5" applyNumberFormat="1" applyFont="1" applyFill="1" applyBorder="1" applyAlignment="1">
      <alignment horizontal="center"/>
    </xf>
    <xf numFmtId="169" fontId="14" fillId="2" borderId="0" xfId="4" applyNumberFormat="1" applyFont="1" applyFill="1" applyAlignment="1">
      <alignment horizontal="center"/>
    </xf>
    <xf numFmtId="169" fontId="14" fillId="2" borderId="0" xfId="2" applyNumberFormat="1" applyFont="1" applyFill="1" applyBorder="1" applyAlignment="1">
      <alignment horizontal="center"/>
    </xf>
    <xf numFmtId="169" fontId="14" fillId="2" borderId="0" xfId="2" applyNumberFormat="1" applyFont="1" applyFill="1" applyBorder="1"/>
    <xf numFmtId="0" fontId="5" fillId="13" borderId="10" xfId="4" applyFont="1" applyFill="1" applyBorder="1"/>
    <xf numFmtId="169" fontId="5" fillId="2" borderId="0" xfId="5" applyNumberFormat="1" applyFont="1" applyFill="1" applyBorder="1" applyAlignment="1">
      <alignment horizontal="center"/>
    </xf>
    <xf numFmtId="169" fontId="5" fillId="2" borderId="0" xfId="4" applyNumberFormat="1" applyFont="1" applyFill="1" applyAlignment="1">
      <alignment horizontal="center"/>
    </xf>
    <xf numFmtId="169" fontId="5" fillId="2" borderId="0" xfId="2" applyNumberFormat="1" applyFont="1" applyFill="1" applyBorder="1" applyAlignment="1">
      <alignment horizontal="center"/>
    </xf>
    <xf numFmtId="169" fontId="5" fillId="2" borderId="0" xfId="2" applyNumberFormat="1" applyFont="1" applyFill="1" applyBorder="1"/>
    <xf numFmtId="169" fontId="5" fillId="2" borderId="0" xfId="2" applyNumberFormat="1" applyFont="1" applyFill="1" applyAlignment="1">
      <alignment horizontal="center"/>
    </xf>
    <xf numFmtId="0" fontId="5" fillId="4" borderId="0" xfId="4" applyFont="1" applyFill="1"/>
    <xf numFmtId="169" fontId="5" fillId="4" borderId="0" xfId="2" applyNumberFormat="1" applyFont="1" applyFill="1" applyBorder="1" applyAlignment="1">
      <alignment horizontal="center"/>
    </xf>
    <xf numFmtId="169" fontId="5" fillId="4" borderId="0" xfId="2" applyNumberFormat="1" applyFont="1" applyFill="1" applyBorder="1"/>
    <xf numFmtId="169" fontId="5" fillId="4" borderId="0" xfId="2" applyNumberFormat="1" applyFont="1" applyFill="1" applyAlignment="1">
      <alignment horizontal="center"/>
    </xf>
    <xf numFmtId="0" fontId="15" fillId="14" borderId="25" xfId="4" applyFont="1" applyFill="1" applyBorder="1"/>
    <xf numFmtId="169" fontId="15" fillId="14" borderId="25" xfId="4" applyNumberFormat="1" applyFont="1" applyFill="1" applyBorder="1" applyAlignment="1">
      <alignment horizontal="center"/>
    </xf>
    <xf numFmtId="169" fontId="15" fillId="14" borderId="25" xfId="2" applyNumberFormat="1" applyFont="1" applyFill="1" applyBorder="1" applyAlignment="1">
      <alignment horizontal="center"/>
    </xf>
    <xf numFmtId="169" fontId="15" fillId="14" borderId="25" xfId="2" applyNumberFormat="1" applyFont="1" applyFill="1" applyBorder="1"/>
    <xf numFmtId="169" fontId="15" fillId="14" borderId="0" xfId="2" applyNumberFormat="1" applyFont="1" applyFill="1" applyAlignment="1">
      <alignment horizontal="center"/>
    </xf>
    <xf numFmtId="8" fontId="15" fillId="15" borderId="26" xfId="4" applyNumberFormat="1" applyFont="1" applyFill="1" applyBorder="1"/>
    <xf numFmtId="8" fontId="15" fillId="15" borderId="26" xfId="2" applyNumberFormat="1" applyFont="1" applyFill="1" applyBorder="1"/>
    <xf numFmtId="169" fontId="15" fillId="15" borderId="26" xfId="2" applyNumberFormat="1" applyFont="1" applyFill="1" applyBorder="1"/>
    <xf numFmtId="169" fontId="15" fillId="15" borderId="0" xfId="2" applyNumberFormat="1" applyFont="1" applyFill="1" applyAlignment="1">
      <alignment horizontal="center"/>
    </xf>
    <xf numFmtId="10" fontId="16" fillId="16" borderId="27" xfId="7" applyNumberFormat="1" applyFont="1" applyFill="1" applyBorder="1"/>
    <xf numFmtId="169" fontId="16" fillId="16" borderId="27" xfId="7" applyNumberFormat="1" applyFont="1" applyFill="1" applyBorder="1" applyAlignment="1">
      <alignment horizontal="center"/>
    </xf>
    <xf numFmtId="169" fontId="16" fillId="16" borderId="27" xfId="4" applyNumberFormat="1" applyFont="1" applyFill="1" applyBorder="1" applyAlignment="1">
      <alignment horizontal="center"/>
    </xf>
    <xf numFmtId="169" fontId="16" fillId="16" borderId="27" xfId="2" applyNumberFormat="1" applyFont="1" applyFill="1" applyBorder="1" applyAlignment="1">
      <alignment horizontal="center"/>
    </xf>
    <xf numFmtId="169" fontId="16" fillId="16" borderId="27" xfId="2" applyNumberFormat="1" applyFont="1" applyFill="1" applyBorder="1"/>
    <xf numFmtId="169" fontId="16" fillId="16" borderId="0" xfId="2" applyNumberFormat="1" applyFont="1" applyFill="1" applyAlignment="1">
      <alignment horizontal="center"/>
    </xf>
    <xf numFmtId="0" fontId="5" fillId="13" borderId="0" xfId="4" applyFont="1" applyFill="1"/>
    <xf numFmtId="169" fontId="5" fillId="13" borderId="0" xfId="4" applyNumberFormat="1" applyFont="1" applyFill="1" applyAlignment="1">
      <alignment horizontal="center"/>
    </xf>
    <xf numFmtId="169" fontId="5" fillId="13" borderId="0" xfId="2" applyNumberFormat="1" applyFont="1" applyFill="1" applyBorder="1" applyAlignment="1">
      <alignment horizontal="center"/>
    </xf>
    <xf numFmtId="169" fontId="5" fillId="13" borderId="0" xfId="2" applyNumberFormat="1" applyFont="1" applyFill="1" applyBorder="1"/>
    <xf numFmtId="169" fontId="5" fillId="13" borderId="0" xfId="2" applyNumberFormat="1" applyFont="1" applyFill="1" applyAlignment="1">
      <alignment horizontal="center"/>
    </xf>
    <xf numFmtId="169" fontId="5" fillId="13" borderId="0" xfId="1" applyNumberFormat="1" applyFont="1" applyFill="1" applyBorder="1" applyAlignment="1">
      <alignment horizontal="center"/>
    </xf>
    <xf numFmtId="0" fontId="14" fillId="17" borderId="28" xfId="4" applyFont="1" applyFill="1" applyBorder="1"/>
    <xf numFmtId="169" fontId="14" fillId="17" borderId="28" xfId="1" applyNumberFormat="1" applyFont="1" applyFill="1" applyBorder="1" applyAlignment="1">
      <alignment horizontal="center"/>
    </xf>
    <xf numFmtId="169" fontId="14" fillId="17" borderId="28" xfId="4" applyNumberFormat="1" applyFont="1" applyFill="1" applyBorder="1" applyAlignment="1">
      <alignment horizontal="center"/>
    </xf>
    <xf numFmtId="169" fontId="14" fillId="17" borderId="28" xfId="2" applyNumberFormat="1" applyFont="1" applyFill="1" applyBorder="1" applyAlignment="1">
      <alignment horizontal="center"/>
    </xf>
    <xf numFmtId="169" fontId="14" fillId="17" borderId="28" xfId="2" applyNumberFormat="1" applyFont="1" applyFill="1" applyBorder="1"/>
    <xf numFmtId="169" fontId="14" fillId="17" borderId="0" xfId="2" applyNumberFormat="1" applyFont="1" applyFill="1" applyAlignment="1">
      <alignment horizontal="center"/>
    </xf>
    <xf numFmtId="10" fontId="16" fillId="16" borderId="29" xfId="7" applyNumberFormat="1" applyFont="1" applyFill="1" applyBorder="1"/>
    <xf numFmtId="169" fontId="16" fillId="16" borderId="29" xfId="7" applyNumberFormat="1" applyFont="1" applyFill="1" applyBorder="1" applyAlignment="1">
      <alignment horizontal="center"/>
    </xf>
    <xf numFmtId="169" fontId="16" fillId="16" borderId="29" xfId="4" applyNumberFormat="1" applyFont="1" applyFill="1" applyBorder="1" applyAlignment="1">
      <alignment horizontal="center"/>
    </xf>
    <xf numFmtId="169" fontId="16" fillId="16" borderId="29" xfId="2" applyNumberFormat="1" applyFont="1" applyFill="1" applyBorder="1" applyAlignment="1">
      <alignment horizontal="center"/>
    </xf>
    <xf numFmtId="169" fontId="16" fillId="16" borderId="29" xfId="2" applyNumberFormat="1" applyFont="1" applyFill="1" applyBorder="1"/>
    <xf numFmtId="169" fontId="14" fillId="12" borderId="28" xfId="4" applyNumberFormat="1" applyFont="1" applyFill="1" applyBorder="1" applyAlignment="1">
      <alignment horizontal="center"/>
    </xf>
    <xf numFmtId="169" fontId="14" fillId="12" borderId="28" xfId="2" applyNumberFormat="1" applyFont="1" applyFill="1" applyBorder="1" applyAlignment="1">
      <alignment horizontal="center"/>
    </xf>
    <xf numFmtId="169" fontId="14" fillId="12" borderId="0" xfId="2" applyNumberFormat="1" applyFont="1" applyFill="1" applyAlignment="1">
      <alignment horizontal="center"/>
    </xf>
    <xf numFmtId="0" fontId="15" fillId="15" borderId="26" xfId="4" applyFont="1" applyFill="1" applyBorder="1"/>
    <xf numFmtId="169" fontId="15" fillId="15" borderId="26" xfId="4" applyNumberFormat="1" applyFont="1" applyFill="1" applyBorder="1" applyAlignment="1">
      <alignment horizontal="center"/>
    </xf>
    <xf numFmtId="169" fontId="15" fillId="15" borderId="26" xfId="2" applyNumberFormat="1" applyFont="1" applyFill="1" applyBorder="1" applyAlignment="1">
      <alignment horizontal="center"/>
    </xf>
    <xf numFmtId="0" fontId="15" fillId="14" borderId="30" xfId="4" applyFont="1" applyFill="1" applyBorder="1"/>
    <xf numFmtId="169" fontId="15" fillId="14" borderId="30" xfId="4" applyNumberFormat="1" applyFont="1" applyFill="1" applyBorder="1" applyAlignment="1">
      <alignment horizontal="center"/>
    </xf>
    <xf numFmtId="169" fontId="15" fillId="14" borderId="30" xfId="2" applyNumberFormat="1" applyFont="1" applyFill="1" applyBorder="1" applyAlignment="1">
      <alignment horizontal="center"/>
    </xf>
    <xf numFmtId="0" fontId="15" fillId="15" borderId="31" xfId="4" applyFont="1" applyFill="1" applyBorder="1"/>
    <xf numFmtId="169" fontId="15" fillId="15" borderId="31" xfId="4" applyNumberFormat="1" applyFont="1" applyFill="1" applyBorder="1" applyAlignment="1">
      <alignment horizontal="center"/>
    </xf>
    <xf numFmtId="169" fontId="15" fillId="15" borderId="31" xfId="2" applyNumberFormat="1" applyFont="1" applyFill="1" applyBorder="1" applyAlignment="1">
      <alignment horizontal="center"/>
    </xf>
    <xf numFmtId="0" fontId="16" fillId="16" borderId="27" xfId="4" applyFont="1" applyFill="1" applyBorder="1"/>
    <xf numFmtId="0" fontId="17" fillId="4" borderId="0" xfId="4" applyFont="1" applyFill="1"/>
    <xf numFmtId="0" fontId="14" fillId="17" borderId="0" xfId="4" applyFont="1" applyFill="1"/>
    <xf numFmtId="169" fontId="14" fillId="17" borderId="0" xfId="4" applyNumberFormat="1" applyFont="1" applyFill="1" applyAlignment="1">
      <alignment horizontal="center"/>
    </xf>
    <xf numFmtId="169" fontId="14" fillId="17" borderId="0" xfId="2" applyNumberFormat="1" applyFont="1" applyFill="1" applyBorder="1" applyAlignment="1">
      <alignment horizontal="center"/>
    </xf>
    <xf numFmtId="0" fontId="16" fillId="16" borderId="29" xfId="4" applyFont="1" applyFill="1" applyBorder="1"/>
    <xf numFmtId="8" fontId="15" fillId="15" borderId="26" xfId="2" applyNumberFormat="1" applyFont="1" applyFill="1" applyBorder="1" applyAlignment="1">
      <alignment horizontal="center"/>
    </xf>
    <xf numFmtId="169" fontId="14" fillId="12" borderId="0" xfId="4" applyNumberFormat="1" applyFont="1" applyFill="1" applyAlignment="1">
      <alignment horizontal="center"/>
    </xf>
    <xf numFmtId="169" fontId="14" fillId="12" borderId="0" xfId="2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4" fillId="17" borderId="31" xfId="4" applyFont="1" applyFill="1" applyBorder="1"/>
    <xf numFmtId="169" fontId="14" fillId="17" borderId="31" xfId="4" applyNumberFormat="1" applyFont="1" applyFill="1" applyBorder="1" applyAlignment="1">
      <alignment horizontal="center"/>
    </xf>
    <xf numFmtId="169" fontId="14" fillId="17" borderId="31" xfId="2" applyNumberFormat="1" applyFont="1" applyFill="1" applyBorder="1" applyAlignment="1">
      <alignment horizontal="center"/>
    </xf>
    <xf numFmtId="0" fontId="14" fillId="17" borderId="32" xfId="4" applyFont="1" applyFill="1" applyBorder="1"/>
    <xf numFmtId="169" fontId="14" fillId="17" borderId="32" xfId="4" applyNumberFormat="1" applyFont="1" applyFill="1" applyBorder="1" applyAlignment="1">
      <alignment horizontal="center"/>
    </xf>
    <xf numFmtId="169" fontId="14" fillId="17" borderId="32" xfId="2" applyNumberFormat="1" applyFont="1" applyFill="1" applyBorder="1" applyAlignment="1">
      <alignment horizontal="center"/>
    </xf>
    <xf numFmtId="0" fontId="14" fillId="12" borderId="13" xfId="4" applyFont="1" applyFill="1" applyBorder="1"/>
    <xf numFmtId="169" fontId="18" fillId="16" borderId="0" xfId="2" applyNumberFormat="1" applyFont="1" applyFill="1" applyAlignment="1">
      <alignment horizontal="center"/>
    </xf>
    <xf numFmtId="0" fontId="3" fillId="0" borderId="0" xfId="4" applyFont="1" applyAlignment="1">
      <alignment horizontal="center"/>
    </xf>
    <xf numFmtId="171" fontId="3" fillId="0" borderId="0" xfId="2" applyNumberFormat="1" applyFont="1" applyAlignment="1">
      <alignment horizontal="center"/>
    </xf>
    <xf numFmtId="171" fontId="3" fillId="0" borderId="0" xfId="2" applyNumberFormat="1" applyFont="1"/>
    <xf numFmtId="171" fontId="3" fillId="2" borderId="0" xfId="2" applyNumberFormat="1" applyFont="1" applyFill="1"/>
    <xf numFmtId="0" fontId="15" fillId="14" borderId="0" xfId="4" applyFont="1" applyFill="1"/>
    <xf numFmtId="0" fontId="15" fillId="14" borderId="0" xfId="4" applyFont="1" applyFill="1" applyAlignment="1">
      <alignment horizontal="center"/>
    </xf>
    <xf numFmtId="171" fontId="15" fillId="14" borderId="0" xfId="2" applyNumberFormat="1" applyFont="1" applyFill="1" applyAlignment="1">
      <alignment horizontal="center"/>
    </xf>
    <xf numFmtId="171" fontId="15" fillId="14" borderId="0" xfId="2" applyNumberFormat="1" applyFont="1" applyFill="1"/>
    <xf numFmtId="172" fontId="5" fillId="4" borderId="0" xfId="4" applyNumberFormat="1" applyFont="1" applyFill="1" applyAlignment="1">
      <alignment horizontal="center"/>
    </xf>
    <xf numFmtId="171" fontId="5" fillId="4" borderId="0" xfId="2" applyNumberFormat="1" applyFont="1" applyFill="1" applyAlignment="1">
      <alignment horizontal="center"/>
    </xf>
    <xf numFmtId="171" fontId="5" fillId="4" borderId="0" xfId="2" applyNumberFormat="1" applyFont="1" applyFill="1"/>
    <xf numFmtId="173" fontId="3" fillId="0" borderId="0" xfId="2" applyNumberFormat="1" applyFont="1" applyAlignment="1">
      <alignment horizontal="center"/>
    </xf>
    <xf numFmtId="173" fontId="3" fillId="0" borderId="0" xfId="2" applyNumberFormat="1" applyFont="1"/>
    <xf numFmtId="173" fontId="3" fillId="2" borderId="0" xfId="2" applyNumberFormat="1" applyFont="1" applyFill="1"/>
  </cellXfs>
  <cellStyles count="8">
    <cellStyle name="Comma" xfId="1" builtinId="3"/>
    <cellStyle name="Currency" xfId="2" builtinId="4"/>
    <cellStyle name="Normal" xfId="0" builtinId="0"/>
    <cellStyle name="Normal 2 2 2" xfId="4" xr:uid="{293D2AD4-0D94-4C67-AA70-A543E98C6FEE}"/>
    <cellStyle name="Normal 4" xfId="6" xr:uid="{9E03E0B6-FC08-4534-9C03-8EC6B8E0695D}"/>
    <cellStyle name="Percent" xfId="3" builtinId="5"/>
    <cellStyle name="Percent 2" xfId="7" xr:uid="{52A0A061-1C3A-4098-A4C9-A9B48F2A71E5}"/>
    <cellStyle name="Porcentaje 3 2" xfId="5" xr:uid="{1477B704-A858-4323-B446-9EE885234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2o0W3I1nBzb59zYjcvFSptu6Qoc96Vbk\3-102-865727%20-%20CORCOVADO%20HOLDING%20SCP%20S.R.L\3-102-865727%20-%20CORCOVADO%20HOLDING%20SCP%20S.R.L\AMARENA\BUDGET%202026\BUDGET%202026-AMA.xlsx" TargetMode="External"/><Relationship Id="rId1" Type="http://schemas.openxmlformats.org/officeDocument/2006/relationships/externalLinkPath" Target="file:///G:\.shortcut-targets-by-id\12o0W3I1nBzb59zYjcvFSptu6Qoc96Vbk\3-102-865727%20-%20CORCOVADO%20HOLDING%20SCP%20S.R.L\3-102-865727%20-%20CORCOVADO%20HOLDING%20SCP%20S.R.L\AMARENA\BUDGET%202026\BUDGET%202026-A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FA44D0\CP%202025%20Property%20Budget%20Template_Master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STADOS%20FINANCIEROS\Estados%20Financieros%20DICIEMBRE%202023%20FINAL.xls" TargetMode="External"/><Relationship Id="rId1" Type="http://schemas.openxmlformats.org/officeDocument/2006/relationships/externalLinkPath" Target="file:///F:\ESTADOS%20FINANCIEROS\Estados%20Financieros%20DICIEMBRE%202023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29EA9E\CWL%20RATES%202022-2025%20(Ajuste%20Lapa%20Rios)%202026%20(TA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sarrolladores506-my.sharepoint.com/personal/kmelendez_d506_cr/Documents/5%20Caracolas/Amarena%20Luxury%20Tent%20Village/3%20Presupuesto%20y%20Finanzas/Presupuestos%20Detallados/Presupuesto%20Proyecto%20Amaren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Alejandro%20Oviedo\Escritorio\CRECE%20Centroamerica\Auditoria%2030-jun-12\Cierres%20junio%20masaya\Junio%202012\Cierre_de_Caja_Masaya_16_de_Junio_2012(V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Key Indicators"/>
      <sheetName val="Dias Libres en Costa Rica 2026"/>
      <sheetName val="Simplified P&amp;L YTD"/>
      <sheetName val="Simplified P&amp;LFull Year"/>
      <sheetName val="P&amp;L Detail Owners Full"/>
      <sheetName val="P&amp;L Detail Hotel"/>
      <sheetName val="P&amp;L Detail Club"/>
      <sheetName val="P&amp;L Full Detail"/>
      <sheetName val="P&amp;L Area Recreativa"/>
      <sheetName val="Budget 2025W"/>
      <sheetName val="MAPPING CLUB"/>
      <sheetName val="HC FINAL"/>
      <sheetName val="Flujo de Caja MD"/>
      <sheetName val="Headcount2026"/>
      <sheetName val="AUX-Ingresos"/>
      <sheetName val="AUX-Nomina"/>
      <sheetName val="AUX-Proveedores"/>
      <sheetName val="AUX-Gastos Propiedad"/>
      <sheetName val="AUX-IVA"/>
      <sheetName val="Mapeo P&amp;L-CF"/>
      <sheetName val="RETENCION"/>
      <sheetName val="P&amp;L Full Detai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I12">
            <v>121</v>
          </cell>
          <cell r="J12">
            <v>121</v>
          </cell>
          <cell r="K12">
            <v>121</v>
          </cell>
          <cell r="L12">
            <v>123</v>
          </cell>
          <cell r="M12">
            <v>125</v>
          </cell>
          <cell r="N12">
            <v>127</v>
          </cell>
          <cell r="O12">
            <v>129</v>
          </cell>
        </row>
        <row r="13">
          <cell r="I13">
            <v>35</v>
          </cell>
          <cell r="J13">
            <v>35</v>
          </cell>
          <cell r="K13">
            <v>35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I14">
            <v>86</v>
          </cell>
          <cell r="J14">
            <v>86</v>
          </cell>
          <cell r="K14">
            <v>86</v>
          </cell>
          <cell r="L14">
            <v>123</v>
          </cell>
          <cell r="M14">
            <v>125</v>
          </cell>
          <cell r="N14">
            <v>127</v>
          </cell>
          <cell r="O14">
            <v>129</v>
          </cell>
        </row>
      </sheetData>
      <sheetData sheetId="8"/>
      <sheetData sheetId="9"/>
      <sheetData sheetId="10">
        <row r="3">
          <cell r="O3">
            <v>0</v>
          </cell>
          <cell r="P3">
            <v>480</v>
          </cell>
          <cell r="Q3">
            <v>496</v>
          </cell>
          <cell r="R3">
            <v>496</v>
          </cell>
          <cell r="S3">
            <v>480</v>
          </cell>
          <cell r="T3">
            <v>496</v>
          </cell>
          <cell r="U3">
            <v>480</v>
          </cell>
          <cell r="V3">
            <v>496</v>
          </cell>
        </row>
        <row r="4">
          <cell r="O4">
            <v>0</v>
          </cell>
          <cell r="P4">
            <v>72</v>
          </cell>
          <cell r="Q4">
            <v>124</v>
          </cell>
          <cell r="R4">
            <v>124</v>
          </cell>
          <cell r="S4">
            <v>96</v>
          </cell>
          <cell r="T4">
            <v>74</v>
          </cell>
          <cell r="U4">
            <v>192</v>
          </cell>
          <cell r="V4">
            <v>297.59999999999997</v>
          </cell>
        </row>
        <row r="6"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P7">
            <v>0.15</v>
          </cell>
          <cell r="Q7">
            <v>0.25</v>
          </cell>
          <cell r="R7">
            <v>0.25</v>
          </cell>
          <cell r="S7">
            <v>0.2</v>
          </cell>
          <cell r="T7">
            <v>0.14919354838709678</v>
          </cell>
          <cell r="U7">
            <v>0.4</v>
          </cell>
          <cell r="V7">
            <v>0.6</v>
          </cell>
        </row>
        <row r="8">
          <cell r="P8">
            <v>375</v>
          </cell>
          <cell r="Q8">
            <v>375</v>
          </cell>
          <cell r="R8">
            <v>375</v>
          </cell>
          <cell r="S8">
            <v>375</v>
          </cell>
          <cell r="T8">
            <v>375</v>
          </cell>
          <cell r="U8">
            <v>375</v>
          </cell>
          <cell r="V8">
            <v>400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27000</v>
          </cell>
          <cell r="Q17">
            <v>46500</v>
          </cell>
          <cell r="R17">
            <v>46500</v>
          </cell>
          <cell r="S17">
            <v>36000</v>
          </cell>
          <cell r="T17">
            <v>27750</v>
          </cell>
          <cell r="U17">
            <v>72000</v>
          </cell>
          <cell r="V17">
            <v>119039.99999999999</v>
          </cell>
          <cell r="AP17">
            <v>374790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AP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1272</v>
          </cell>
          <cell r="Q19">
            <v>1272</v>
          </cell>
          <cell r="R19">
            <v>1272</v>
          </cell>
          <cell r="S19">
            <v>1272</v>
          </cell>
          <cell r="T19">
            <v>1272</v>
          </cell>
          <cell r="U19">
            <v>2544</v>
          </cell>
          <cell r="V19">
            <v>2544</v>
          </cell>
          <cell r="AP19">
            <v>11448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1200</v>
          </cell>
          <cell r="Q20">
            <v>1200</v>
          </cell>
          <cell r="R20">
            <v>1200</v>
          </cell>
          <cell r="S20">
            <v>1200</v>
          </cell>
          <cell r="T20">
            <v>1200</v>
          </cell>
          <cell r="U20">
            <v>2400</v>
          </cell>
          <cell r="V20">
            <v>2400</v>
          </cell>
          <cell r="AP20">
            <v>10800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AP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AP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AP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17200</v>
          </cell>
          <cell r="Q24">
            <v>17950</v>
          </cell>
          <cell r="R24">
            <v>17950</v>
          </cell>
          <cell r="S24">
            <v>25350</v>
          </cell>
          <cell r="T24">
            <v>25750</v>
          </cell>
          <cell r="U24">
            <v>26150</v>
          </cell>
          <cell r="V24">
            <v>27090</v>
          </cell>
          <cell r="AP24">
            <v>157440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AP26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27661.045615698346</v>
          </cell>
          <cell r="Q32">
            <v>33665.626402884664</v>
          </cell>
          <cell r="R32">
            <v>34060.272818268699</v>
          </cell>
          <cell r="S32">
            <v>32104.132489841184</v>
          </cell>
          <cell r="T32">
            <v>38367.807195192647</v>
          </cell>
          <cell r="U32">
            <v>38795.583195192652</v>
          </cell>
          <cell r="V32">
            <v>51349.575697533204</v>
          </cell>
          <cell r="AP32">
            <v>256004.0434146114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2048.4</v>
          </cell>
          <cell r="Q33">
            <v>3527.7999999999997</v>
          </cell>
          <cell r="R33">
            <v>3527.7999999999997</v>
          </cell>
          <cell r="S33">
            <v>2731.2</v>
          </cell>
          <cell r="T33">
            <v>2105.2999999999997</v>
          </cell>
          <cell r="U33">
            <v>5462.4</v>
          </cell>
          <cell r="V33">
            <v>8466.7199999999993</v>
          </cell>
          <cell r="AP33">
            <v>27869.620000000003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1172.2066666666667</v>
          </cell>
          <cell r="Q34">
            <v>1172.2066666666667</v>
          </cell>
          <cell r="R34">
            <v>1172.2066666666667</v>
          </cell>
          <cell r="S34">
            <v>1172.2066666666667</v>
          </cell>
          <cell r="T34">
            <v>1172.2066666666667</v>
          </cell>
          <cell r="U34">
            <v>2126.2066666666669</v>
          </cell>
          <cell r="V34">
            <v>2126.2066666666669</v>
          </cell>
          <cell r="AP34">
            <v>10113.446666666667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1114.2063768115943</v>
          </cell>
          <cell r="Q35">
            <v>1163.631497584541</v>
          </cell>
          <cell r="R35">
            <v>1262.4817391304348</v>
          </cell>
          <cell r="S35">
            <v>1163.631497584541</v>
          </cell>
          <cell r="T35">
            <v>1114.2063768115943</v>
          </cell>
          <cell r="U35">
            <v>2074.2063768115941</v>
          </cell>
          <cell r="V35">
            <v>2173.0566183574879</v>
          </cell>
          <cell r="AP35">
            <v>10065.420483091786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AP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AP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AP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28998.515969276647</v>
          </cell>
          <cell r="Q39">
            <v>29471.368947117579</v>
          </cell>
          <cell r="R39">
            <v>31533.737348846535</v>
          </cell>
          <cell r="S39">
            <v>26500.154273204535</v>
          </cell>
          <cell r="T39">
            <v>26279.141267992221</v>
          </cell>
          <cell r="U39">
            <v>28321.323333209613</v>
          </cell>
          <cell r="V39">
            <v>29146.944452329881</v>
          </cell>
          <cell r="AP39">
            <v>200251.18559197703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AP40">
            <v>0</v>
          </cell>
        </row>
        <row r="48"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-661.0456156983455</v>
          </cell>
          <cell r="Q48">
            <v>12834.373597115336</v>
          </cell>
          <cell r="R48">
            <v>12439.727181731301</v>
          </cell>
          <cell r="S48">
            <v>3895.867510158816</v>
          </cell>
          <cell r="T48">
            <v>-10617.807195192647</v>
          </cell>
          <cell r="U48">
            <v>33204.416804807348</v>
          </cell>
          <cell r="V48">
            <v>67690.424302466781</v>
          </cell>
          <cell r="AP48">
            <v>118785.95658538859</v>
          </cell>
        </row>
        <row r="49"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-2048.4</v>
          </cell>
          <cell r="Q49">
            <v>-3527.7999999999997</v>
          </cell>
          <cell r="R49">
            <v>-3527.7999999999997</v>
          </cell>
          <cell r="S49">
            <v>-2731.2</v>
          </cell>
          <cell r="T49">
            <v>-2105.2999999999997</v>
          </cell>
          <cell r="U49">
            <v>-5462.4</v>
          </cell>
          <cell r="V49">
            <v>-8466.7199999999993</v>
          </cell>
          <cell r="AP49">
            <v>-27869.620000000003</v>
          </cell>
        </row>
        <row r="50"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99.793333333333294</v>
          </cell>
          <cell r="Q50">
            <v>99.793333333333294</v>
          </cell>
          <cell r="R50">
            <v>99.793333333333294</v>
          </cell>
          <cell r="S50">
            <v>99.793333333333294</v>
          </cell>
          <cell r="T50">
            <v>99.793333333333294</v>
          </cell>
          <cell r="U50">
            <v>417.79333333333307</v>
          </cell>
          <cell r="V50">
            <v>417.79333333333307</v>
          </cell>
          <cell r="AP50">
            <v>1334.5533333333326</v>
          </cell>
        </row>
        <row r="51"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85.793623188405718</v>
          </cell>
          <cell r="Q51">
            <v>36.368502415459034</v>
          </cell>
          <cell r="R51">
            <v>-62.481739130434789</v>
          </cell>
          <cell r="S51">
            <v>36.368502415459034</v>
          </cell>
          <cell r="T51">
            <v>85.793623188405718</v>
          </cell>
          <cell r="U51">
            <v>325.79362318840595</v>
          </cell>
          <cell r="V51">
            <v>226.94338164251212</v>
          </cell>
          <cell r="AP51">
            <v>734.57951690821278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AP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AP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AP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-11798.515969276647</v>
          </cell>
          <cell r="Q55">
            <v>-11521.368947117579</v>
          </cell>
          <cell r="R55">
            <v>-13583.737348846535</v>
          </cell>
          <cell r="S55">
            <v>-1150.1542732045345</v>
          </cell>
          <cell r="T55">
            <v>-529.1412679922214</v>
          </cell>
          <cell r="U55">
            <v>-2171.3233332096133</v>
          </cell>
          <cell r="V55">
            <v>-2056.9444523298807</v>
          </cell>
          <cell r="AP55">
            <v>-42811.18559197701</v>
          </cell>
        </row>
        <row r="56"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AP56">
            <v>0</v>
          </cell>
        </row>
        <row r="66"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13514.752519763468</v>
          </cell>
          <cell r="Q66">
            <v>12154.982822420523</v>
          </cell>
          <cell r="R66">
            <v>12692.223402130669</v>
          </cell>
          <cell r="S66">
            <v>10389.107822420523</v>
          </cell>
          <cell r="T66">
            <v>11403.67503256545</v>
          </cell>
          <cell r="U66">
            <v>11805.017532565451</v>
          </cell>
          <cell r="V66">
            <v>13661.833112275597</v>
          </cell>
          <cell r="AP66">
            <v>85621.592244141677</v>
          </cell>
        </row>
        <row r="67"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11747.6</v>
          </cell>
          <cell r="Q67">
            <v>12547.6</v>
          </cell>
          <cell r="R67">
            <v>12547.6</v>
          </cell>
          <cell r="S67">
            <v>12547.6</v>
          </cell>
          <cell r="T67">
            <v>9047.6</v>
          </cell>
          <cell r="U67">
            <v>9047.6</v>
          </cell>
          <cell r="V67">
            <v>9507.6</v>
          </cell>
          <cell r="AP67">
            <v>76993.200000000012</v>
          </cell>
        </row>
        <row r="68"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14960.528289855072</v>
          </cell>
          <cell r="Q68">
            <v>15106.37008937198</v>
          </cell>
          <cell r="R68">
            <v>15641.531949275362</v>
          </cell>
          <cell r="S68">
            <v>15106.37008937198</v>
          </cell>
          <cell r="T68">
            <v>15960.528289855072</v>
          </cell>
          <cell r="U68">
            <v>15504.006550724638</v>
          </cell>
          <cell r="V68">
            <v>15152.211888888889</v>
          </cell>
          <cell r="AP68">
            <v>107431.54714734299</v>
          </cell>
        </row>
        <row r="69"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200</v>
          </cell>
          <cell r="Q69">
            <v>200</v>
          </cell>
          <cell r="R69">
            <v>200</v>
          </cell>
          <cell r="S69">
            <v>200</v>
          </cell>
          <cell r="T69">
            <v>200</v>
          </cell>
          <cell r="U69">
            <v>200</v>
          </cell>
          <cell r="V69">
            <v>200</v>
          </cell>
          <cell r="AP69">
            <v>1400</v>
          </cell>
        </row>
        <row r="70"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11062.145739130436</v>
          </cell>
          <cell r="Q70">
            <v>11062.145739130436</v>
          </cell>
          <cell r="R70">
            <v>11062.145739130436</v>
          </cell>
          <cell r="S70">
            <v>11062.145739130436</v>
          </cell>
          <cell r="T70">
            <v>11062.145739130436</v>
          </cell>
          <cell r="U70">
            <v>11062.145739130436</v>
          </cell>
          <cell r="V70">
            <v>11062.145739130436</v>
          </cell>
          <cell r="AP70">
            <v>77435.020173913043</v>
          </cell>
        </row>
        <row r="71">
          <cell r="AP71">
            <v>0</v>
          </cell>
        </row>
        <row r="80"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1600</v>
          </cell>
          <cell r="Q80">
            <v>1600</v>
          </cell>
          <cell r="R80">
            <v>1600</v>
          </cell>
          <cell r="S80">
            <v>1600</v>
          </cell>
          <cell r="T80">
            <v>1600</v>
          </cell>
          <cell r="U80">
            <v>1600</v>
          </cell>
          <cell r="V80">
            <v>1600</v>
          </cell>
          <cell r="AP80">
            <v>11200</v>
          </cell>
        </row>
        <row r="81"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4000</v>
          </cell>
          <cell r="Q81">
            <v>8000</v>
          </cell>
          <cell r="R81">
            <v>8000</v>
          </cell>
          <cell r="S81">
            <v>8000</v>
          </cell>
          <cell r="T81">
            <v>8000</v>
          </cell>
          <cell r="U81">
            <v>8000</v>
          </cell>
          <cell r="V81">
            <v>8000</v>
          </cell>
          <cell r="AP81">
            <v>52000</v>
          </cell>
        </row>
        <row r="86"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238.59382246376811</v>
          </cell>
          <cell r="Q86">
            <v>238.59382246376811</v>
          </cell>
          <cell r="R86">
            <v>238.59382246376811</v>
          </cell>
          <cell r="S86">
            <v>238.59382246376811</v>
          </cell>
          <cell r="T86">
            <v>238.59382246376811</v>
          </cell>
          <cell r="U86">
            <v>238.59382246376811</v>
          </cell>
          <cell r="V86">
            <v>238.59382246376811</v>
          </cell>
          <cell r="AP86">
            <v>1670.1567572463764</v>
          </cell>
        </row>
        <row r="90"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AP90">
            <v>0</v>
          </cell>
        </row>
        <row r="99"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AP99">
            <v>0</v>
          </cell>
        </row>
        <row r="103"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AP103">
            <v>0</v>
          </cell>
        </row>
        <row r="107"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AP107">
            <v>0</v>
          </cell>
        </row>
        <row r="108"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5000</v>
          </cell>
          <cell r="Q108">
            <v>5000</v>
          </cell>
          <cell r="R108">
            <v>5000</v>
          </cell>
          <cell r="S108">
            <v>5000</v>
          </cell>
          <cell r="T108">
            <v>5000</v>
          </cell>
          <cell r="U108">
            <v>5000</v>
          </cell>
          <cell r="V108">
            <v>5000</v>
          </cell>
          <cell r="AP108">
            <v>35000</v>
          </cell>
        </row>
        <row r="114"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AP114">
            <v>0</v>
          </cell>
        </row>
        <row r="150"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34204.667550698985</v>
          </cell>
          <cell r="Q150">
            <v>37169.522016934017</v>
          </cell>
          <cell r="R150">
            <v>38010.398210858606</v>
          </cell>
          <cell r="S150">
            <v>37169.522016934017</v>
          </cell>
          <cell r="T150">
            <v>36749.083919971723</v>
          </cell>
          <cell r="U150">
            <v>36749.083919971723</v>
          </cell>
          <cell r="V150">
            <v>37589.960113896312</v>
          </cell>
          <cell r="AP150">
            <v>257642.23774926536</v>
          </cell>
        </row>
        <row r="179"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76310.733626503235</v>
          </cell>
          <cell r="Q179">
            <v>80938.21014824236</v>
          </cell>
          <cell r="R179">
            <v>83725.60145259017</v>
          </cell>
          <cell r="S179">
            <v>73843.026561285849</v>
          </cell>
          <cell r="T179">
            <v>77999.526648242376</v>
          </cell>
          <cell r="U179">
            <v>83771.405474329338</v>
          </cell>
          <cell r="V179">
            <v>101378.33406128586</v>
          </cell>
          <cell r="AP179">
            <v>577966.83797247917</v>
          </cell>
        </row>
        <row r="204"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1964</v>
          </cell>
          <cell r="Q204">
            <v>1964</v>
          </cell>
          <cell r="R204">
            <v>1964</v>
          </cell>
          <cell r="S204">
            <v>1964</v>
          </cell>
          <cell r="T204">
            <v>1964</v>
          </cell>
          <cell r="U204">
            <v>3878</v>
          </cell>
          <cell r="V204">
            <v>3878</v>
          </cell>
          <cell r="AP204">
            <v>17576</v>
          </cell>
        </row>
        <row r="218"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27000</v>
          </cell>
          <cell r="Q218">
            <v>46500</v>
          </cell>
          <cell r="R218">
            <v>46500</v>
          </cell>
          <cell r="S218">
            <v>36000</v>
          </cell>
          <cell r="T218">
            <v>27750</v>
          </cell>
          <cell r="U218">
            <v>72000</v>
          </cell>
          <cell r="V218">
            <v>119039.99999999999</v>
          </cell>
        </row>
        <row r="222"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27000</v>
          </cell>
          <cell r="Q222">
            <v>46500</v>
          </cell>
          <cell r="R222">
            <v>46500</v>
          </cell>
          <cell r="S222">
            <v>36000</v>
          </cell>
          <cell r="T222">
            <v>27750</v>
          </cell>
          <cell r="U222">
            <v>72000</v>
          </cell>
          <cell r="V222">
            <v>119039.99999999999</v>
          </cell>
        </row>
        <row r="226"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11508.695652173912</v>
          </cell>
          <cell r="Q226">
            <v>11508.695652173912</v>
          </cell>
          <cell r="R226">
            <v>11508.695652173912</v>
          </cell>
          <cell r="S226">
            <v>11508.695652173912</v>
          </cell>
          <cell r="T226">
            <v>11508.695652173912</v>
          </cell>
          <cell r="U226">
            <v>11508.695652173912</v>
          </cell>
          <cell r="V226">
            <v>11508.695652173912</v>
          </cell>
        </row>
        <row r="227"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118.9936523986069</v>
          </cell>
          <cell r="R229">
            <v>356.98095719582068</v>
          </cell>
          <cell r="S229">
            <v>118.9936523986069</v>
          </cell>
          <cell r="T229">
            <v>0</v>
          </cell>
          <cell r="U229">
            <v>0</v>
          </cell>
          <cell r="V229">
            <v>237.9873047972138</v>
          </cell>
        </row>
        <row r="230"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500</v>
          </cell>
          <cell r="Q230">
            <v>500</v>
          </cell>
          <cell r="R230">
            <v>500</v>
          </cell>
          <cell r="S230">
            <v>500</v>
          </cell>
          <cell r="T230">
            <v>500</v>
          </cell>
          <cell r="U230">
            <v>500</v>
          </cell>
          <cell r="V230">
            <v>500</v>
          </cell>
        </row>
        <row r="231"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3345.4443652173909</v>
          </cell>
          <cell r="Q231">
            <v>3377.3703621559371</v>
          </cell>
          <cell r="R231">
            <v>3441.2223560330299</v>
          </cell>
          <cell r="S231">
            <v>3377.3703621559371</v>
          </cell>
          <cell r="T231">
            <v>3345.4443652173909</v>
          </cell>
          <cell r="U231">
            <v>3345.4443652173909</v>
          </cell>
          <cell r="V231">
            <v>3409.2963590944837</v>
          </cell>
        </row>
        <row r="232"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1039.086956521739</v>
          </cell>
          <cell r="Q232">
            <v>1049.0030942216231</v>
          </cell>
          <cell r="R232">
            <v>1068.8353696213908</v>
          </cell>
          <cell r="S232">
            <v>1049.0030942216231</v>
          </cell>
          <cell r="T232">
            <v>1039.086956521739</v>
          </cell>
          <cell r="U232">
            <v>1039.086956521739</v>
          </cell>
          <cell r="V232">
            <v>1058.9192319215069</v>
          </cell>
        </row>
        <row r="233"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155.86304347826089</v>
          </cell>
          <cell r="Q233">
            <v>157.35046413324346</v>
          </cell>
          <cell r="R233">
            <v>160.32530544320861</v>
          </cell>
          <cell r="S233">
            <v>157.35046413324346</v>
          </cell>
          <cell r="T233">
            <v>155.86304347826089</v>
          </cell>
          <cell r="U233">
            <v>155.86304347826089</v>
          </cell>
          <cell r="V233">
            <v>158.83788478822603</v>
          </cell>
        </row>
        <row r="234"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460.3478260869565</v>
          </cell>
          <cell r="Q235">
            <v>460.3478260869565</v>
          </cell>
          <cell r="R235">
            <v>460.3478260869565</v>
          </cell>
          <cell r="S235">
            <v>460.3478260869565</v>
          </cell>
          <cell r="T235">
            <v>460.3478260869565</v>
          </cell>
          <cell r="U235">
            <v>460.3478260869565</v>
          </cell>
          <cell r="V235">
            <v>460.3478260869565</v>
          </cell>
        </row>
        <row r="236"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0.44690265486725661</v>
          </cell>
          <cell r="Q241">
            <v>0.41056910569105687</v>
          </cell>
          <cell r="R241">
            <v>0.41056910569105687</v>
          </cell>
          <cell r="S241">
            <v>0.41056910569105687</v>
          </cell>
          <cell r="T241">
            <v>0.41056910569105687</v>
          </cell>
          <cell r="U241">
            <v>0.41056910569105687</v>
          </cell>
          <cell r="V241">
            <v>0.41056910569105687</v>
          </cell>
        </row>
        <row r="245"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17009.884746133128</v>
          </cell>
          <cell r="Q245">
            <v>17172.171620275967</v>
          </cell>
          <cell r="R245">
            <v>17496.81803566001</v>
          </cell>
          <cell r="S245">
            <v>17172.171620275967</v>
          </cell>
          <cell r="T245">
            <v>17009.84841258395</v>
          </cell>
          <cell r="U245">
            <v>17009.84841258395</v>
          </cell>
          <cell r="V245">
            <v>17334.494827967988</v>
          </cell>
        </row>
        <row r="249"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800</v>
          </cell>
          <cell r="Q249">
            <v>800</v>
          </cell>
          <cell r="R249">
            <v>800</v>
          </cell>
          <cell r="S249">
            <v>800</v>
          </cell>
          <cell r="T249">
            <v>800</v>
          </cell>
          <cell r="U249">
            <v>800</v>
          </cell>
          <cell r="V249">
            <v>800</v>
          </cell>
        </row>
        <row r="250"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5400</v>
          </cell>
          <cell r="Q251">
            <v>9300</v>
          </cell>
          <cell r="R251">
            <v>9300</v>
          </cell>
          <cell r="S251">
            <v>7200</v>
          </cell>
          <cell r="T251">
            <v>5550</v>
          </cell>
          <cell r="U251">
            <v>14400</v>
          </cell>
          <cell r="V251">
            <v>23808</v>
          </cell>
        </row>
        <row r="252"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3"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</row>
        <row r="254"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</row>
        <row r="255"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</row>
        <row r="256"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1447.8260869565217</v>
          </cell>
          <cell r="Q256">
            <v>2600</v>
          </cell>
          <cell r="R256">
            <v>2600</v>
          </cell>
          <cell r="S256">
            <v>3447.826086956522</v>
          </cell>
          <cell r="T256">
            <v>2600</v>
          </cell>
          <cell r="U256">
            <v>2600</v>
          </cell>
          <cell r="V256">
            <v>3447.826086956522</v>
          </cell>
        </row>
        <row r="257"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</row>
        <row r="258"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800</v>
          </cell>
        </row>
        <row r="259"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55.934782608695649</v>
          </cell>
          <cell r="Q259">
            <v>55.934782608695649</v>
          </cell>
          <cell r="R259">
            <v>55.934782608695649</v>
          </cell>
          <cell r="S259">
            <v>55.934782608695649</v>
          </cell>
          <cell r="T259">
            <v>55.934782608695649</v>
          </cell>
          <cell r="U259">
            <v>55.934782608695649</v>
          </cell>
          <cell r="V259">
            <v>55.934782608695649</v>
          </cell>
        </row>
        <row r="260"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</row>
        <row r="261"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</row>
        <row r="262"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</row>
        <row r="263"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1254</v>
          </cell>
          <cell r="Q263">
            <v>1814.12</v>
          </cell>
          <cell r="R263">
            <v>1814.12</v>
          </cell>
          <cell r="S263">
            <v>1504.8</v>
          </cell>
          <cell r="T263">
            <v>1658.6239999999998</v>
          </cell>
          <cell r="U263">
            <v>2006.3999999999999</v>
          </cell>
          <cell r="V263">
            <v>3109.9199999999996</v>
          </cell>
        </row>
        <row r="264"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</row>
        <row r="265"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700</v>
          </cell>
          <cell r="Q265">
            <v>700</v>
          </cell>
          <cell r="R265">
            <v>700</v>
          </cell>
          <cell r="S265">
            <v>700</v>
          </cell>
          <cell r="T265">
            <v>700</v>
          </cell>
          <cell r="U265">
            <v>700</v>
          </cell>
          <cell r="V265">
            <v>700</v>
          </cell>
        </row>
        <row r="266"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</row>
        <row r="267"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8000</v>
          </cell>
          <cell r="U267">
            <v>0</v>
          </cell>
          <cell r="V267">
            <v>0</v>
          </cell>
        </row>
        <row r="268"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9"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350</v>
          </cell>
          <cell r="Q269">
            <v>350</v>
          </cell>
          <cell r="R269">
            <v>350</v>
          </cell>
          <cell r="S269">
            <v>350</v>
          </cell>
          <cell r="T269">
            <v>350</v>
          </cell>
          <cell r="U269">
            <v>350</v>
          </cell>
          <cell r="V269">
            <v>350</v>
          </cell>
        </row>
        <row r="270"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</row>
        <row r="271"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70</v>
          </cell>
          <cell r="Q271">
            <v>0</v>
          </cell>
          <cell r="R271">
            <v>70</v>
          </cell>
          <cell r="S271">
            <v>0</v>
          </cell>
          <cell r="T271">
            <v>70</v>
          </cell>
          <cell r="U271">
            <v>0</v>
          </cell>
          <cell r="V271">
            <v>70</v>
          </cell>
        </row>
        <row r="272"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375</v>
          </cell>
          <cell r="Q272">
            <v>375</v>
          </cell>
          <cell r="R272">
            <v>375</v>
          </cell>
          <cell r="S272">
            <v>375</v>
          </cell>
          <cell r="T272">
            <v>375</v>
          </cell>
          <cell r="U272">
            <v>375</v>
          </cell>
          <cell r="V272">
            <v>375</v>
          </cell>
        </row>
        <row r="273"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</row>
        <row r="274"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700</v>
          </cell>
          <cell r="U274">
            <v>0</v>
          </cell>
          <cell r="V274">
            <v>0</v>
          </cell>
        </row>
        <row r="275"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120</v>
          </cell>
          <cell r="Q275">
            <v>120</v>
          </cell>
          <cell r="R275">
            <v>120</v>
          </cell>
          <cell r="S275">
            <v>120</v>
          </cell>
          <cell r="T275">
            <v>120</v>
          </cell>
          <cell r="U275">
            <v>120</v>
          </cell>
          <cell r="V275">
            <v>120</v>
          </cell>
        </row>
        <row r="276"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78.400000000000006</v>
          </cell>
          <cell r="Q276">
            <v>78.400000000000006</v>
          </cell>
          <cell r="R276">
            <v>78.400000000000006</v>
          </cell>
          <cell r="S276">
            <v>78.400000000000006</v>
          </cell>
          <cell r="T276">
            <v>78.400000000000006</v>
          </cell>
          <cell r="U276">
            <v>78.400000000000006</v>
          </cell>
          <cell r="V276">
            <v>78.400000000000006</v>
          </cell>
        </row>
        <row r="277"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300</v>
          </cell>
          <cell r="R277">
            <v>300</v>
          </cell>
          <cell r="S277">
            <v>300</v>
          </cell>
          <cell r="T277">
            <v>300</v>
          </cell>
          <cell r="U277">
            <v>300</v>
          </cell>
          <cell r="V277">
            <v>300</v>
          </cell>
        </row>
        <row r="278"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83"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10651.160869565218</v>
          </cell>
          <cell r="Q283">
            <v>16493.454782608693</v>
          </cell>
          <cell r="R283">
            <v>16563.454782608693</v>
          </cell>
          <cell r="S283">
            <v>14931.960869565217</v>
          </cell>
          <cell r="T283">
            <v>21357.958782608697</v>
          </cell>
          <cell r="U283">
            <v>21785.734782608699</v>
          </cell>
          <cell r="V283">
            <v>34015.080869565216</v>
          </cell>
        </row>
        <row r="315"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</row>
        <row r="334"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</row>
        <row r="339"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</row>
        <row r="341"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</row>
        <row r="343"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</row>
        <row r="345"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  <row r="346"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</row>
        <row r="349"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</row>
        <row r="350"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</row>
        <row r="351"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</row>
        <row r="353"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</row>
        <row r="354"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9"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85"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2048.4</v>
          </cell>
          <cell r="Q385">
            <v>3527.7999999999997</v>
          </cell>
          <cell r="R385">
            <v>3527.7999999999997</v>
          </cell>
          <cell r="S385">
            <v>2731.2</v>
          </cell>
          <cell r="T385">
            <v>2105.2999999999997</v>
          </cell>
          <cell r="U385">
            <v>5462.4</v>
          </cell>
          <cell r="V385">
            <v>8466.7199999999993</v>
          </cell>
        </row>
        <row r="401"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2048.4</v>
          </cell>
          <cell r="Q401">
            <v>3527.7999999999997</v>
          </cell>
          <cell r="R401">
            <v>3527.7999999999997</v>
          </cell>
          <cell r="S401">
            <v>2731.2</v>
          </cell>
          <cell r="T401">
            <v>2105.2999999999997</v>
          </cell>
          <cell r="U401">
            <v>5462.4</v>
          </cell>
          <cell r="V401">
            <v>8466.7199999999993</v>
          </cell>
        </row>
        <row r="407"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1272</v>
          </cell>
          <cell r="Q407">
            <v>1272</v>
          </cell>
          <cell r="R407">
            <v>1272</v>
          </cell>
          <cell r="S407">
            <v>1272</v>
          </cell>
          <cell r="T407">
            <v>1272</v>
          </cell>
          <cell r="U407">
            <v>2544</v>
          </cell>
          <cell r="V407">
            <v>2544</v>
          </cell>
        </row>
        <row r="414"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1272</v>
          </cell>
          <cell r="Q414">
            <v>1272</v>
          </cell>
          <cell r="R414">
            <v>1272</v>
          </cell>
          <cell r="S414">
            <v>1272</v>
          </cell>
          <cell r="T414">
            <v>1272</v>
          </cell>
          <cell r="U414">
            <v>2544</v>
          </cell>
          <cell r="V414">
            <v>2544</v>
          </cell>
        </row>
        <row r="419"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954</v>
          </cell>
          <cell r="Q419">
            <v>954</v>
          </cell>
          <cell r="R419">
            <v>954</v>
          </cell>
          <cell r="S419">
            <v>954</v>
          </cell>
          <cell r="T419">
            <v>954</v>
          </cell>
          <cell r="U419">
            <v>1908</v>
          </cell>
          <cell r="V419">
            <v>1908</v>
          </cell>
        </row>
        <row r="423"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954</v>
          </cell>
          <cell r="Q423">
            <v>954</v>
          </cell>
          <cell r="R423">
            <v>954</v>
          </cell>
          <cell r="S423">
            <v>954</v>
          </cell>
          <cell r="T423">
            <v>954</v>
          </cell>
          <cell r="U423">
            <v>1908</v>
          </cell>
          <cell r="V423">
            <v>1908</v>
          </cell>
        </row>
        <row r="426"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50</v>
          </cell>
          <cell r="Q430">
            <v>50</v>
          </cell>
          <cell r="R430">
            <v>50</v>
          </cell>
          <cell r="S430">
            <v>50</v>
          </cell>
          <cell r="T430">
            <v>50</v>
          </cell>
          <cell r="U430">
            <v>50</v>
          </cell>
          <cell r="V430">
            <v>50</v>
          </cell>
        </row>
        <row r="431"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13.414999999999999</v>
          </cell>
          <cell r="Q431">
            <v>13.414999999999999</v>
          </cell>
          <cell r="R431">
            <v>13.414999999999999</v>
          </cell>
          <cell r="S431">
            <v>13.414999999999999</v>
          </cell>
          <cell r="T431">
            <v>13.414999999999999</v>
          </cell>
          <cell r="U431">
            <v>13.414999999999999</v>
          </cell>
          <cell r="V431">
            <v>13.414999999999999</v>
          </cell>
        </row>
        <row r="432"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4.166666666666667</v>
          </cell>
          <cell r="Q432">
            <v>4.166666666666667</v>
          </cell>
          <cell r="R432">
            <v>4.166666666666667</v>
          </cell>
          <cell r="S432">
            <v>4.166666666666667</v>
          </cell>
          <cell r="T432">
            <v>4.166666666666667</v>
          </cell>
          <cell r="U432">
            <v>4.166666666666667</v>
          </cell>
          <cell r="V432">
            <v>4.166666666666667</v>
          </cell>
        </row>
        <row r="433"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0.625</v>
          </cell>
          <cell r="Q433">
            <v>0.625</v>
          </cell>
          <cell r="R433">
            <v>0.625</v>
          </cell>
          <cell r="S433">
            <v>0.625</v>
          </cell>
          <cell r="T433">
            <v>0.625</v>
          </cell>
          <cell r="U433">
            <v>0.625</v>
          </cell>
          <cell r="V433">
            <v>0.625</v>
          </cell>
        </row>
        <row r="435"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5"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68.206666666666663</v>
          </cell>
          <cell r="Q445">
            <v>68.206666666666663</v>
          </cell>
          <cell r="R445">
            <v>68.206666666666663</v>
          </cell>
          <cell r="S445">
            <v>68.206666666666663</v>
          </cell>
          <cell r="T445">
            <v>68.206666666666663</v>
          </cell>
          <cell r="U445">
            <v>68.206666666666663</v>
          </cell>
          <cell r="V445">
            <v>68.206666666666663</v>
          </cell>
        </row>
        <row r="448"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150</v>
          </cell>
          <cell r="Q448">
            <v>150</v>
          </cell>
          <cell r="R448">
            <v>150</v>
          </cell>
          <cell r="S448">
            <v>150</v>
          </cell>
          <cell r="T448">
            <v>150</v>
          </cell>
          <cell r="U448">
            <v>150</v>
          </cell>
          <cell r="V448">
            <v>150</v>
          </cell>
        </row>
        <row r="449"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7"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150</v>
          </cell>
          <cell r="Q477">
            <v>150</v>
          </cell>
          <cell r="R477">
            <v>150</v>
          </cell>
          <cell r="S477">
            <v>150</v>
          </cell>
          <cell r="T477">
            <v>150</v>
          </cell>
          <cell r="U477">
            <v>150</v>
          </cell>
          <cell r="V477">
            <v>150</v>
          </cell>
        </row>
        <row r="484"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1200</v>
          </cell>
          <cell r="Q484">
            <v>1200</v>
          </cell>
          <cell r="R484">
            <v>1200</v>
          </cell>
          <cell r="S484">
            <v>1200</v>
          </cell>
          <cell r="T484">
            <v>1200</v>
          </cell>
          <cell r="U484">
            <v>2400</v>
          </cell>
          <cell r="V484">
            <v>2400</v>
          </cell>
        </row>
        <row r="492"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1200</v>
          </cell>
          <cell r="Q492">
            <v>1200</v>
          </cell>
          <cell r="R492">
            <v>1200</v>
          </cell>
          <cell r="S492">
            <v>1200</v>
          </cell>
          <cell r="T492">
            <v>1200</v>
          </cell>
          <cell r="U492">
            <v>2400</v>
          </cell>
          <cell r="V492">
            <v>2400</v>
          </cell>
        </row>
        <row r="495"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108.69565217391305</v>
          </cell>
          <cell r="Q495">
            <v>108.69565217391305</v>
          </cell>
          <cell r="R495">
            <v>108.69565217391305</v>
          </cell>
          <cell r="S495">
            <v>108.69565217391305</v>
          </cell>
          <cell r="T495">
            <v>108.69565217391305</v>
          </cell>
          <cell r="U495">
            <v>108.69565217391305</v>
          </cell>
          <cell r="V495">
            <v>108.69565217391305</v>
          </cell>
        </row>
        <row r="496"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36.231884057971016</v>
          </cell>
          <cell r="R498">
            <v>108.69565217391305</v>
          </cell>
          <cell r="S498">
            <v>36.231884057971016</v>
          </cell>
          <cell r="T498">
            <v>0</v>
          </cell>
          <cell r="U498">
            <v>0</v>
          </cell>
          <cell r="V498">
            <v>72.463768115942031</v>
          </cell>
        </row>
        <row r="499"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30.329565217391302</v>
          </cell>
          <cell r="Q500">
            <v>40.050579710144923</v>
          </cell>
          <cell r="R500">
            <v>59.492608695652173</v>
          </cell>
          <cell r="S500">
            <v>40.050579710144923</v>
          </cell>
          <cell r="T500">
            <v>30.329565217391302</v>
          </cell>
          <cell r="U500">
            <v>30.329565217391302</v>
          </cell>
          <cell r="V500">
            <v>49.771594202898548</v>
          </cell>
        </row>
        <row r="501"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9.420289855072463</v>
          </cell>
          <cell r="Q501">
            <v>12.439613526570048</v>
          </cell>
          <cell r="R501">
            <v>18.478260869565219</v>
          </cell>
          <cell r="S501">
            <v>12.439613526570048</v>
          </cell>
          <cell r="T501">
            <v>9.420289855072463</v>
          </cell>
          <cell r="U501">
            <v>9.420289855072463</v>
          </cell>
          <cell r="V501">
            <v>15.458937198067632</v>
          </cell>
        </row>
        <row r="502"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1.4130434782608696</v>
          </cell>
          <cell r="Q502">
            <v>1.8659420289855071</v>
          </cell>
          <cell r="R502">
            <v>2.7717391304347831</v>
          </cell>
          <cell r="S502">
            <v>1.8659420289855071</v>
          </cell>
          <cell r="T502">
            <v>1.4130434782608696</v>
          </cell>
          <cell r="U502">
            <v>1.4130434782608696</v>
          </cell>
          <cell r="V502">
            <v>2.318840579710145</v>
          </cell>
        </row>
        <row r="504"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4.3478260869565224</v>
          </cell>
          <cell r="Q504">
            <v>4.3478260869565224</v>
          </cell>
          <cell r="R504">
            <v>4.3478260869565224</v>
          </cell>
          <cell r="S504">
            <v>4.3478260869565224</v>
          </cell>
          <cell r="T504">
            <v>4.3478260869565224</v>
          </cell>
          <cell r="U504">
            <v>4.3478260869565224</v>
          </cell>
          <cell r="V504">
            <v>4.3478260869565224</v>
          </cell>
        </row>
        <row r="505"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14"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154.20637681159423</v>
          </cell>
          <cell r="Q514">
            <v>203.63149758454105</v>
          </cell>
          <cell r="R514">
            <v>302.48173913043485</v>
          </cell>
          <cell r="S514">
            <v>203.63149758454105</v>
          </cell>
          <cell r="T514">
            <v>154.20637681159423</v>
          </cell>
          <cell r="U514">
            <v>154.20637681159423</v>
          </cell>
          <cell r="V514">
            <v>253.05661835748793</v>
          </cell>
        </row>
        <row r="517"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960</v>
          </cell>
          <cell r="Q517">
            <v>960</v>
          </cell>
          <cell r="R517">
            <v>960</v>
          </cell>
          <cell r="S517">
            <v>960</v>
          </cell>
          <cell r="T517">
            <v>960</v>
          </cell>
          <cell r="U517">
            <v>1920</v>
          </cell>
          <cell r="V517">
            <v>1920</v>
          </cell>
        </row>
        <row r="521"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960</v>
          </cell>
          <cell r="Q521">
            <v>960</v>
          </cell>
          <cell r="R521">
            <v>960</v>
          </cell>
          <cell r="S521">
            <v>960</v>
          </cell>
          <cell r="T521">
            <v>960</v>
          </cell>
          <cell r="U521">
            <v>1920</v>
          </cell>
          <cell r="V521">
            <v>1920</v>
          </cell>
        </row>
        <row r="547"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68"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</row>
        <row r="576"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</row>
        <row r="580"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</row>
        <row r="596"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609"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</row>
        <row r="630"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7"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</row>
        <row r="651"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8">
          <cell r="P658">
            <v>17200</v>
          </cell>
          <cell r="Q658">
            <v>17200</v>
          </cell>
          <cell r="R658">
            <v>17200</v>
          </cell>
          <cell r="S658">
            <v>24600</v>
          </cell>
          <cell r="T658">
            <v>25000</v>
          </cell>
          <cell r="U658">
            <v>25400</v>
          </cell>
          <cell r="V658">
            <v>25800</v>
          </cell>
        </row>
        <row r="659">
          <cell r="V659">
            <v>540</v>
          </cell>
        </row>
        <row r="660">
          <cell r="Q660">
            <v>750</v>
          </cell>
          <cell r="R660">
            <v>750</v>
          </cell>
          <cell r="S660">
            <v>750</v>
          </cell>
          <cell r="T660">
            <v>750</v>
          </cell>
          <cell r="U660">
            <v>750</v>
          </cell>
          <cell r="V660">
            <v>750</v>
          </cell>
        </row>
        <row r="664"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17200</v>
          </cell>
          <cell r="Q664">
            <v>17950</v>
          </cell>
          <cell r="R664">
            <v>17950</v>
          </cell>
          <cell r="S664">
            <v>25350</v>
          </cell>
          <cell r="T664">
            <v>25750</v>
          </cell>
          <cell r="U664">
            <v>26150</v>
          </cell>
          <cell r="V664">
            <v>27090</v>
          </cell>
        </row>
        <row r="667"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7446.739130434783</v>
          </cell>
          <cell r="Q667">
            <v>9240.217391304348</v>
          </cell>
          <cell r="R667">
            <v>9240.217391304348</v>
          </cell>
          <cell r="S667">
            <v>9240.217391304348</v>
          </cell>
          <cell r="T667">
            <v>9240.217391304348</v>
          </cell>
          <cell r="U667">
            <v>9240.217391304348</v>
          </cell>
          <cell r="V667">
            <v>9240.217391304348</v>
          </cell>
        </row>
        <row r="668"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</row>
        <row r="669"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</row>
        <row r="670"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32.421815408085436</v>
          </cell>
          <cell r="R670">
            <v>97.265446224256308</v>
          </cell>
          <cell r="S670">
            <v>32.421815408085436</v>
          </cell>
          <cell r="T670">
            <v>0</v>
          </cell>
          <cell r="U670">
            <v>0</v>
          </cell>
          <cell r="V670">
            <v>64.843630816170872</v>
          </cell>
        </row>
        <row r="671"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</row>
        <row r="672"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2077.8785130434781</v>
          </cell>
          <cell r="Q672">
            <v>2587.0151122044244</v>
          </cell>
          <cell r="R672">
            <v>2604.412658352403</v>
          </cell>
          <cell r="S672">
            <v>2587.0151122044244</v>
          </cell>
          <cell r="T672">
            <v>2578.3163391304347</v>
          </cell>
          <cell r="U672">
            <v>2578.3163391304347</v>
          </cell>
          <cell r="V672">
            <v>2595.7138852784133</v>
          </cell>
        </row>
        <row r="673"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645.3840579710145</v>
          </cell>
          <cell r="Q673">
            <v>803.52065853038403</v>
          </cell>
          <cell r="R673">
            <v>808.9242944317316</v>
          </cell>
          <cell r="S673">
            <v>803.52065853038403</v>
          </cell>
          <cell r="T673">
            <v>800.81884057971013</v>
          </cell>
          <cell r="U673">
            <v>800.81884057971013</v>
          </cell>
          <cell r="V673">
            <v>806.2224764810577</v>
          </cell>
        </row>
        <row r="674"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96.807608695652178</v>
          </cell>
          <cell r="Q674">
            <v>120.52809877955761</v>
          </cell>
          <cell r="R674">
            <v>121.33864416475974</v>
          </cell>
          <cell r="S674">
            <v>120.52809877955761</v>
          </cell>
          <cell r="T674">
            <v>120.12282608695654</v>
          </cell>
          <cell r="U674">
            <v>120.12282608695654</v>
          </cell>
          <cell r="V674">
            <v>120.93337147215867</v>
          </cell>
        </row>
        <row r="675"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</row>
        <row r="676"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297.86956521739131</v>
          </cell>
          <cell r="Q676">
            <v>369.60869565217394</v>
          </cell>
          <cell r="R676">
            <v>369.60869565217394</v>
          </cell>
          <cell r="S676">
            <v>369.60869565217394</v>
          </cell>
          <cell r="T676">
            <v>369.60869565217394</v>
          </cell>
          <cell r="U676">
            <v>369.60869565217394</v>
          </cell>
          <cell r="V676">
            <v>369.60869565217394</v>
          </cell>
        </row>
        <row r="677"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</row>
        <row r="678"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</row>
        <row r="679"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</row>
        <row r="681"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0.33185840707964603</v>
          </cell>
          <cell r="Q682">
            <v>0.38617886178861788</v>
          </cell>
          <cell r="R682">
            <v>0.38617886178861788</v>
          </cell>
          <cell r="S682">
            <v>0.38617886178861788</v>
          </cell>
          <cell r="T682">
            <v>0.38617886178861788</v>
          </cell>
          <cell r="U682">
            <v>0.38617886178861788</v>
          </cell>
          <cell r="V682">
            <v>0.38617886178861788</v>
          </cell>
        </row>
        <row r="686"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10565.010733769399</v>
          </cell>
          <cell r="Q686">
            <v>13153.697950740763</v>
          </cell>
          <cell r="R686">
            <v>13242.153308991463</v>
          </cell>
          <cell r="S686">
            <v>13153.697950740763</v>
          </cell>
          <cell r="T686">
            <v>13109.470271615412</v>
          </cell>
          <cell r="U686">
            <v>13109.470271615412</v>
          </cell>
          <cell r="V686">
            <v>13197.925629866111</v>
          </cell>
        </row>
        <row r="692"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6"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1032.6603260869565</v>
          </cell>
          <cell r="Q696">
            <v>368.47826086956519</v>
          </cell>
          <cell r="R696">
            <v>368.47826086956519</v>
          </cell>
          <cell r="S696">
            <v>589.87228260869563</v>
          </cell>
          <cell r="T696">
            <v>368.47826086956519</v>
          </cell>
          <cell r="U696">
            <v>1032.6603260869565</v>
          </cell>
          <cell r="V696">
            <v>368.47826086956519</v>
          </cell>
        </row>
        <row r="697"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569.29891304347825</v>
          </cell>
          <cell r="Q697">
            <v>569.29891304347825</v>
          </cell>
          <cell r="R697">
            <v>569.29891304347825</v>
          </cell>
          <cell r="S697">
            <v>569.29891304347825</v>
          </cell>
          <cell r="T697">
            <v>569.29891304347825</v>
          </cell>
          <cell r="U697">
            <v>569.29891304347825</v>
          </cell>
          <cell r="V697">
            <v>569.29891304347825</v>
          </cell>
        </row>
        <row r="698"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884.3478260869565</v>
          </cell>
          <cell r="Q698">
            <v>884.3478260869565</v>
          </cell>
          <cell r="R698">
            <v>884.3478260869565</v>
          </cell>
          <cell r="S698">
            <v>884.3478260869565</v>
          </cell>
          <cell r="T698">
            <v>884.3478260869565</v>
          </cell>
          <cell r="U698">
            <v>884.3478260869565</v>
          </cell>
          <cell r="V698">
            <v>884.3478260869565</v>
          </cell>
        </row>
        <row r="699"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2215.2391304347825</v>
          </cell>
          <cell r="Q699">
            <v>326.08695652173913</v>
          </cell>
          <cell r="R699">
            <v>326.08695652173913</v>
          </cell>
          <cell r="S699">
            <v>1043.4782608695652</v>
          </cell>
          <cell r="T699">
            <v>326.08695652173913</v>
          </cell>
          <cell r="U699">
            <v>326.08695652173913</v>
          </cell>
          <cell r="V699">
            <v>1043.4782608695652</v>
          </cell>
        </row>
        <row r="700"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61.413043478260867</v>
          </cell>
          <cell r="Q700">
            <v>61.413043478260867</v>
          </cell>
          <cell r="R700">
            <v>798.36956521739125</v>
          </cell>
          <cell r="S700">
            <v>61.413043478260867</v>
          </cell>
          <cell r="T700">
            <v>1003.4130434782609</v>
          </cell>
          <cell r="U700">
            <v>61.413043478260867</v>
          </cell>
          <cell r="V700">
            <v>61.413043478260867</v>
          </cell>
        </row>
        <row r="701"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1525.5</v>
          </cell>
          <cell r="Q701">
            <v>1525.5</v>
          </cell>
          <cell r="R701">
            <v>1525.5</v>
          </cell>
          <cell r="S701">
            <v>1525.5</v>
          </cell>
          <cell r="T701">
            <v>1525.5</v>
          </cell>
          <cell r="U701">
            <v>1525.5</v>
          </cell>
          <cell r="V701">
            <v>1525.5</v>
          </cell>
        </row>
        <row r="702"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208.80434782608697</v>
          </cell>
          <cell r="Q702">
            <v>208.80434782608697</v>
          </cell>
          <cell r="R702">
            <v>208.80434782608697</v>
          </cell>
          <cell r="S702">
            <v>208.80434782608697</v>
          </cell>
          <cell r="T702">
            <v>208.80434782608697</v>
          </cell>
          <cell r="U702">
            <v>208.80434782608697</v>
          </cell>
          <cell r="V702">
            <v>208.80434782608697</v>
          </cell>
        </row>
        <row r="703"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4480</v>
          </cell>
          <cell r="Q703">
            <v>4480</v>
          </cell>
          <cell r="R703">
            <v>4480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</row>
        <row r="704"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736.95652173913038</v>
          </cell>
          <cell r="S704">
            <v>0</v>
          </cell>
          <cell r="T704">
            <v>0</v>
          </cell>
          <cell r="U704">
            <v>0</v>
          </cell>
          <cell r="V704">
            <v>736.95652173913038</v>
          </cell>
        </row>
        <row r="705"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200</v>
          </cell>
          <cell r="T705">
            <v>0</v>
          </cell>
          <cell r="U705">
            <v>0</v>
          </cell>
          <cell r="V705">
            <v>200</v>
          </cell>
        </row>
        <row r="706"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350</v>
          </cell>
          <cell r="Q706">
            <v>350</v>
          </cell>
          <cell r="R706">
            <v>350</v>
          </cell>
          <cell r="S706">
            <v>350</v>
          </cell>
          <cell r="T706">
            <v>350</v>
          </cell>
          <cell r="U706">
            <v>350</v>
          </cell>
          <cell r="V706">
            <v>350</v>
          </cell>
        </row>
        <row r="707"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55.934782608695649</v>
          </cell>
          <cell r="Q707">
            <v>55.934782608695649</v>
          </cell>
          <cell r="R707">
            <v>55.934782608695649</v>
          </cell>
          <cell r="S707">
            <v>55.934782608695649</v>
          </cell>
          <cell r="T707">
            <v>55.934782608695649</v>
          </cell>
          <cell r="U707">
            <v>55.934782608695649</v>
          </cell>
          <cell r="V707">
            <v>55.934782608695649</v>
          </cell>
        </row>
        <row r="708"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50</v>
          </cell>
          <cell r="Q708">
            <v>50</v>
          </cell>
          <cell r="R708">
            <v>50</v>
          </cell>
          <cell r="S708">
            <v>50</v>
          </cell>
          <cell r="T708">
            <v>50</v>
          </cell>
          <cell r="U708">
            <v>50</v>
          </cell>
          <cell r="V708">
            <v>50</v>
          </cell>
        </row>
        <row r="709"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491.30434782608694</v>
          </cell>
          <cell r="Q709">
            <v>891.304347826087</v>
          </cell>
          <cell r="R709">
            <v>891.304347826087</v>
          </cell>
          <cell r="S709">
            <v>891.304347826087</v>
          </cell>
          <cell r="T709">
            <v>891.304347826087</v>
          </cell>
          <cell r="U709">
            <v>891.304347826087</v>
          </cell>
          <cell r="V709">
            <v>891.304347826087</v>
          </cell>
        </row>
        <row r="710"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150.33913043478262</v>
          </cell>
          <cell r="Q710">
            <v>150.33913043478262</v>
          </cell>
          <cell r="R710">
            <v>150.33913043478262</v>
          </cell>
          <cell r="S710">
            <v>150.33913043478262</v>
          </cell>
          <cell r="T710">
            <v>150.33913043478262</v>
          </cell>
          <cell r="U710">
            <v>150.33913043478262</v>
          </cell>
          <cell r="V710">
            <v>150.33913043478262</v>
          </cell>
        </row>
        <row r="711"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426.08695652173913</v>
          </cell>
          <cell r="Q711">
            <v>426.08695652173913</v>
          </cell>
          <cell r="R711">
            <v>426.08695652173913</v>
          </cell>
          <cell r="S711">
            <v>426.08695652173913</v>
          </cell>
          <cell r="T711">
            <v>426.08695652173913</v>
          </cell>
          <cell r="U711">
            <v>426.08695652173913</v>
          </cell>
          <cell r="V711">
            <v>426.08695652173913</v>
          </cell>
        </row>
        <row r="712"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</row>
        <row r="713"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850</v>
          </cell>
          <cell r="Q713">
            <v>850</v>
          </cell>
          <cell r="R713">
            <v>850</v>
          </cell>
          <cell r="S713">
            <v>850</v>
          </cell>
          <cell r="T713">
            <v>850</v>
          </cell>
          <cell r="U713">
            <v>1350</v>
          </cell>
          <cell r="V713">
            <v>2850</v>
          </cell>
        </row>
        <row r="714"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443.47826086956519</v>
          </cell>
          <cell r="Q714">
            <v>443.47826086956519</v>
          </cell>
          <cell r="R714">
            <v>443.47826086956519</v>
          </cell>
          <cell r="S714">
            <v>443.47826086956519</v>
          </cell>
          <cell r="T714">
            <v>443.47826086956519</v>
          </cell>
          <cell r="U714">
            <v>443.47826086956519</v>
          </cell>
          <cell r="V714">
            <v>443.47826086956519</v>
          </cell>
        </row>
        <row r="715"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594.60217391304343</v>
          </cell>
          <cell r="Q715">
            <v>594.60217391304343</v>
          </cell>
          <cell r="R715">
            <v>594.60217391304343</v>
          </cell>
          <cell r="S715">
            <v>594.60217391304343</v>
          </cell>
          <cell r="T715">
            <v>594.60217391304343</v>
          </cell>
          <cell r="U715">
            <v>594.60217391304343</v>
          </cell>
          <cell r="V715">
            <v>594.60217391304343</v>
          </cell>
        </row>
        <row r="716"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</row>
        <row r="717"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500</v>
          </cell>
          <cell r="S717">
            <v>0</v>
          </cell>
          <cell r="T717">
            <v>0</v>
          </cell>
          <cell r="U717">
            <v>1800</v>
          </cell>
          <cell r="V717">
            <v>0</v>
          </cell>
        </row>
        <row r="718"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1315.4673913043478</v>
          </cell>
          <cell r="Q718">
            <v>1315.4673913043478</v>
          </cell>
          <cell r="R718">
            <v>1315.4673913043478</v>
          </cell>
          <cell r="S718">
            <v>1315.4673913043478</v>
          </cell>
          <cell r="T718">
            <v>1315.4673913043478</v>
          </cell>
          <cell r="U718">
            <v>1315.4673913043478</v>
          </cell>
          <cell r="V718">
            <v>1315.4673913043478</v>
          </cell>
        </row>
        <row r="719"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2490.434782608696</v>
          </cell>
          <cell r="Q719">
            <v>2527.934782608696</v>
          </cell>
          <cell r="R719">
            <v>2527.934782608696</v>
          </cell>
          <cell r="S719">
            <v>2897.934782608696</v>
          </cell>
          <cell r="T719">
            <v>2917.934782608696</v>
          </cell>
          <cell r="U719">
            <v>2937.934782608696</v>
          </cell>
          <cell r="V719">
            <v>2984.934782608696</v>
          </cell>
        </row>
        <row r="720"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238.59382246376811</v>
          </cell>
          <cell r="Q720">
            <v>238.59382246376811</v>
          </cell>
          <cell r="R720">
            <v>238.59382246376811</v>
          </cell>
          <cell r="S720">
            <v>238.59382246376811</v>
          </cell>
          <cell r="T720">
            <v>238.59382246376811</v>
          </cell>
          <cell r="U720">
            <v>238.59382246376811</v>
          </cell>
          <cell r="V720">
            <v>238.59382246376811</v>
          </cell>
        </row>
        <row r="724"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18433.505235507248</v>
          </cell>
          <cell r="Q724">
            <v>16317.670996376815</v>
          </cell>
          <cell r="R724">
            <v>18291.584039855072</v>
          </cell>
          <cell r="S724">
            <v>13346.45632246377</v>
          </cell>
          <cell r="T724">
            <v>13169.670996376812</v>
          </cell>
          <cell r="U724">
            <v>15211.853061594204</v>
          </cell>
          <cell r="V724">
            <v>15949.018822463768</v>
          </cell>
        </row>
        <row r="737"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</row>
        <row r="740">
          <cell r="K740">
            <v>0</v>
          </cell>
        </row>
        <row r="741">
          <cell r="K741">
            <v>0</v>
          </cell>
        </row>
        <row r="742"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K753">
            <v>0</v>
          </cell>
        </row>
        <row r="755">
          <cell r="K755">
            <v>0</v>
          </cell>
        </row>
        <row r="759"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</row>
        <row r="765"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</row>
        <row r="786"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</row>
        <row r="793"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</row>
        <row r="801"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</row>
        <row r="875"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</row>
        <row r="878"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</row>
        <row r="882"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2500</v>
          </cell>
          <cell r="Q882">
            <v>2500</v>
          </cell>
          <cell r="R882">
            <v>2500</v>
          </cell>
          <cell r="S882">
            <v>2500</v>
          </cell>
          <cell r="T882">
            <v>2500</v>
          </cell>
          <cell r="U882">
            <v>2500</v>
          </cell>
          <cell r="V882">
            <v>2500</v>
          </cell>
        </row>
        <row r="883"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</row>
        <row r="884"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</row>
        <row r="885"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86.956521739130437</v>
          </cell>
          <cell r="R885">
            <v>260.86956521739131</v>
          </cell>
          <cell r="S885">
            <v>86.956521739130437</v>
          </cell>
          <cell r="T885">
            <v>0</v>
          </cell>
          <cell r="U885">
            <v>0</v>
          </cell>
          <cell r="V885">
            <v>173.91304347826087</v>
          </cell>
        </row>
        <row r="886"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</row>
        <row r="887"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697.57999999999993</v>
          </cell>
          <cell r="Q887">
            <v>720.91043478260872</v>
          </cell>
          <cell r="R887">
            <v>767.57130434782607</v>
          </cell>
          <cell r="S887">
            <v>720.91043478260872</v>
          </cell>
          <cell r="T887">
            <v>697.57999999999993</v>
          </cell>
          <cell r="U887">
            <v>697.57999999999993</v>
          </cell>
          <cell r="V887">
            <v>744.24086956521728</v>
          </cell>
        </row>
        <row r="888"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216.66666666666663</v>
          </cell>
          <cell r="Q888">
            <v>223.91304347826087</v>
          </cell>
          <cell r="R888">
            <v>238.40579710144928</v>
          </cell>
          <cell r="S888">
            <v>223.91304347826087</v>
          </cell>
          <cell r="T888">
            <v>216.66666666666663</v>
          </cell>
          <cell r="U888">
            <v>216.66666666666663</v>
          </cell>
          <cell r="V888">
            <v>231.15942028985506</v>
          </cell>
        </row>
        <row r="889"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32.5</v>
          </cell>
          <cell r="Q889">
            <v>33.58695652173914</v>
          </cell>
          <cell r="R889">
            <v>35.760869565217391</v>
          </cell>
          <cell r="S889">
            <v>33.58695652173914</v>
          </cell>
          <cell r="T889">
            <v>32.5</v>
          </cell>
          <cell r="U889">
            <v>32.5</v>
          </cell>
          <cell r="V889">
            <v>34.673913043478258</v>
          </cell>
        </row>
        <row r="890"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</row>
        <row r="891"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100</v>
          </cell>
          <cell r="Q891">
            <v>100</v>
          </cell>
          <cell r="R891">
            <v>100</v>
          </cell>
          <cell r="S891">
            <v>100</v>
          </cell>
          <cell r="T891">
            <v>100</v>
          </cell>
          <cell r="U891">
            <v>100</v>
          </cell>
          <cell r="V891">
            <v>100</v>
          </cell>
        </row>
        <row r="892"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6"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8.4070796460176983E-2</v>
          </cell>
          <cell r="Q897">
            <v>7.7235772357723581E-2</v>
          </cell>
          <cell r="R897">
            <v>7.7235772357723581E-2</v>
          </cell>
          <cell r="S897">
            <v>7.7235772357723581E-2</v>
          </cell>
          <cell r="T897">
            <v>7.7235772357723581E-2</v>
          </cell>
          <cell r="U897">
            <v>7.7235772357723581E-2</v>
          </cell>
          <cell r="V897">
            <v>7.7235772357723581E-2</v>
          </cell>
        </row>
        <row r="900"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3546.8307374631268</v>
          </cell>
          <cell r="Q900">
            <v>3665.4441922940969</v>
          </cell>
          <cell r="R900">
            <v>3902.6847720042419</v>
          </cell>
          <cell r="S900">
            <v>3665.4441922940969</v>
          </cell>
          <cell r="T900">
            <v>3546.8239024390241</v>
          </cell>
          <cell r="U900">
            <v>3546.8239024390241</v>
          </cell>
          <cell r="V900">
            <v>3784.0644821491696</v>
          </cell>
        </row>
        <row r="905"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450</v>
          </cell>
          <cell r="Q906">
            <v>450</v>
          </cell>
          <cell r="R906">
            <v>450</v>
          </cell>
          <cell r="S906">
            <v>450</v>
          </cell>
          <cell r="T906">
            <v>450</v>
          </cell>
          <cell r="U906">
            <v>450</v>
          </cell>
          <cell r="V906">
            <v>450</v>
          </cell>
        </row>
        <row r="907"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</row>
        <row r="909"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</row>
        <row r="910"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</row>
        <row r="911"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1630.4347826086957</v>
          </cell>
          <cell r="Q911">
            <v>1630.4347826086957</v>
          </cell>
          <cell r="R911">
            <v>1630.4347826086957</v>
          </cell>
          <cell r="S911">
            <v>1630.4347826086957</v>
          </cell>
          <cell r="T911">
            <v>1630.4347826086957</v>
          </cell>
          <cell r="U911">
            <v>1630.4347826086957</v>
          </cell>
          <cell r="V911">
            <v>1630.4347826086957</v>
          </cell>
        </row>
        <row r="912"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</row>
        <row r="913"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</row>
        <row r="914"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991.78</v>
          </cell>
          <cell r="Q914">
            <v>1422.0925000000002</v>
          </cell>
          <cell r="R914">
            <v>1422.0925000000002</v>
          </cell>
          <cell r="S914">
            <v>1356.2175000000002</v>
          </cell>
          <cell r="T914">
            <v>1189.4050000000002</v>
          </cell>
          <cell r="U914">
            <v>2190.7475000000004</v>
          </cell>
          <cell r="V914">
            <v>3210.3225000000002</v>
          </cell>
        </row>
        <row r="915"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</row>
        <row r="916"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</row>
        <row r="917"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54.744680851063826</v>
          </cell>
          <cell r="Q917">
            <v>54.744680851063826</v>
          </cell>
          <cell r="R917">
            <v>54.744680851063826</v>
          </cell>
          <cell r="S917">
            <v>54.744680851063826</v>
          </cell>
          <cell r="T917">
            <v>54.744680851063826</v>
          </cell>
          <cell r="U917">
            <v>54.744680851063826</v>
          </cell>
          <cell r="V917">
            <v>54.744680851063826</v>
          </cell>
        </row>
        <row r="918"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</row>
        <row r="919"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</row>
        <row r="920"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</row>
        <row r="921"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150</v>
          </cell>
          <cell r="Q921">
            <v>150</v>
          </cell>
          <cell r="R921">
            <v>150</v>
          </cell>
          <cell r="S921">
            <v>150</v>
          </cell>
          <cell r="T921">
            <v>150</v>
          </cell>
          <cell r="U921">
            <v>150</v>
          </cell>
          <cell r="V921">
            <v>1150</v>
          </cell>
        </row>
        <row r="922"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</row>
        <row r="923"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166.66666666666666</v>
          </cell>
          <cell r="Q923">
            <v>166.66666666666666</v>
          </cell>
          <cell r="R923">
            <v>166.66666666666666</v>
          </cell>
          <cell r="S923">
            <v>166.66666666666666</v>
          </cell>
          <cell r="T923">
            <v>166.66666666666666</v>
          </cell>
          <cell r="U923">
            <v>166.66666666666666</v>
          </cell>
          <cell r="V923">
            <v>166.66666666666666</v>
          </cell>
        </row>
        <row r="924"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</row>
        <row r="925"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1300</v>
          </cell>
          <cell r="Q925">
            <v>300</v>
          </cell>
          <cell r="R925">
            <v>1300</v>
          </cell>
          <cell r="S925">
            <v>300</v>
          </cell>
          <cell r="T925">
            <v>1300</v>
          </cell>
          <cell r="U925">
            <v>300</v>
          </cell>
          <cell r="V925">
            <v>300</v>
          </cell>
        </row>
        <row r="926"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</row>
        <row r="927"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80</v>
          </cell>
          <cell r="Q927">
            <v>80</v>
          </cell>
          <cell r="R927">
            <v>80</v>
          </cell>
          <cell r="S927">
            <v>80</v>
          </cell>
          <cell r="T927">
            <v>80</v>
          </cell>
          <cell r="U927">
            <v>80</v>
          </cell>
          <cell r="V927">
            <v>80</v>
          </cell>
        </row>
        <row r="928"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</row>
        <row r="929"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</row>
        <row r="930"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</row>
        <row r="931"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</row>
        <row r="932"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2608.695652173913</v>
          </cell>
          <cell r="Q932">
            <v>1000</v>
          </cell>
          <cell r="R932">
            <v>1000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</row>
        <row r="933"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</row>
        <row r="934"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</row>
        <row r="935"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700</v>
          </cell>
          <cell r="V935">
            <v>0</v>
          </cell>
        </row>
        <row r="936"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1560</v>
          </cell>
          <cell r="Q936">
            <v>1560</v>
          </cell>
          <cell r="R936">
            <v>1560</v>
          </cell>
          <cell r="S936">
            <v>1560</v>
          </cell>
          <cell r="T936">
            <v>1560</v>
          </cell>
          <cell r="U936">
            <v>1560</v>
          </cell>
          <cell r="V936">
            <v>1560</v>
          </cell>
        </row>
        <row r="937"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975.6</v>
          </cell>
          <cell r="Q937">
            <v>975.6</v>
          </cell>
          <cell r="R937">
            <v>975.6</v>
          </cell>
          <cell r="S937">
            <v>975.6</v>
          </cell>
          <cell r="T937">
            <v>975.6</v>
          </cell>
          <cell r="U937">
            <v>975.6</v>
          </cell>
          <cell r="V937">
            <v>975.6</v>
          </cell>
        </row>
        <row r="938"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700</v>
          </cell>
          <cell r="R938">
            <v>0</v>
          </cell>
          <cell r="S938">
            <v>0</v>
          </cell>
          <cell r="T938">
            <v>300</v>
          </cell>
          <cell r="U938">
            <v>0</v>
          </cell>
          <cell r="V938">
            <v>300</v>
          </cell>
        </row>
        <row r="939"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</row>
        <row r="943"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9967.9217823003401</v>
          </cell>
          <cell r="Q943">
            <v>8489.5386301264261</v>
          </cell>
          <cell r="R943">
            <v>8789.5386301264261</v>
          </cell>
          <cell r="S943">
            <v>6723.6636301264271</v>
          </cell>
          <cell r="T943">
            <v>7856.8511301264271</v>
          </cell>
          <cell r="U943">
            <v>8258.1936301264268</v>
          </cell>
          <cell r="V943">
            <v>9877.7686301264275</v>
          </cell>
        </row>
        <row r="950"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</row>
        <row r="951"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</row>
        <row r="952"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</row>
        <row r="953"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</row>
        <row r="954"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</row>
        <row r="955"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</row>
        <row r="956"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9"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</row>
        <row r="960"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</row>
        <row r="961"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</row>
        <row r="962"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</row>
        <row r="963"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</row>
        <row r="965"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</row>
        <row r="969"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</row>
        <row r="972"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300</v>
          </cell>
          <cell r="Q972">
            <v>300</v>
          </cell>
          <cell r="R972">
            <v>300</v>
          </cell>
          <cell r="S972">
            <v>300</v>
          </cell>
          <cell r="T972">
            <v>300</v>
          </cell>
          <cell r="U972">
            <v>300</v>
          </cell>
          <cell r="V972">
            <v>300</v>
          </cell>
        </row>
        <row r="973"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</row>
        <row r="974"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</row>
        <row r="975"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</row>
        <row r="976"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2500</v>
          </cell>
          <cell r="Q976">
            <v>2500</v>
          </cell>
          <cell r="R976">
            <v>2500</v>
          </cell>
          <cell r="S976">
            <v>2500</v>
          </cell>
          <cell r="T976">
            <v>2500</v>
          </cell>
          <cell r="U976">
            <v>2500</v>
          </cell>
          <cell r="V976">
            <v>3000</v>
          </cell>
        </row>
        <row r="977"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600</v>
          </cell>
          <cell r="Q979">
            <v>600</v>
          </cell>
          <cell r="R979">
            <v>600</v>
          </cell>
          <cell r="S979">
            <v>600</v>
          </cell>
          <cell r="T979">
            <v>600</v>
          </cell>
          <cell r="U979">
            <v>600</v>
          </cell>
          <cell r="V979">
            <v>600</v>
          </cell>
        </row>
        <row r="980"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800</v>
          </cell>
          <cell r="R980">
            <v>800</v>
          </cell>
          <cell r="S980">
            <v>800</v>
          </cell>
          <cell r="T980">
            <v>800</v>
          </cell>
          <cell r="U980">
            <v>800</v>
          </cell>
          <cell r="V980">
            <v>960</v>
          </cell>
        </row>
        <row r="981"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</row>
        <row r="983"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800</v>
          </cell>
          <cell r="Q983">
            <v>800</v>
          </cell>
          <cell r="R983">
            <v>800</v>
          </cell>
          <cell r="S983">
            <v>800</v>
          </cell>
          <cell r="T983">
            <v>800</v>
          </cell>
          <cell r="U983">
            <v>800</v>
          </cell>
          <cell r="V983">
            <v>800</v>
          </cell>
        </row>
        <row r="984"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</row>
        <row r="985"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</row>
        <row r="986"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</row>
        <row r="987"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</row>
        <row r="988"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3750</v>
          </cell>
          <cell r="Q988">
            <v>3750</v>
          </cell>
          <cell r="R988">
            <v>3750</v>
          </cell>
          <cell r="S988">
            <v>3750</v>
          </cell>
          <cell r="T988">
            <v>3250</v>
          </cell>
          <cell r="U988">
            <v>3250</v>
          </cell>
          <cell r="V988">
            <v>3050</v>
          </cell>
        </row>
        <row r="989"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3500</v>
          </cell>
          <cell r="Q989">
            <v>3500</v>
          </cell>
          <cell r="R989">
            <v>3500</v>
          </cell>
          <cell r="S989">
            <v>3500</v>
          </cell>
          <cell r="T989">
            <v>500</v>
          </cell>
          <cell r="U989">
            <v>500</v>
          </cell>
          <cell r="V989">
            <v>500</v>
          </cell>
        </row>
        <row r="990"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</row>
        <row r="991"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</row>
        <row r="993"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</row>
        <row r="994"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</row>
        <row r="995"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</row>
        <row r="996"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</row>
        <row r="997"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</row>
        <row r="998"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</row>
        <row r="999"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180</v>
          </cell>
          <cell r="Q999">
            <v>180</v>
          </cell>
          <cell r="R999">
            <v>180</v>
          </cell>
          <cell r="S999">
            <v>180</v>
          </cell>
          <cell r="T999">
            <v>180</v>
          </cell>
          <cell r="U999">
            <v>180</v>
          </cell>
          <cell r="V999">
            <v>180</v>
          </cell>
        </row>
        <row r="1000"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117.60000000000001</v>
          </cell>
          <cell r="Q1000">
            <v>117.60000000000001</v>
          </cell>
          <cell r="R1000">
            <v>117.60000000000001</v>
          </cell>
          <cell r="S1000">
            <v>117.60000000000001</v>
          </cell>
          <cell r="T1000">
            <v>117.60000000000001</v>
          </cell>
          <cell r="U1000">
            <v>117.60000000000001</v>
          </cell>
          <cell r="V1000">
            <v>117.60000000000001</v>
          </cell>
        </row>
        <row r="1001"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</row>
        <row r="1004"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11747.6</v>
          </cell>
          <cell r="Q1004">
            <v>12547.6</v>
          </cell>
          <cell r="R1004">
            <v>12547.6</v>
          </cell>
          <cell r="S1004">
            <v>12547.6</v>
          </cell>
          <cell r="T1004">
            <v>9047.6</v>
          </cell>
          <cell r="U1004">
            <v>9047.6</v>
          </cell>
          <cell r="V1004">
            <v>9507.6</v>
          </cell>
        </row>
        <row r="1010">
          <cell r="O1010">
            <v>0</v>
          </cell>
          <cell r="P1010">
            <v>2016.304347826087</v>
          </cell>
          <cell r="Q1010">
            <v>2016.304347826087</v>
          </cell>
          <cell r="R1010">
            <v>2016.304347826087</v>
          </cell>
          <cell r="S1010">
            <v>2016.304347826087</v>
          </cell>
          <cell r="T1010">
            <v>2016.304347826087</v>
          </cell>
          <cell r="U1010">
            <v>2016.304347826087</v>
          </cell>
          <cell r="V1010">
            <v>2016.304347826087</v>
          </cell>
        </row>
        <row r="1011"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</row>
        <row r="1012"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</row>
        <row r="1013">
          <cell r="O1013">
            <v>0</v>
          </cell>
          <cell r="P1013">
            <v>0</v>
          </cell>
          <cell r="Q1013">
            <v>33.605072463768117</v>
          </cell>
          <cell r="R1013">
            <v>100.81521739130434</v>
          </cell>
          <cell r="S1013">
            <v>33.605072463768117</v>
          </cell>
          <cell r="T1013">
            <v>0</v>
          </cell>
          <cell r="U1013">
            <v>0</v>
          </cell>
          <cell r="V1013">
            <v>67.210144927536234</v>
          </cell>
        </row>
        <row r="1014"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</row>
        <row r="1015">
          <cell r="O1015">
            <v>0</v>
          </cell>
          <cell r="P1015">
            <v>562.61343478260869</v>
          </cell>
          <cell r="Q1015">
            <v>571.62967572463765</v>
          </cell>
          <cell r="R1015">
            <v>589.66215760869568</v>
          </cell>
          <cell r="S1015">
            <v>571.62967572463765</v>
          </cell>
          <cell r="T1015">
            <v>562.61343478260869</v>
          </cell>
          <cell r="U1015">
            <v>562.61343478260869</v>
          </cell>
          <cell r="V1015">
            <v>580.64591666666661</v>
          </cell>
        </row>
        <row r="1016">
          <cell r="O1016">
            <v>0</v>
          </cell>
          <cell r="P1016">
            <v>174.74637681159422</v>
          </cell>
          <cell r="Q1016">
            <v>177.54679951690821</v>
          </cell>
          <cell r="R1016">
            <v>183.14764492753625</v>
          </cell>
          <cell r="S1016">
            <v>177.54679951690821</v>
          </cell>
          <cell r="T1016">
            <v>174.74637681159422</v>
          </cell>
          <cell r="U1016">
            <v>174.74637681159422</v>
          </cell>
          <cell r="V1016">
            <v>180.3472222222222</v>
          </cell>
        </row>
        <row r="1017">
          <cell r="O1017">
            <v>0</v>
          </cell>
          <cell r="P1017">
            <v>26.211956521739133</v>
          </cell>
          <cell r="Q1017">
            <v>26.632019927536234</v>
          </cell>
          <cell r="R1017">
            <v>27.472146739130437</v>
          </cell>
          <cell r="S1017">
            <v>26.632019927536234</v>
          </cell>
          <cell r="T1017">
            <v>26.211956521739133</v>
          </cell>
          <cell r="U1017">
            <v>26.211956521739133</v>
          </cell>
          <cell r="V1017">
            <v>27.052083333333332</v>
          </cell>
        </row>
        <row r="1018"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</row>
        <row r="1019">
          <cell r="O1019">
            <v>0</v>
          </cell>
          <cell r="P1019">
            <v>80.652173913043484</v>
          </cell>
          <cell r="Q1019">
            <v>80.652173913043484</v>
          </cell>
          <cell r="R1019">
            <v>80.652173913043484</v>
          </cell>
          <cell r="S1019">
            <v>80.652173913043484</v>
          </cell>
          <cell r="T1019">
            <v>80.652173913043484</v>
          </cell>
          <cell r="U1019">
            <v>80.652173913043484</v>
          </cell>
          <cell r="V1019">
            <v>80.652173913043484</v>
          </cell>
        </row>
        <row r="1020"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</row>
        <row r="1021"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</row>
        <row r="1022"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</row>
        <row r="1023"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</row>
        <row r="1025"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</row>
        <row r="1028"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2860.5282898550722</v>
          </cell>
          <cell r="Q1028">
            <v>2906.3700893719806</v>
          </cell>
          <cell r="R1028">
            <v>2998.0536884057974</v>
          </cell>
          <cell r="S1028">
            <v>2906.3700893719806</v>
          </cell>
          <cell r="T1028">
            <v>2860.5282898550722</v>
          </cell>
          <cell r="U1028">
            <v>2860.5282898550722</v>
          </cell>
          <cell r="V1028">
            <v>2952.2118888888886</v>
          </cell>
        </row>
        <row r="1031"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2500</v>
          </cell>
          <cell r="Q1031">
            <v>2500</v>
          </cell>
          <cell r="R1031">
            <v>2500</v>
          </cell>
          <cell r="S1031">
            <v>2500</v>
          </cell>
          <cell r="T1031">
            <v>2500</v>
          </cell>
          <cell r="U1031">
            <v>2500</v>
          </cell>
          <cell r="V1031">
            <v>2500</v>
          </cell>
        </row>
        <row r="1032"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2000</v>
          </cell>
          <cell r="Q1036">
            <v>2000</v>
          </cell>
          <cell r="R1036">
            <v>2000</v>
          </cell>
          <cell r="S1036">
            <v>2000</v>
          </cell>
          <cell r="T1036">
            <v>2000</v>
          </cell>
          <cell r="U1036">
            <v>2000</v>
          </cell>
          <cell r="V1036">
            <v>2000</v>
          </cell>
        </row>
        <row r="1037"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500</v>
          </cell>
          <cell r="Q1038">
            <v>500</v>
          </cell>
          <cell r="R1038">
            <v>500</v>
          </cell>
          <cell r="S1038">
            <v>500</v>
          </cell>
          <cell r="T1038">
            <v>500</v>
          </cell>
          <cell r="U1038">
            <v>500</v>
          </cell>
          <cell r="V1038">
            <v>500</v>
          </cell>
        </row>
        <row r="1039"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500</v>
          </cell>
          <cell r="Q1040">
            <v>500</v>
          </cell>
          <cell r="R1040">
            <v>500</v>
          </cell>
          <cell r="S1040">
            <v>500</v>
          </cell>
          <cell r="T1040">
            <v>500</v>
          </cell>
          <cell r="U1040">
            <v>500</v>
          </cell>
          <cell r="V1040">
            <v>500</v>
          </cell>
        </row>
        <row r="1041"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</row>
        <row r="1042"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800</v>
          </cell>
          <cell r="Q1042">
            <v>800</v>
          </cell>
          <cell r="R1042">
            <v>800</v>
          </cell>
          <cell r="S1042">
            <v>800</v>
          </cell>
          <cell r="T1042">
            <v>800</v>
          </cell>
          <cell r="U1042">
            <v>800</v>
          </cell>
          <cell r="V1042">
            <v>800</v>
          </cell>
        </row>
        <row r="1043"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500</v>
          </cell>
          <cell r="Q1043">
            <v>500</v>
          </cell>
          <cell r="R1043">
            <v>500</v>
          </cell>
          <cell r="S1043">
            <v>500</v>
          </cell>
          <cell r="T1043">
            <v>500</v>
          </cell>
          <cell r="U1043">
            <v>500</v>
          </cell>
          <cell r="V1043">
            <v>500</v>
          </cell>
        </row>
        <row r="1044"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750</v>
          </cell>
          <cell r="Q1044">
            <v>750</v>
          </cell>
          <cell r="R1044">
            <v>750</v>
          </cell>
          <cell r="S1044">
            <v>750</v>
          </cell>
          <cell r="T1044">
            <v>750</v>
          </cell>
          <cell r="U1044">
            <v>750</v>
          </cell>
          <cell r="V1044">
            <v>750</v>
          </cell>
        </row>
        <row r="1045"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600</v>
          </cell>
          <cell r="Q1045">
            <v>600</v>
          </cell>
          <cell r="R1045">
            <v>1043.4782608695652</v>
          </cell>
          <cell r="S1045">
            <v>600</v>
          </cell>
          <cell r="T1045">
            <v>600</v>
          </cell>
          <cell r="U1045">
            <v>1043.4782608695652</v>
          </cell>
          <cell r="V1045">
            <v>600</v>
          </cell>
        </row>
        <row r="1046"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800</v>
          </cell>
          <cell r="Q1046">
            <v>800</v>
          </cell>
          <cell r="R1046">
            <v>800</v>
          </cell>
          <cell r="S1046">
            <v>800</v>
          </cell>
          <cell r="T1046">
            <v>800</v>
          </cell>
          <cell r="U1046">
            <v>800</v>
          </cell>
          <cell r="V1046">
            <v>800</v>
          </cell>
        </row>
        <row r="1047"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300</v>
          </cell>
          <cell r="Q1047">
            <v>300</v>
          </cell>
          <cell r="R1047">
            <v>300</v>
          </cell>
          <cell r="S1047">
            <v>300</v>
          </cell>
          <cell r="T1047">
            <v>300</v>
          </cell>
          <cell r="U1047">
            <v>300</v>
          </cell>
          <cell r="V1047">
            <v>300</v>
          </cell>
        </row>
        <row r="1048"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</row>
        <row r="1049"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500</v>
          </cell>
          <cell r="Q1049">
            <v>500</v>
          </cell>
          <cell r="R1049">
            <v>500</v>
          </cell>
          <cell r="S1049">
            <v>500</v>
          </cell>
          <cell r="T1049">
            <v>500</v>
          </cell>
          <cell r="U1049">
            <v>500</v>
          </cell>
          <cell r="V1049">
            <v>500</v>
          </cell>
        </row>
        <row r="1050"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300</v>
          </cell>
          <cell r="Q1050">
            <v>300</v>
          </cell>
          <cell r="R1050">
            <v>300</v>
          </cell>
          <cell r="S1050">
            <v>300</v>
          </cell>
          <cell r="T1050">
            <v>300</v>
          </cell>
          <cell r="U1050">
            <v>300</v>
          </cell>
          <cell r="V1050">
            <v>300</v>
          </cell>
        </row>
        <row r="1051"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</row>
        <row r="1052"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500</v>
          </cell>
          <cell r="Q1052">
            <v>500</v>
          </cell>
          <cell r="R1052">
            <v>500</v>
          </cell>
          <cell r="S1052">
            <v>500</v>
          </cell>
          <cell r="T1052">
            <v>500</v>
          </cell>
          <cell r="U1052">
            <v>500</v>
          </cell>
          <cell r="V1052">
            <v>500</v>
          </cell>
        </row>
        <row r="1053"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200</v>
          </cell>
          <cell r="Q1053">
            <v>300</v>
          </cell>
          <cell r="R1053">
            <v>300</v>
          </cell>
          <cell r="S1053">
            <v>300</v>
          </cell>
          <cell r="T1053">
            <v>300</v>
          </cell>
          <cell r="U1053">
            <v>300</v>
          </cell>
          <cell r="V1053">
            <v>300</v>
          </cell>
        </row>
        <row r="1054"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300</v>
          </cell>
          <cell r="Q1054">
            <v>300</v>
          </cell>
          <cell r="R1054">
            <v>300</v>
          </cell>
          <cell r="S1054">
            <v>300</v>
          </cell>
          <cell r="T1054">
            <v>300</v>
          </cell>
          <cell r="U1054">
            <v>300</v>
          </cell>
          <cell r="V1054">
            <v>300</v>
          </cell>
        </row>
        <row r="1055"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800</v>
          </cell>
          <cell r="Q1055">
            <v>800</v>
          </cell>
          <cell r="R1055">
            <v>800</v>
          </cell>
          <cell r="S1055">
            <v>800</v>
          </cell>
          <cell r="T1055">
            <v>800</v>
          </cell>
          <cell r="U1055">
            <v>800</v>
          </cell>
          <cell r="V1055">
            <v>800</v>
          </cell>
        </row>
        <row r="1056"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900</v>
          </cell>
          <cell r="U1056">
            <v>0</v>
          </cell>
          <cell r="V1056">
            <v>0</v>
          </cell>
        </row>
        <row r="1057"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</row>
        <row r="1058"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</row>
        <row r="1059"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</row>
        <row r="1060"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</row>
        <row r="1061"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250</v>
          </cell>
          <cell r="Q1061">
            <v>250</v>
          </cell>
          <cell r="R1061">
            <v>250</v>
          </cell>
          <cell r="S1061">
            <v>250</v>
          </cell>
          <cell r="T1061">
            <v>250</v>
          </cell>
          <cell r="U1061">
            <v>250</v>
          </cell>
          <cell r="V1061">
            <v>250</v>
          </cell>
        </row>
        <row r="1062"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</row>
        <row r="1064"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12100</v>
          </cell>
          <cell r="Q1064">
            <v>12200</v>
          </cell>
          <cell r="R1064">
            <v>12643.478260869566</v>
          </cell>
          <cell r="S1064">
            <v>12200</v>
          </cell>
          <cell r="T1064">
            <v>13100</v>
          </cell>
          <cell r="U1064">
            <v>12643.478260869566</v>
          </cell>
          <cell r="V1064">
            <v>12200</v>
          </cell>
        </row>
        <row r="1070"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</row>
        <row r="1071"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</row>
        <row r="1072"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</row>
        <row r="1073"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</row>
        <row r="1074"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</row>
        <row r="1075"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</row>
        <row r="1076"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</row>
        <row r="1077"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</row>
        <row r="1078"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</row>
        <row r="1080"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</row>
        <row r="1081"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</row>
        <row r="1082"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</row>
        <row r="1083"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</row>
        <row r="1084"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</row>
        <row r="1085"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</row>
        <row r="1089"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</row>
        <row r="1092">
          <cell r="P1092">
            <v>50</v>
          </cell>
          <cell r="Q1092">
            <v>50</v>
          </cell>
          <cell r="R1092">
            <v>50</v>
          </cell>
          <cell r="S1092">
            <v>50</v>
          </cell>
          <cell r="T1092">
            <v>50</v>
          </cell>
          <cell r="U1092">
            <v>50</v>
          </cell>
          <cell r="V1092">
            <v>50</v>
          </cell>
        </row>
        <row r="1100"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50</v>
          </cell>
          <cell r="Q1100">
            <v>50</v>
          </cell>
          <cell r="R1100">
            <v>50</v>
          </cell>
          <cell r="S1100">
            <v>50</v>
          </cell>
          <cell r="T1100">
            <v>50</v>
          </cell>
          <cell r="U1100">
            <v>50</v>
          </cell>
          <cell r="V1100">
            <v>50</v>
          </cell>
        </row>
        <row r="1108">
          <cell r="P1108">
            <v>150</v>
          </cell>
          <cell r="Q1108">
            <v>150</v>
          </cell>
          <cell r="R1108">
            <v>150</v>
          </cell>
          <cell r="S1108">
            <v>150</v>
          </cell>
          <cell r="T1108">
            <v>150</v>
          </cell>
          <cell r="U1108">
            <v>150</v>
          </cell>
          <cell r="V1108">
            <v>150</v>
          </cell>
        </row>
        <row r="1136"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150</v>
          </cell>
          <cell r="Q1136">
            <v>150</v>
          </cell>
          <cell r="R1136">
            <v>150</v>
          </cell>
          <cell r="S1136">
            <v>150</v>
          </cell>
          <cell r="T1136">
            <v>150</v>
          </cell>
          <cell r="U1136">
            <v>150</v>
          </cell>
          <cell r="V1136">
            <v>150</v>
          </cell>
        </row>
        <row r="1143">
          <cell r="P1143">
            <v>5062.1457391304348</v>
          </cell>
          <cell r="Q1143">
            <v>5062.1457391304348</v>
          </cell>
          <cell r="R1143">
            <v>5062.1457391304348</v>
          </cell>
          <cell r="S1143">
            <v>5062.1457391304348</v>
          </cell>
          <cell r="T1143">
            <v>5062.1457391304348</v>
          </cell>
          <cell r="U1143">
            <v>5062.1457391304348</v>
          </cell>
          <cell r="V1143">
            <v>5062.1457391304348</v>
          </cell>
        </row>
        <row r="1150">
          <cell r="P1150">
            <v>6000</v>
          </cell>
          <cell r="Q1150">
            <v>6000</v>
          </cell>
          <cell r="R1150">
            <v>6000</v>
          </cell>
          <cell r="S1150">
            <v>6000</v>
          </cell>
          <cell r="T1150">
            <v>6000</v>
          </cell>
          <cell r="U1150">
            <v>6000</v>
          </cell>
          <cell r="V1150">
            <v>6000</v>
          </cell>
        </row>
        <row r="1153"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11062.145739130436</v>
          </cell>
          <cell r="Q1153">
            <v>11062.145739130436</v>
          </cell>
          <cell r="R1153">
            <v>11062.145739130436</v>
          </cell>
          <cell r="S1153">
            <v>11062.145739130436</v>
          </cell>
          <cell r="T1153">
            <v>11062.145739130436</v>
          </cell>
          <cell r="U1153">
            <v>11062.145739130436</v>
          </cell>
          <cell r="V1153">
            <v>11062.145739130436</v>
          </cell>
        </row>
        <row r="1179"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204"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</row>
        <row r="1356">
          <cell r="P1356">
            <v>1600</v>
          </cell>
          <cell r="Q1356">
            <v>1600</v>
          </cell>
          <cell r="R1356">
            <v>1600</v>
          </cell>
          <cell r="S1356">
            <v>1600</v>
          </cell>
          <cell r="T1356">
            <v>1600</v>
          </cell>
          <cell r="U1356">
            <v>1600</v>
          </cell>
          <cell r="V1356">
            <v>1600</v>
          </cell>
        </row>
        <row r="1359"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1600</v>
          </cell>
          <cell r="Q1359">
            <v>1600</v>
          </cell>
          <cell r="R1359">
            <v>1600</v>
          </cell>
          <cell r="S1359">
            <v>1600</v>
          </cell>
          <cell r="T1359">
            <v>1600</v>
          </cell>
          <cell r="U1359">
            <v>1600</v>
          </cell>
          <cell r="V1359">
            <v>1600</v>
          </cell>
        </row>
        <row r="1364"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4000</v>
          </cell>
          <cell r="Q1364">
            <v>8000</v>
          </cell>
          <cell r="R1364">
            <v>8000</v>
          </cell>
          <cell r="S1364">
            <v>8000</v>
          </cell>
          <cell r="T1364">
            <v>8000</v>
          </cell>
          <cell r="U1364">
            <v>8000</v>
          </cell>
          <cell r="V1364">
            <v>8000</v>
          </cell>
        </row>
        <row r="1368"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4000</v>
          </cell>
          <cell r="Q1368">
            <v>8000</v>
          </cell>
          <cell r="R1368">
            <v>8000</v>
          </cell>
          <cell r="S1368">
            <v>8000</v>
          </cell>
          <cell r="T1368">
            <v>8000</v>
          </cell>
          <cell r="U1368">
            <v>8000</v>
          </cell>
          <cell r="V1368">
            <v>8000</v>
          </cell>
        </row>
        <row r="1371">
          <cell r="P1371">
            <v>238.59382246376811</v>
          </cell>
          <cell r="Q1371">
            <v>238.59382246376811</v>
          </cell>
          <cell r="R1371">
            <v>238.59382246376811</v>
          </cell>
          <cell r="S1371">
            <v>238.59382246376811</v>
          </cell>
          <cell r="T1371">
            <v>238.59382246376811</v>
          </cell>
          <cell r="U1371">
            <v>238.59382246376811</v>
          </cell>
          <cell r="V1371">
            <v>238.59382246376811</v>
          </cell>
        </row>
        <row r="1378"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238.59382246376811</v>
          </cell>
          <cell r="Q1378">
            <v>238.59382246376811</v>
          </cell>
          <cell r="R1378">
            <v>238.59382246376811</v>
          </cell>
          <cell r="S1378">
            <v>238.59382246376811</v>
          </cell>
          <cell r="T1378">
            <v>238.59382246376811</v>
          </cell>
          <cell r="U1378">
            <v>238.59382246376811</v>
          </cell>
          <cell r="V1378">
            <v>238.59382246376811</v>
          </cell>
        </row>
        <row r="1384"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</row>
        <row r="1392"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9"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3"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O1404">
            <v>0</v>
          </cell>
          <cell r="P1404">
            <v>5000</v>
          </cell>
          <cell r="Q1404">
            <v>5000</v>
          </cell>
          <cell r="R1404">
            <v>5000</v>
          </cell>
          <cell r="S1404">
            <v>5000</v>
          </cell>
          <cell r="T1404">
            <v>5000</v>
          </cell>
          <cell r="U1404">
            <v>5000</v>
          </cell>
          <cell r="V1404">
            <v>5000</v>
          </cell>
        </row>
        <row r="1406"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5000</v>
          </cell>
          <cell r="Q1406">
            <v>5000</v>
          </cell>
          <cell r="R1406">
            <v>5000</v>
          </cell>
          <cell r="S1406">
            <v>5000</v>
          </cell>
          <cell r="T1406">
            <v>5000</v>
          </cell>
          <cell r="U1406">
            <v>5000</v>
          </cell>
          <cell r="V1406">
            <v>5000</v>
          </cell>
        </row>
        <row r="1422"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</row>
        <row r="1429"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</row>
        <row r="1434"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Sales &amp; Reservations"/>
      <sheetName val="Assumptions"/>
      <sheetName val="Summary (rev03-26)"/>
      <sheetName val="Capex Budget 2024"/>
      <sheetName val="Summary"/>
      <sheetName val="Side by Side 2023-2024"/>
      <sheetName val="Sales.24"/>
      <sheetName val="2023-2024 Rec &amp; Assump."/>
      <sheetName val="Reserv.24"/>
      <sheetName val="SK OTB.BUD.FCST"/>
      <sheetName val="Cash Needs 2024"/>
      <sheetName val="Cost of Food"/>
      <sheetName val="SK Daily Forecast"/>
      <sheetName val="Rooms"/>
      <sheetName val="Act &amp; Innoce, SPA"/>
      <sheetName val="Rental Cars"/>
      <sheetName val="F&amp;B"/>
      <sheetName val="Minor Dept (incl Retail)"/>
      <sheetName val="Misc + Rent Income"/>
      <sheetName val="Crowther"/>
      <sheetName val="Rooms Labor Standard"/>
      <sheetName val="Labor"/>
      <sheetName val="Labor Records"/>
      <sheetName val="A&amp;G"/>
      <sheetName val="People Services (incl A&amp;G)"/>
      <sheetName val="Ops &amp; Maintenance"/>
      <sheetName val="Info Telecom"/>
      <sheetName val="S&amp;M"/>
      <sheetName val="Utilities"/>
      <sheetName val="Mgmt.Royalty+Non-Op+ITDA"/>
      <sheetName val="Aproach 2025"/>
      <sheetName val="Rates 2025"/>
      <sheetName val="Occupancy 2023_2024_2025"/>
      <sheetName val="Data"/>
      <sheetName val="CrossfireHiddenWorksheet"/>
      <sheetName val="OfficeConnectCellHighlights"/>
      <sheetName val="AssumptionsSavings"/>
      <sheetName val="RATES CWL 2023-202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NOTAS ACLARATORIAS"/>
      <sheetName val="BALANCE DE COMPROBACION"/>
      <sheetName val="BALANCE DICIEMBRE 2023"/>
      <sheetName val="Hoja1"/>
      <sheetName val="Balance de situacion Activos"/>
      <sheetName val="balance de situacion pasivos"/>
      <sheetName val="CAMBIOS EN EL PATRIMONIO"/>
      <sheetName val="Estado Resultado"/>
      <sheetName val="FLUJO DE EFECTIVO"/>
      <sheetName val="BORRADOR DE FLUJO"/>
      <sheetName val="Hoja2"/>
      <sheetName val="BALANCE CORRIGO"/>
      <sheetName val="MAPPING"/>
      <sheetName val="BALANCE AGOSTO p&amp;l"/>
    </sheetNames>
    <sheetDataSet>
      <sheetData sheetId="0" refreshError="1"/>
      <sheetData sheetId="1" refreshError="1"/>
      <sheetData sheetId="2">
        <row r="4">
          <cell r="B4" t="str">
            <v>100000000000</v>
          </cell>
        </row>
        <row r="5">
          <cell r="B5" t="str">
            <v>100001000000</v>
          </cell>
        </row>
        <row r="6">
          <cell r="B6" t="str">
            <v>100001002000</v>
          </cell>
        </row>
        <row r="7">
          <cell r="B7" t="str">
            <v>100001006000</v>
          </cell>
        </row>
        <row r="8">
          <cell r="B8" t="str">
            <v>100001010000</v>
          </cell>
        </row>
        <row r="9">
          <cell r="B9" t="str">
            <v>100001010001</v>
          </cell>
        </row>
        <row r="10">
          <cell r="B10" t="str">
            <v>100001010002</v>
          </cell>
        </row>
        <row r="11">
          <cell r="B11" t="str">
            <v>100001012000</v>
          </cell>
        </row>
        <row r="12">
          <cell r="B12" t="str">
            <v>100001012001</v>
          </cell>
        </row>
        <row r="13">
          <cell r="B13" t="str">
            <v>100001012002</v>
          </cell>
        </row>
        <row r="14">
          <cell r="B14" t="str">
            <v>100001013000</v>
          </cell>
        </row>
        <row r="15">
          <cell r="B15" t="str">
            <v>100002000000</v>
          </cell>
        </row>
        <row r="16">
          <cell r="B16" t="str">
            <v>100002001000</v>
          </cell>
        </row>
        <row r="17">
          <cell r="B17" t="str">
            <v>100002002000</v>
          </cell>
        </row>
        <row r="18">
          <cell r="B18" t="str">
            <v>100002008000</v>
          </cell>
        </row>
        <row r="19">
          <cell r="B19" t="str">
            <v>100002009000</v>
          </cell>
        </row>
        <row r="20">
          <cell r="B20" t="str">
            <v>100002011000</v>
          </cell>
        </row>
        <row r="21">
          <cell r="B21" t="str">
            <v>100002012000</v>
          </cell>
        </row>
        <row r="22">
          <cell r="B22" t="str">
            <v>100002013000</v>
          </cell>
        </row>
        <row r="23">
          <cell r="B23" t="str">
            <v>100002020000</v>
          </cell>
        </row>
        <row r="24">
          <cell r="B24" t="str">
            <v>100003000000</v>
          </cell>
        </row>
        <row r="25">
          <cell r="B25" t="str">
            <v>100003001000</v>
          </cell>
        </row>
        <row r="26">
          <cell r="B26" t="str">
            <v>100003001001</v>
          </cell>
        </row>
        <row r="27">
          <cell r="B27" t="str">
            <v>100003001002</v>
          </cell>
        </row>
        <row r="28">
          <cell r="B28" t="str">
            <v>100003004000</v>
          </cell>
        </row>
        <row r="29">
          <cell r="B29" t="str">
            <v>100003004001</v>
          </cell>
        </row>
        <row r="30">
          <cell r="B30" t="str">
            <v>100003004002</v>
          </cell>
        </row>
        <row r="31">
          <cell r="B31" t="str">
            <v>100004000000</v>
          </cell>
        </row>
        <row r="32">
          <cell r="B32" t="str">
            <v>100004001000</v>
          </cell>
        </row>
        <row r="33">
          <cell r="B33" t="str">
            <v>100004002000</v>
          </cell>
        </row>
        <row r="34">
          <cell r="B34" t="str">
            <v>100004003000</v>
          </cell>
        </row>
        <row r="35">
          <cell r="B35" t="str">
            <v>100004005000</v>
          </cell>
        </row>
        <row r="36">
          <cell r="B36" t="str">
            <v>100004006000</v>
          </cell>
        </row>
        <row r="37">
          <cell r="B37" t="str">
            <v>100004006001</v>
          </cell>
        </row>
        <row r="38">
          <cell r="B38" t="str">
            <v>100004007000</v>
          </cell>
        </row>
        <row r="39">
          <cell r="B39" t="str">
            <v>100004009000</v>
          </cell>
        </row>
        <row r="40">
          <cell r="B40" t="str">
            <v>100004012000</v>
          </cell>
        </row>
        <row r="41">
          <cell r="B41" t="str">
            <v>100004013000</v>
          </cell>
        </row>
        <row r="42">
          <cell r="B42" t="str">
            <v>100004014000</v>
          </cell>
        </row>
        <row r="43">
          <cell r="B43" t="str">
            <v>100400001000</v>
          </cell>
        </row>
        <row r="44">
          <cell r="B44" t="str">
            <v>102000000000</v>
          </cell>
        </row>
        <row r="45">
          <cell r="B45" t="str">
            <v>102001000000</v>
          </cell>
        </row>
        <row r="46">
          <cell r="B46" t="str">
            <v>102002000000</v>
          </cell>
        </row>
        <row r="47">
          <cell r="B47" t="str">
            <v>102004000000</v>
          </cell>
        </row>
        <row r="48">
          <cell r="B48" t="str">
            <v>102004004000</v>
          </cell>
        </row>
        <row r="49">
          <cell r="B49" t="str">
            <v>102004005000</v>
          </cell>
        </row>
        <row r="50">
          <cell r="B50" t="str">
            <v>102004005001</v>
          </cell>
        </row>
        <row r="51">
          <cell r="B51" t="str">
            <v>102004005003</v>
          </cell>
        </row>
        <row r="52">
          <cell r="B52" t="str">
            <v>102004005011</v>
          </cell>
        </row>
        <row r="53">
          <cell r="B53" t="str">
            <v>102004005015</v>
          </cell>
        </row>
        <row r="54">
          <cell r="B54" t="str">
            <v>102004005016</v>
          </cell>
        </row>
        <row r="55">
          <cell r="B55" t="str">
            <v>102004005018</v>
          </cell>
        </row>
        <row r="56">
          <cell r="B56" t="str">
            <v>102004006000</v>
          </cell>
        </row>
        <row r="57">
          <cell r="B57" t="str">
            <v>102005000000</v>
          </cell>
        </row>
        <row r="58">
          <cell r="B58" t="str">
            <v>106000000000</v>
          </cell>
        </row>
        <row r="59">
          <cell r="B59" t="str">
            <v>106001000000</v>
          </cell>
        </row>
        <row r="60">
          <cell r="B60" t="str">
            <v>106011000000</v>
          </cell>
        </row>
        <row r="61">
          <cell r="B61" t="str">
            <v>106012000000</v>
          </cell>
        </row>
        <row r="62">
          <cell r="B62" t="str">
            <v>107000000000</v>
          </cell>
        </row>
        <row r="63">
          <cell r="B63" t="str">
            <v>107001000000</v>
          </cell>
        </row>
        <row r="64">
          <cell r="B64" t="str">
            <v>107001001000</v>
          </cell>
        </row>
        <row r="65">
          <cell r="B65" t="str">
            <v>107002000000</v>
          </cell>
        </row>
        <row r="66">
          <cell r="B66" t="str">
            <v>107002001000</v>
          </cell>
        </row>
        <row r="67">
          <cell r="B67" t="str">
            <v>107003000000</v>
          </cell>
        </row>
        <row r="68">
          <cell r="B68" t="str">
            <v>107003001000</v>
          </cell>
        </row>
        <row r="69">
          <cell r="B69" t="str">
            <v>107005000000</v>
          </cell>
        </row>
        <row r="70">
          <cell r="B70" t="str">
            <v>107005001000</v>
          </cell>
        </row>
        <row r="71">
          <cell r="B71" t="str">
            <v>125000000000</v>
          </cell>
        </row>
        <row r="72">
          <cell r="B72" t="str">
            <v>125001000000</v>
          </cell>
        </row>
        <row r="73">
          <cell r="B73" t="str">
            <v>125001001000</v>
          </cell>
        </row>
        <row r="74">
          <cell r="B74" t="str">
            <v>125001001004</v>
          </cell>
        </row>
        <row r="75">
          <cell r="B75" t="str">
            <v>125001001005</v>
          </cell>
        </row>
        <row r="76">
          <cell r="B76" t="str">
            <v>125001001006</v>
          </cell>
        </row>
        <row r="77">
          <cell r="B77" t="str">
            <v>125001001007</v>
          </cell>
        </row>
        <row r="78">
          <cell r="B78" t="str">
            <v>125001001008</v>
          </cell>
        </row>
        <row r="79">
          <cell r="B79" t="str">
            <v>125001001009</v>
          </cell>
        </row>
        <row r="80">
          <cell r="B80" t="str">
            <v>125001001010</v>
          </cell>
        </row>
        <row r="81">
          <cell r="B81" t="str">
            <v>125001001011</v>
          </cell>
        </row>
        <row r="82">
          <cell r="B82" t="str">
            <v>125001001012</v>
          </cell>
        </row>
        <row r="83">
          <cell r="B83" t="str">
            <v>125001001013</v>
          </cell>
        </row>
        <row r="84">
          <cell r="B84" t="str">
            <v>125001001014</v>
          </cell>
        </row>
        <row r="85">
          <cell r="B85" t="str">
            <v>125001001015</v>
          </cell>
        </row>
        <row r="86">
          <cell r="B86" t="str">
            <v>125001001016</v>
          </cell>
        </row>
        <row r="87">
          <cell r="B87" t="str">
            <v>125001002000</v>
          </cell>
        </row>
        <row r="88">
          <cell r="B88" t="str">
            <v>125001002001</v>
          </cell>
        </row>
        <row r="89">
          <cell r="B89" t="str">
            <v>125001002002</v>
          </cell>
        </row>
        <row r="90">
          <cell r="B90" t="str">
            <v>125001002003</v>
          </cell>
        </row>
        <row r="91">
          <cell r="B91" t="str">
            <v>125001002012</v>
          </cell>
        </row>
        <row r="92">
          <cell r="B92" t="str">
            <v>125001002020</v>
          </cell>
        </row>
        <row r="93">
          <cell r="B93" t="str">
            <v>125001003000</v>
          </cell>
        </row>
        <row r="94">
          <cell r="B94" t="str">
            <v>125001004000</v>
          </cell>
        </row>
        <row r="95">
          <cell r="B95" t="str">
            <v>125001005000</v>
          </cell>
        </row>
        <row r="96">
          <cell r="B96" t="str">
            <v>125001012000</v>
          </cell>
        </row>
        <row r="97">
          <cell r="B97" t="str">
            <v>125001014000</v>
          </cell>
        </row>
        <row r="98">
          <cell r="B98" t="str">
            <v>125001014001</v>
          </cell>
        </row>
        <row r="99">
          <cell r="B99" t="str">
            <v>125001014002</v>
          </cell>
        </row>
        <row r="100">
          <cell r="B100" t="str">
            <v>125001015000</v>
          </cell>
        </row>
        <row r="101">
          <cell r="B101" t="str">
            <v>126000000000</v>
          </cell>
        </row>
        <row r="102">
          <cell r="B102" t="str">
            <v>126001000000</v>
          </cell>
        </row>
        <row r="103">
          <cell r="B103" t="str">
            <v>126001001000</v>
          </cell>
        </row>
        <row r="104">
          <cell r="B104" t="str">
            <v>126001008000</v>
          </cell>
        </row>
        <row r="105">
          <cell r="B105" t="str">
            <v>126002000000</v>
          </cell>
        </row>
        <row r="106">
          <cell r="B106" t="str">
            <v>126002001000</v>
          </cell>
        </row>
        <row r="107">
          <cell r="B107" t="str">
            <v>126004000000</v>
          </cell>
        </row>
        <row r="108">
          <cell r="B108" t="str">
            <v>126005000000</v>
          </cell>
        </row>
        <row r="109">
          <cell r="B109" t="str">
            <v>126005000001</v>
          </cell>
        </row>
        <row r="110">
          <cell r="B110" t="str">
            <v>126005000002</v>
          </cell>
        </row>
        <row r="111">
          <cell r="B111" t="str">
            <v>126006000000</v>
          </cell>
        </row>
        <row r="112">
          <cell r="B112" t="str">
            <v>127000000000</v>
          </cell>
        </row>
        <row r="113">
          <cell r="B113" t="str">
            <v>127001000000</v>
          </cell>
        </row>
        <row r="114">
          <cell r="B114" t="str">
            <v>127002000000</v>
          </cell>
        </row>
        <row r="115">
          <cell r="B115" t="str">
            <v>127004000000</v>
          </cell>
        </row>
        <row r="116">
          <cell r="B116" t="str">
            <v>127006000000</v>
          </cell>
        </row>
        <row r="117">
          <cell r="B117" t="str">
            <v>140000000000</v>
          </cell>
        </row>
        <row r="118">
          <cell r="B118" t="str">
            <v>140001000000</v>
          </cell>
        </row>
        <row r="119">
          <cell r="B119" t="str">
            <v>140001001000</v>
          </cell>
        </row>
        <row r="120">
          <cell r="B120" t="str">
            <v>140006000000</v>
          </cell>
        </row>
        <row r="121">
          <cell r="B121" t="str">
            <v>150000000000</v>
          </cell>
        </row>
        <row r="122">
          <cell r="B122" t="str">
            <v>150001000000</v>
          </cell>
        </row>
        <row r="123">
          <cell r="B123" t="str">
            <v>150001001000</v>
          </cell>
        </row>
        <row r="124">
          <cell r="B124" t="str">
            <v>150001002000</v>
          </cell>
        </row>
        <row r="125">
          <cell r="B125" t="str">
            <v>150001003000</v>
          </cell>
        </row>
        <row r="126">
          <cell r="B126" t="str">
            <v>150001004000</v>
          </cell>
        </row>
        <row r="127">
          <cell r="B127" t="str">
            <v>150001008000</v>
          </cell>
        </row>
        <row r="128">
          <cell r="B128" t="str">
            <v>150006000000</v>
          </cell>
        </row>
        <row r="129">
          <cell r="B129" t="str">
            <v>150008000000</v>
          </cell>
        </row>
        <row r="130">
          <cell r="B130" t="str">
            <v>150010000000</v>
          </cell>
        </row>
        <row r="131">
          <cell r="B131" t="str">
            <v>150010010000</v>
          </cell>
        </row>
        <row r="132">
          <cell r="B132" t="str">
            <v>150010030000</v>
          </cell>
        </row>
        <row r="133">
          <cell r="B133" t="str">
            <v>157000000000</v>
          </cell>
        </row>
        <row r="134">
          <cell r="B134" t="str">
            <v>158000000000</v>
          </cell>
        </row>
        <row r="135">
          <cell r="B135" t="str">
            <v>155000000000</v>
          </cell>
        </row>
        <row r="136">
          <cell r="B136" t="str">
            <v>156000000000</v>
          </cell>
        </row>
        <row r="137">
          <cell r="B137" t="str">
            <v>160000000000</v>
          </cell>
        </row>
        <row r="138">
          <cell r="B138" t="str">
            <v>160001000000</v>
          </cell>
        </row>
        <row r="139">
          <cell r="B139" t="str">
            <v>160002000000</v>
          </cell>
        </row>
        <row r="140">
          <cell r="B140" t="str">
            <v>160016000000</v>
          </cell>
        </row>
        <row r="141">
          <cell r="B141" t="str">
            <v>160017000000</v>
          </cell>
        </row>
        <row r="142">
          <cell r="B142" t="str">
            <v>165000000000</v>
          </cell>
        </row>
        <row r="143">
          <cell r="B143" t="str">
            <v>200000000000</v>
          </cell>
        </row>
        <row r="144">
          <cell r="B144" t="str">
            <v>201000000000</v>
          </cell>
        </row>
        <row r="145">
          <cell r="B145" t="str">
            <v>201004000000</v>
          </cell>
        </row>
        <row r="146">
          <cell r="B146" t="str">
            <v>201004003000</v>
          </cell>
        </row>
        <row r="147">
          <cell r="B147" t="str">
            <v>201005000000</v>
          </cell>
        </row>
        <row r="148">
          <cell r="B148" t="str">
            <v>201007000000</v>
          </cell>
        </row>
        <row r="149">
          <cell r="B149" t="str">
            <v>201007000001</v>
          </cell>
        </row>
        <row r="150">
          <cell r="B150" t="str">
            <v>201007000008</v>
          </cell>
        </row>
        <row r="151">
          <cell r="B151" t="str">
            <v>201013000000</v>
          </cell>
        </row>
        <row r="152">
          <cell r="B152" t="str">
            <v>201013001000</v>
          </cell>
        </row>
        <row r="153">
          <cell r="B153" t="str">
            <v>201013001006</v>
          </cell>
        </row>
        <row r="154">
          <cell r="B154" t="str">
            <v>201013001019</v>
          </cell>
        </row>
        <row r="155">
          <cell r="B155" t="str">
            <v>201013001020</v>
          </cell>
        </row>
        <row r="156">
          <cell r="B156" t="str">
            <v>201013011000</v>
          </cell>
        </row>
        <row r="157">
          <cell r="B157" t="str">
            <v>201013015000</v>
          </cell>
        </row>
        <row r="158">
          <cell r="B158" t="str">
            <v>201015000000</v>
          </cell>
        </row>
        <row r="159">
          <cell r="B159" t="str">
            <v>201016000000</v>
          </cell>
        </row>
        <row r="160">
          <cell r="B160" t="str">
            <v>201023000000</v>
          </cell>
        </row>
        <row r="161">
          <cell r="B161" t="str">
            <v>202000000000</v>
          </cell>
        </row>
        <row r="162">
          <cell r="B162" t="str">
            <v>205000000000</v>
          </cell>
        </row>
        <row r="163">
          <cell r="B163" t="str">
            <v>205001000000</v>
          </cell>
        </row>
        <row r="164">
          <cell r="B164" t="str">
            <v>205001001000</v>
          </cell>
        </row>
        <row r="165">
          <cell r="B165" t="str">
            <v>205001002000</v>
          </cell>
        </row>
        <row r="166">
          <cell r="B166" t="str">
            <v>205001003000</v>
          </cell>
        </row>
        <row r="167">
          <cell r="B167" t="str">
            <v>205002000000</v>
          </cell>
        </row>
        <row r="168">
          <cell r="B168" t="str">
            <v>205002001000</v>
          </cell>
        </row>
        <row r="169">
          <cell r="B169" t="str">
            <v>205002002000</v>
          </cell>
        </row>
        <row r="170">
          <cell r="B170" t="str">
            <v>205002003000</v>
          </cell>
        </row>
        <row r="171">
          <cell r="B171" t="str">
            <v>205003000000</v>
          </cell>
        </row>
        <row r="172">
          <cell r="B172" t="str">
            <v>205004000000</v>
          </cell>
        </row>
        <row r="173">
          <cell r="B173" t="str">
            <v>205007000000</v>
          </cell>
        </row>
        <row r="174">
          <cell r="B174" t="str">
            <v>205008000000</v>
          </cell>
        </row>
        <row r="175">
          <cell r="B175" t="str">
            <v>205009000000</v>
          </cell>
        </row>
        <row r="176">
          <cell r="B176" t="str">
            <v>210000000000</v>
          </cell>
        </row>
        <row r="177">
          <cell r="B177" t="str">
            <v>210001000000</v>
          </cell>
        </row>
        <row r="178">
          <cell r="B178" t="str">
            <v>210001000001</v>
          </cell>
        </row>
        <row r="179">
          <cell r="B179" t="str">
            <v>210003000000</v>
          </cell>
        </row>
        <row r="180">
          <cell r="B180" t="str">
            <v>210004000000</v>
          </cell>
        </row>
        <row r="181">
          <cell r="B181" t="str">
            <v>210006000000</v>
          </cell>
        </row>
        <row r="182">
          <cell r="B182" t="str">
            <v>225000000000</v>
          </cell>
        </row>
        <row r="183">
          <cell r="B183" t="str">
            <v>225007000000</v>
          </cell>
        </row>
        <row r="184">
          <cell r="B184" t="str">
            <v>225008000000</v>
          </cell>
        </row>
        <row r="185">
          <cell r="B185" t="str">
            <v>225009000000</v>
          </cell>
        </row>
        <row r="186">
          <cell r="B186" t="str">
            <v>225010000000</v>
          </cell>
        </row>
        <row r="187">
          <cell r="B187" t="str">
            <v>226000000000</v>
          </cell>
        </row>
        <row r="188">
          <cell r="B188" t="str">
            <v>226001000000</v>
          </cell>
        </row>
        <row r="189">
          <cell r="B189" t="str">
            <v>226002000000</v>
          </cell>
        </row>
        <row r="190">
          <cell r="B190" t="str">
            <v>226004000000</v>
          </cell>
        </row>
        <row r="191">
          <cell r="B191" t="str">
            <v>230000000000</v>
          </cell>
        </row>
        <row r="192">
          <cell r="B192" t="str">
            <v>230001000000</v>
          </cell>
        </row>
        <row r="193">
          <cell r="B193" t="str">
            <v>230003000000</v>
          </cell>
        </row>
        <row r="194">
          <cell r="B194" t="str">
            <v>230006000000</v>
          </cell>
        </row>
        <row r="195">
          <cell r="B195" t="str">
            <v>230010000000</v>
          </cell>
        </row>
        <row r="196">
          <cell r="B196" t="str">
            <v>230013000000</v>
          </cell>
        </row>
        <row r="197">
          <cell r="B197" t="str">
            <v>230014000000</v>
          </cell>
        </row>
        <row r="198">
          <cell r="B198" t="str">
            <v>230015000000</v>
          </cell>
        </row>
        <row r="199">
          <cell r="B199" t="str">
            <v>230016000000</v>
          </cell>
        </row>
        <row r="200">
          <cell r="B200" t="str">
            <v>230017000000</v>
          </cell>
        </row>
        <row r="201">
          <cell r="B201" t="str">
            <v>230018000000</v>
          </cell>
        </row>
        <row r="202">
          <cell r="B202" t="str">
            <v>301000000000</v>
          </cell>
        </row>
        <row r="203">
          <cell r="B203" t="str">
            <v>302000000000</v>
          </cell>
        </row>
        <row r="204">
          <cell r="B204" t="str">
            <v>310000000000</v>
          </cell>
        </row>
        <row r="205">
          <cell r="B205" t="str">
            <v>315000000000</v>
          </cell>
        </row>
        <row r="206">
          <cell r="B206" t="str">
            <v>315001000000</v>
          </cell>
        </row>
        <row r="207">
          <cell r="B207" t="str">
            <v>315002000000</v>
          </cell>
        </row>
        <row r="208">
          <cell r="B208" t="str">
            <v>315005000000</v>
          </cell>
        </row>
        <row r="209">
          <cell r="B209" t="str">
            <v>315006000000</v>
          </cell>
        </row>
        <row r="210">
          <cell r="B210" t="str">
            <v>315008000000</v>
          </cell>
        </row>
        <row r="211">
          <cell r="B211" t="str">
            <v>315009000000</v>
          </cell>
        </row>
        <row r="212">
          <cell r="B212" t="str">
            <v>315010000000</v>
          </cell>
        </row>
        <row r="213">
          <cell r="B213" t="str">
            <v>315011000000</v>
          </cell>
        </row>
        <row r="214">
          <cell r="B214" t="str">
            <v>315012000000</v>
          </cell>
        </row>
        <row r="215">
          <cell r="B215" t="str">
            <v>315013000000</v>
          </cell>
        </row>
        <row r="216">
          <cell r="B216" t="str">
            <v>315014000000</v>
          </cell>
        </row>
        <row r="217">
          <cell r="B217" t="str">
            <v>315015000000</v>
          </cell>
        </row>
        <row r="218">
          <cell r="B218" t="str">
            <v>315016000000</v>
          </cell>
        </row>
        <row r="219">
          <cell r="B219" t="str">
            <v>315017000000</v>
          </cell>
        </row>
        <row r="220">
          <cell r="B220" t="str">
            <v>315018000000</v>
          </cell>
        </row>
        <row r="221">
          <cell r="B221" t="str">
            <v>400000000000</v>
          </cell>
        </row>
        <row r="222">
          <cell r="B222" t="str">
            <v>400001000000</v>
          </cell>
        </row>
        <row r="223">
          <cell r="B223" t="str">
            <v>400001000001</v>
          </cell>
        </row>
        <row r="224">
          <cell r="B224" t="str">
            <v>400001000002</v>
          </cell>
        </row>
        <row r="225">
          <cell r="B225" t="str">
            <v>400002000000</v>
          </cell>
        </row>
        <row r="226">
          <cell r="B226" t="str">
            <v>400002001000</v>
          </cell>
        </row>
        <row r="227">
          <cell r="B227" t="str">
            <v>400003000000</v>
          </cell>
        </row>
        <row r="228">
          <cell r="B228" t="str">
            <v>400004000000</v>
          </cell>
        </row>
        <row r="229">
          <cell r="B229" t="str">
            <v>400004001000</v>
          </cell>
        </row>
        <row r="230">
          <cell r="B230" t="str">
            <v>400005000000</v>
          </cell>
        </row>
        <row r="231">
          <cell r="B231" t="str">
            <v>400005001000</v>
          </cell>
        </row>
        <row r="232">
          <cell r="B232" t="str">
            <v>400005002000</v>
          </cell>
        </row>
        <row r="233">
          <cell r="B233" t="str">
            <v>400005003000</v>
          </cell>
        </row>
        <row r="234">
          <cell r="B234" t="str">
            <v>400006000000</v>
          </cell>
        </row>
        <row r="235">
          <cell r="B235" t="str">
            <v>400006001000</v>
          </cell>
        </row>
        <row r="236">
          <cell r="B236" t="str">
            <v>400006002000</v>
          </cell>
        </row>
        <row r="237">
          <cell r="B237" t="str">
            <v>400006002001</v>
          </cell>
        </row>
        <row r="238">
          <cell r="B238" t="str">
            <v>400007000000</v>
          </cell>
        </row>
        <row r="239">
          <cell r="B239" t="str">
            <v>400007001000</v>
          </cell>
        </row>
        <row r="240">
          <cell r="B240" t="str">
            <v>400007002000</v>
          </cell>
        </row>
        <row r="241">
          <cell r="B241" t="str">
            <v>400007002001</v>
          </cell>
        </row>
        <row r="242">
          <cell r="B242" t="str">
            <v>400008000000</v>
          </cell>
        </row>
        <row r="243">
          <cell r="B243" t="str">
            <v>400008001000</v>
          </cell>
        </row>
        <row r="244">
          <cell r="B244" t="str">
            <v>400008002000</v>
          </cell>
        </row>
        <row r="245">
          <cell r="B245" t="str">
            <v>400008002001</v>
          </cell>
        </row>
        <row r="246">
          <cell r="B246" t="str">
            <v>400008003000</v>
          </cell>
        </row>
        <row r="247">
          <cell r="B247" t="str">
            <v>400008003001</v>
          </cell>
        </row>
        <row r="248">
          <cell r="B248" t="str">
            <v>400009000000</v>
          </cell>
        </row>
        <row r="249">
          <cell r="B249" t="str">
            <v>400009001000</v>
          </cell>
        </row>
        <row r="250">
          <cell r="B250" t="str">
            <v>400009002000</v>
          </cell>
        </row>
        <row r="251">
          <cell r="B251" t="str">
            <v>400009003000</v>
          </cell>
        </row>
        <row r="252">
          <cell r="B252" t="str">
            <v>400010000000</v>
          </cell>
        </row>
        <row r="253">
          <cell r="B253" t="str">
            <v>400010003000</v>
          </cell>
        </row>
        <row r="254">
          <cell r="B254" t="str">
            <v>400010004000</v>
          </cell>
        </row>
        <row r="256">
          <cell r="B256" t="str">
            <v>400011000000</v>
          </cell>
        </row>
        <row r="257">
          <cell r="B257" t="str">
            <v>400011001000</v>
          </cell>
        </row>
        <row r="258">
          <cell r="B258" t="str">
            <v>400011002000</v>
          </cell>
        </row>
        <row r="259">
          <cell r="B259" t="str">
            <v>400011003000</v>
          </cell>
        </row>
        <row r="260">
          <cell r="B260" t="str">
            <v>411000000000</v>
          </cell>
        </row>
        <row r="261">
          <cell r="B261" t="str">
            <v>411001000000</v>
          </cell>
        </row>
        <row r="262">
          <cell r="B262" t="str">
            <v>412000000000</v>
          </cell>
        </row>
        <row r="263">
          <cell r="B263" t="str">
            <v>413001000000</v>
          </cell>
        </row>
        <row r="264">
          <cell r="B264" t="str">
            <v>412019000000</v>
          </cell>
        </row>
        <row r="265">
          <cell r="B265" t="str">
            <v>420000000000</v>
          </cell>
        </row>
        <row r="266">
          <cell r="B266" t="str">
            <v>420001000000</v>
          </cell>
        </row>
        <row r="267">
          <cell r="B267" t="str">
            <v>420001000001</v>
          </cell>
        </row>
        <row r="268">
          <cell r="B268" t="str">
            <v>420001100000</v>
          </cell>
        </row>
        <row r="269">
          <cell r="B269" t="str">
            <v>420001200000</v>
          </cell>
        </row>
        <row r="270">
          <cell r="B270" t="str">
            <v>420001400000</v>
          </cell>
        </row>
        <row r="271">
          <cell r="B271" t="str">
            <v>420007000000</v>
          </cell>
        </row>
        <row r="272">
          <cell r="B272" t="str">
            <v>420002000000</v>
          </cell>
        </row>
        <row r="273">
          <cell r="B273" t="str">
            <v>420002002000</v>
          </cell>
        </row>
        <row r="274">
          <cell r="B274" t="str">
            <v>420002004000</v>
          </cell>
        </row>
        <row r="275">
          <cell r="B275" t="str">
            <v>420002018000</v>
          </cell>
        </row>
        <row r="276">
          <cell r="B276" t="str">
            <v>420002028000</v>
          </cell>
        </row>
        <row r="277">
          <cell r="B277" t="str">
            <v>420004007000</v>
          </cell>
        </row>
        <row r="278">
          <cell r="B278" t="str">
            <v>420005000000</v>
          </cell>
        </row>
        <row r="279">
          <cell r="B279" t="str">
            <v>420005008000</v>
          </cell>
        </row>
        <row r="280">
          <cell r="B280" t="str">
            <v>420009000000</v>
          </cell>
        </row>
        <row r="281">
          <cell r="B281" t="str">
            <v>500000000000</v>
          </cell>
        </row>
        <row r="282">
          <cell r="B282" t="str">
            <v>500001000000</v>
          </cell>
        </row>
        <row r="283">
          <cell r="B283" t="str">
            <v>500007000000</v>
          </cell>
        </row>
        <row r="284">
          <cell r="B284" t="str">
            <v>500002000000</v>
          </cell>
        </row>
        <row r="285">
          <cell r="B285" t="str">
            <v>600000000000</v>
          </cell>
        </row>
        <row r="286">
          <cell r="B286" t="str">
            <v>600003000000</v>
          </cell>
        </row>
        <row r="287">
          <cell r="B287" t="str">
            <v>600005000000</v>
          </cell>
        </row>
        <row r="288">
          <cell r="B288" t="str">
            <v>600005001000</v>
          </cell>
        </row>
        <row r="289">
          <cell r="B289" t="str">
            <v>600005002000</v>
          </cell>
        </row>
        <row r="290">
          <cell r="B290" t="str">
            <v>600006000000</v>
          </cell>
        </row>
        <row r="291">
          <cell r="B291" t="str">
            <v>600006001000</v>
          </cell>
        </row>
        <row r="292">
          <cell r="B292" t="str">
            <v>600006002000</v>
          </cell>
        </row>
        <row r="293">
          <cell r="B293" t="str">
            <v>600006002001</v>
          </cell>
        </row>
        <row r="294">
          <cell r="B294" t="str">
            <v>600007000000</v>
          </cell>
        </row>
        <row r="295">
          <cell r="B295" t="str">
            <v>600007001000</v>
          </cell>
        </row>
        <row r="296">
          <cell r="B296" t="str">
            <v>600007002000</v>
          </cell>
        </row>
        <row r="297">
          <cell r="B297" t="str">
            <v>600008000000</v>
          </cell>
        </row>
        <row r="298">
          <cell r="B298" t="str">
            <v>600008001000</v>
          </cell>
        </row>
        <row r="299">
          <cell r="B299" t="str">
            <v>600008002000</v>
          </cell>
        </row>
        <row r="300">
          <cell r="B300" t="str">
            <v>600008003000</v>
          </cell>
        </row>
        <row r="301">
          <cell r="B301" t="str">
            <v>600009000000</v>
          </cell>
        </row>
        <row r="302">
          <cell r="B302" t="str">
            <v>600054000000</v>
          </cell>
        </row>
        <row r="303">
          <cell r="B303" t="str">
            <v>600009001000</v>
          </cell>
        </row>
        <row r="304">
          <cell r="B304" t="str">
            <v>600009002000</v>
          </cell>
        </row>
        <row r="305">
          <cell r="B305" t="str">
            <v>600050000000</v>
          </cell>
        </row>
        <row r="306">
          <cell r="B306" t="str">
            <v>600052000000</v>
          </cell>
        </row>
        <row r="307">
          <cell r="B307" t="str">
            <v>621000000000</v>
          </cell>
        </row>
        <row r="308">
          <cell r="B308" t="str">
            <v>623000000000</v>
          </cell>
        </row>
        <row r="309">
          <cell r="B309" t="str">
            <v>624000000000</v>
          </cell>
        </row>
        <row r="310">
          <cell r="B310" t="str">
            <v>625000000000</v>
          </cell>
        </row>
        <row r="311">
          <cell r="B311" t="str">
            <v>600053000000</v>
          </cell>
        </row>
        <row r="312">
          <cell r="B312" t="str">
            <v>626000000000</v>
          </cell>
        </row>
        <row r="313">
          <cell r="B313" t="str">
            <v>627000000000</v>
          </cell>
        </row>
        <row r="314">
          <cell r="B314" t="str">
            <v>628001000000</v>
          </cell>
        </row>
        <row r="315">
          <cell r="B315" t="str">
            <v>628002000000</v>
          </cell>
        </row>
        <row r="316">
          <cell r="B316" t="str">
            <v>628003000000</v>
          </cell>
        </row>
        <row r="317">
          <cell r="B317" t="str">
            <v>700000000000</v>
          </cell>
        </row>
        <row r="318">
          <cell r="B318" t="str">
            <v>700001000000</v>
          </cell>
        </row>
        <row r="319">
          <cell r="B319" t="str">
            <v>700001001000</v>
          </cell>
        </row>
        <row r="320">
          <cell r="B320" t="str">
            <v>700001002000</v>
          </cell>
        </row>
        <row r="321">
          <cell r="B321" t="str">
            <v>700001003000</v>
          </cell>
        </row>
        <row r="322">
          <cell r="B322" t="str">
            <v>700001004000</v>
          </cell>
        </row>
        <row r="323">
          <cell r="B323" t="str">
            <v>700001006000</v>
          </cell>
        </row>
        <row r="324">
          <cell r="B324" t="str">
            <v>700001008000</v>
          </cell>
        </row>
        <row r="325">
          <cell r="B325" t="str">
            <v>700001010000</v>
          </cell>
        </row>
        <row r="326">
          <cell r="B326" t="str">
            <v>700001011000</v>
          </cell>
        </row>
        <row r="327">
          <cell r="B327" t="str">
            <v>700001012000</v>
          </cell>
        </row>
        <row r="328">
          <cell r="B328" t="str">
            <v>700001014000</v>
          </cell>
        </row>
        <row r="329">
          <cell r="B329" t="str">
            <v>700001015000</v>
          </cell>
        </row>
        <row r="330">
          <cell r="B330" t="str">
            <v>700001017000</v>
          </cell>
        </row>
        <row r="331">
          <cell r="B331" t="str">
            <v>700001018000</v>
          </cell>
        </row>
        <row r="332">
          <cell r="B332" t="str">
            <v>700002000000</v>
          </cell>
        </row>
        <row r="333">
          <cell r="B333" t="str">
            <v>700002001000</v>
          </cell>
        </row>
        <row r="334">
          <cell r="B334" t="str">
            <v>700002005000</v>
          </cell>
        </row>
        <row r="335">
          <cell r="B335" t="str">
            <v>700002006000</v>
          </cell>
        </row>
        <row r="336">
          <cell r="B336" t="str">
            <v>700002007000</v>
          </cell>
        </row>
        <row r="337">
          <cell r="B337" t="str">
            <v>700002007001</v>
          </cell>
        </row>
        <row r="338">
          <cell r="B338" t="str">
            <v>700002009000</v>
          </cell>
        </row>
        <row r="339">
          <cell r="B339" t="str">
            <v>700002010000</v>
          </cell>
        </row>
        <row r="340">
          <cell r="B340" t="str">
            <v>700002011000</v>
          </cell>
        </row>
        <row r="341">
          <cell r="B341" t="str">
            <v>700002012000</v>
          </cell>
        </row>
        <row r="342">
          <cell r="B342" t="str">
            <v>700002013000</v>
          </cell>
        </row>
        <row r="343">
          <cell r="B343" t="str">
            <v>700002014000</v>
          </cell>
        </row>
        <row r="344">
          <cell r="B344" t="str">
            <v>700002015000</v>
          </cell>
        </row>
        <row r="345">
          <cell r="B345" t="str">
            <v>700002016000</v>
          </cell>
        </row>
        <row r="346">
          <cell r="B346" t="str">
            <v>700002019000</v>
          </cell>
        </row>
        <row r="347">
          <cell r="B347" t="str">
            <v>700002020000</v>
          </cell>
        </row>
        <row r="348">
          <cell r="B348" t="str">
            <v>700002022000</v>
          </cell>
        </row>
        <row r="349">
          <cell r="B349" t="str">
            <v>700002024000</v>
          </cell>
        </row>
        <row r="350">
          <cell r="B350" t="str">
            <v>700002025000</v>
          </cell>
        </row>
        <row r="351">
          <cell r="B351" t="str">
            <v>700002028000</v>
          </cell>
        </row>
        <row r="352">
          <cell r="B352" t="str">
            <v>700002060000</v>
          </cell>
        </row>
        <row r="353">
          <cell r="B353" t="str">
            <v>700002080000</v>
          </cell>
        </row>
        <row r="354">
          <cell r="B354" t="str">
            <v>700002090000</v>
          </cell>
        </row>
        <row r="355">
          <cell r="B355" t="str">
            <v>700002029000</v>
          </cell>
        </row>
        <row r="356">
          <cell r="B356" t="str">
            <v>701000000000</v>
          </cell>
        </row>
        <row r="357">
          <cell r="B357" t="str">
            <v>701001000000</v>
          </cell>
        </row>
        <row r="358">
          <cell r="B358" t="str">
            <v>701001001000</v>
          </cell>
        </row>
        <row r="359">
          <cell r="B359" t="str">
            <v>701001002000</v>
          </cell>
        </row>
        <row r="360">
          <cell r="B360" t="str">
            <v>701001004000</v>
          </cell>
        </row>
        <row r="361">
          <cell r="B361" t="str">
            <v>701001006000</v>
          </cell>
        </row>
        <row r="362">
          <cell r="B362" t="str">
            <v>701001010000</v>
          </cell>
        </row>
        <row r="363">
          <cell r="B363" t="str">
            <v>701001011000</v>
          </cell>
        </row>
        <row r="364">
          <cell r="B364" t="str">
            <v>701001012000</v>
          </cell>
        </row>
        <row r="365">
          <cell r="B365" t="str">
            <v>701002000000</v>
          </cell>
        </row>
        <row r="366">
          <cell r="B366" t="str">
            <v>701002008000</v>
          </cell>
        </row>
        <row r="367">
          <cell r="B367" t="str">
            <v>701002006000</v>
          </cell>
        </row>
        <row r="368">
          <cell r="B368" t="str">
            <v>701002011000</v>
          </cell>
        </row>
        <row r="369">
          <cell r="B369" t="str">
            <v>701002050000</v>
          </cell>
        </row>
        <row r="370">
          <cell r="B370" t="str">
            <v>701003000000</v>
          </cell>
        </row>
        <row r="371">
          <cell r="B371" t="str">
            <v>705000000000</v>
          </cell>
        </row>
        <row r="372">
          <cell r="B372" t="str">
            <v>705001000000</v>
          </cell>
        </row>
        <row r="373">
          <cell r="B373" t="str">
            <v>705001001000</v>
          </cell>
        </row>
        <row r="374">
          <cell r="B374" t="str">
            <v>705001002000</v>
          </cell>
        </row>
        <row r="375">
          <cell r="B375" t="str">
            <v>705001003000</v>
          </cell>
        </row>
        <row r="376">
          <cell r="B376" t="str">
            <v>705001004000</v>
          </cell>
        </row>
        <row r="377">
          <cell r="B377" t="str">
            <v>705001005000</v>
          </cell>
        </row>
        <row r="378">
          <cell r="B378" t="str">
            <v>705001008000</v>
          </cell>
        </row>
        <row r="379">
          <cell r="B379" t="str">
            <v>705001010000</v>
          </cell>
        </row>
        <row r="380">
          <cell r="B380" t="str">
            <v>705001011000</v>
          </cell>
        </row>
        <row r="381">
          <cell r="B381" t="str">
            <v>705001012000</v>
          </cell>
        </row>
        <row r="382">
          <cell r="B382" t="str">
            <v>705001014000</v>
          </cell>
        </row>
        <row r="383">
          <cell r="B383" t="str">
            <v>705001015000</v>
          </cell>
        </row>
        <row r="384">
          <cell r="B384" t="str">
            <v>705001016000</v>
          </cell>
        </row>
        <row r="385">
          <cell r="B385" t="str">
            <v>705001017000</v>
          </cell>
        </row>
        <row r="386">
          <cell r="B386" t="str">
            <v>705001018000</v>
          </cell>
        </row>
        <row r="387">
          <cell r="B387" t="str">
            <v>705002000000</v>
          </cell>
        </row>
        <row r="388">
          <cell r="B388" t="str">
            <v>705002005000</v>
          </cell>
        </row>
        <row r="389">
          <cell r="B389" t="str">
            <v>705002007000</v>
          </cell>
        </row>
        <row r="390">
          <cell r="B390" t="str">
            <v>705002008000</v>
          </cell>
        </row>
        <row r="391">
          <cell r="B391" t="str">
            <v>705002009000</v>
          </cell>
        </row>
        <row r="392">
          <cell r="B392" t="str">
            <v>705002011000</v>
          </cell>
        </row>
        <row r="393">
          <cell r="B393" t="str">
            <v>705002012000</v>
          </cell>
        </row>
        <row r="394">
          <cell r="B394" t="str">
            <v>705002013000</v>
          </cell>
        </row>
        <row r="395">
          <cell r="B395" t="str">
            <v>705002014000</v>
          </cell>
        </row>
        <row r="396">
          <cell r="B396" t="str">
            <v>705002015000</v>
          </cell>
        </row>
        <row r="397">
          <cell r="B397" t="str">
            <v>705002016000</v>
          </cell>
        </row>
        <row r="398">
          <cell r="B398" t="str">
            <v>705002017000</v>
          </cell>
        </row>
        <row r="399">
          <cell r="B399" t="str">
            <v>705002018000</v>
          </cell>
        </row>
        <row r="400">
          <cell r="B400" t="str">
            <v>705002019000</v>
          </cell>
        </row>
        <row r="401">
          <cell r="B401" t="str">
            <v>705002020000</v>
          </cell>
        </row>
        <row r="402">
          <cell r="B402" t="str">
            <v>705002021000</v>
          </cell>
        </row>
        <row r="403">
          <cell r="B403" t="str">
            <v>705002022000</v>
          </cell>
        </row>
        <row r="404">
          <cell r="B404" t="str">
            <v>705002023000</v>
          </cell>
        </row>
        <row r="405">
          <cell r="B405" t="str">
            <v>705002028000</v>
          </cell>
        </row>
        <row r="406">
          <cell r="B406" t="str">
            <v>705002024000</v>
          </cell>
        </row>
        <row r="407">
          <cell r="B407" t="str">
            <v>705002025000</v>
          </cell>
        </row>
        <row r="408">
          <cell r="B408" t="str">
            <v>705002029000</v>
          </cell>
        </row>
        <row r="409">
          <cell r="B409" t="str">
            <v>705002031000</v>
          </cell>
        </row>
        <row r="410">
          <cell r="B410" t="str">
            <v>705002032000</v>
          </cell>
        </row>
        <row r="411">
          <cell r="B411" t="str">
            <v>705002050000</v>
          </cell>
        </row>
        <row r="412">
          <cell r="B412" t="str">
            <v>705002070000</v>
          </cell>
        </row>
        <row r="413">
          <cell r="B413" t="str">
            <v>705002060000</v>
          </cell>
        </row>
        <row r="414">
          <cell r="B414" t="str">
            <v>720000000000</v>
          </cell>
        </row>
        <row r="415">
          <cell r="B415" t="str">
            <v>720002000000</v>
          </cell>
        </row>
        <row r="416">
          <cell r="B416" t="str">
            <v>720002003000</v>
          </cell>
        </row>
        <row r="417">
          <cell r="B417" t="str">
            <v>720002050000</v>
          </cell>
        </row>
        <row r="418">
          <cell r="B418" t="str">
            <v>721000000000</v>
          </cell>
        </row>
        <row r="419">
          <cell r="B419" t="str">
            <v>721001000000</v>
          </cell>
        </row>
        <row r="420">
          <cell r="B420" t="str">
            <v>721001001000</v>
          </cell>
        </row>
        <row r="421">
          <cell r="B421" t="str">
            <v>721001002000</v>
          </cell>
        </row>
        <row r="422">
          <cell r="B422" t="str">
            <v>721001003000</v>
          </cell>
        </row>
        <row r="423">
          <cell r="B423" t="str">
            <v>721001004000</v>
          </cell>
        </row>
        <row r="424">
          <cell r="B424" t="str">
            <v>721001006000</v>
          </cell>
        </row>
        <row r="425">
          <cell r="B425" t="str">
            <v>721001009000</v>
          </cell>
        </row>
        <row r="426">
          <cell r="B426" t="str">
            <v>721001010000</v>
          </cell>
        </row>
        <row r="427">
          <cell r="B427" t="str">
            <v>721001011000</v>
          </cell>
        </row>
        <row r="428">
          <cell r="B428" t="str">
            <v>721001013000</v>
          </cell>
        </row>
        <row r="429">
          <cell r="B429" t="str">
            <v>721001014000</v>
          </cell>
        </row>
        <row r="430">
          <cell r="B430" t="str">
            <v>721001015000</v>
          </cell>
        </row>
        <row r="431">
          <cell r="B431" t="str">
            <v>721001016000</v>
          </cell>
        </row>
        <row r="432">
          <cell r="B432" t="str">
            <v>721002000000</v>
          </cell>
        </row>
        <row r="433">
          <cell r="B433" t="str">
            <v>721002001000</v>
          </cell>
        </row>
        <row r="434">
          <cell r="B434" t="str">
            <v>721002002000</v>
          </cell>
        </row>
        <row r="435">
          <cell r="B435" t="str">
            <v>721002004000</v>
          </cell>
        </row>
        <row r="436">
          <cell r="B436" t="str">
            <v>721002005000</v>
          </cell>
        </row>
        <row r="437">
          <cell r="B437" t="str">
            <v>721002006000</v>
          </cell>
        </row>
        <row r="438">
          <cell r="B438" t="str">
            <v>721002007000</v>
          </cell>
        </row>
        <row r="439">
          <cell r="B439" t="str">
            <v>721020050000</v>
          </cell>
        </row>
        <row r="440">
          <cell r="B440" t="str">
            <v>721002008000</v>
          </cell>
        </row>
        <row r="441">
          <cell r="B441" t="str">
            <v>721020070000</v>
          </cell>
        </row>
        <row r="442">
          <cell r="B442" t="str">
            <v>721002003000</v>
          </cell>
        </row>
        <row r="443">
          <cell r="B443" t="str">
            <v>722000000000</v>
          </cell>
        </row>
        <row r="444">
          <cell r="B444" t="str">
            <v>722001000000</v>
          </cell>
        </row>
        <row r="445">
          <cell r="B445" t="str">
            <v>722001003000</v>
          </cell>
        </row>
        <row r="446">
          <cell r="B446" t="str">
            <v>722001004000</v>
          </cell>
        </row>
        <row r="447">
          <cell r="B447" t="str">
            <v>722001006000</v>
          </cell>
        </row>
        <row r="448">
          <cell r="B448" t="str">
            <v>722001009000</v>
          </cell>
        </row>
        <row r="449">
          <cell r="B449" t="str">
            <v>722001010000</v>
          </cell>
        </row>
        <row r="450">
          <cell r="B450" t="str">
            <v>722002000000</v>
          </cell>
        </row>
        <row r="451">
          <cell r="B451" t="str">
            <v>722002017000</v>
          </cell>
        </row>
        <row r="452">
          <cell r="B452" t="str">
            <v>800000000000</v>
          </cell>
        </row>
        <row r="453">
          <cell r="B453" t="str">
            <v>800001000000</v>
          </cell>
        </row>
        <row r="454">
          <cell r="B454" t="str">
            <v>800001001000</v>
          </cell>
        </row>
        <row r="455">
          <cell r="B455" t="str">
            <v>800001002000</v>
          </cell>
        </row>
        <row r="456">
          <cell r="B456" t="str">
            <v>800001003000</v>
          </cell>
        </row>
        <row r="457">
          <cell r="B457" t="str">
            <v>800001005000</v>
          </cell>
        </row>
        <row r="458">
          <cell r="B458" t="str">
            <v>800001006000</v>
          </cell>
        </row>
        <row r="459">
          <cell r="B459" t="str">
            <v>800001007000</v>
          </cell>
        </row>
        <row r="460">
          <cell r="B460" t="str">
            <v>800001008000</v>
          </cell>
        </row>
        <row r="461">
          <cell r="B461" t="str">
            <v>800001010000</v>
          </cell>
        </row>
        <row r="462">
          <cell r="B462" t="str">
            <v>800001011000</v>
          </cell>
        </row>
        <row r="463">
          <cell r="B463" t="str">
            <v>800001013000</v>
          </cell>
        </row>
        <row r="464">
          <cell r="B464" t="str">
            <v>800001070000</v>
          </cell>
        </row>
        <row r="465">
          <cell r="B465" t="str">
            <v>800001090000</v>
          </cell>
        </row>
        <row r="466">
          <cell r="B466" t="str">
            <v>800001100000</v>
          </cell>
        </row>
        <row r="467">
          <cell r="B467" t="str">
            <v>800002005000</v>
          </cell>
        </row>
        <row r="468">
          <cell r="B468" t="str">
            <v>800002000000</v>
          </cell>
        </row>
        <row r="469">
          <cell r="B469" t="str">
            <v>800002006000</v>
          </cell>
        </row>
        <row r="470">
          <cell r="B470" t="str">
            <v>800002007000</v>
          </cell>
        </row>
        <row r="471">
          <cell r="B471" t="str">
            <v>800002008000</v>
          </cell>
        </row>
        <row r="472">
          <cell r="B472" t="str">
            <v>800002009000</v>
          </cell>
        </row>
        <row r="473">
          <cell r="B473" t="str">
            <v>800002012000</v>
          </cell>
        </row>
        <row r="474">
          <cell r="B474" t="str">
            <v>800002013000</v>
          </cell>
        </row>
        <row r="475">
          <cell r="B475" t="str">
            <v>800002013001</v>
          </cell>
        </row>
        <row r="476">
          <cell r="B476" t="str">
            <v>800002013004</v>
          </cell>
        </row>
        <row r="477">
          <cell r="B477" t="str">
            <v>800002013007</v>
          </cell>
        </row>
        <row r="478">
          <cell r="B478" t="str">
            <v>800002013008</v>
          </cell>
        </row>
        <row r="479">
          <cell r="B479" t="str">
            <v>800002013009</v>
          </cell>
        </row>
        <row r="480">
          <cell r="B480" t="str">
            <v>800002013010</v>
          </cell>
        </row>
        <row r="481">
          <cell r="B481" t="str">
            <v>800002013011</v>
          </cell>
        </row>
        <row r="482">
          <cell r="B482" t="str">
            <v>800002014000</v>
          </cell>
        </row>
        <row r="483">
          <cell r="B483" t="str">
            <v>800002017000</v>
          </cell>
        </row>
        <row r="484">
          <cell r="B484" t="str">
            <v>800002019000</v>
          </cell>
        </row>
        <row r="485">
          <cell r="B485" t="str">
            <v>800002020000</v>
          </cell>
        </row>
        <row r="486">
          <cell r="B486" t="str">
            <v>800002021000</v>
          </cell>
        </row>
        <row r="487">
          <cell r="B487" t="str">
            <v>800002022000</v>
          </cell>
        </row>
        <row r="488">
          <cell r="B488" t="str">
            <v>800002025000</v>
          </cell>
        </row>
        <row r="489">
          <cell r="B489" t="str">
            <v>800002052000</v>
          </cell>
        </row>
        <row r="490">
          <cell r="B490" t="str">
            <v>800002090000</v>
          </cell>
        </row>
        <row r="491">
          <cell r="B491" t="str">
            <v>800002100000</v>
          </cell>
        </row>
        <row r="492">
          <cell r="B492" t="str">
            <v>800002300000</v>
          </cell>
        </row>
        <row r="493">
          <cell r="B493" t="str">
            <v>800002500000</v>
          </cell>
        </row>
        <row r="494">
          <cell r="B494" t="str">
            <v>800002400000</v>
          </cell>
        </row>
        <row r="495">
          <cell r="B495" t="str">
            <v>850002009000</v>
          </cell>
        </row>
        <row r="498">
          <cell r="B498" t="str">
            <v>802000000000</v>
          </cell>
        </row>
        <row r="499">
          <cell r="B499" t="str">
            <v>802001000000</v>
          </cell>
        </row>
        <row r="500">
          <cell r="B500" t="str">
            <v>802001002000</v>
          </cell>
        </row>
        <row r="501">
          <cell r="B501" t="str">
            <v>802001002006</v>
          </cell>
        </row>
        <row r="502">
          <cell r="B502" t="str">
            <v>802001003000</v>
          </cell>
        </row>
        <row r="503">
          <cell r="B503" t="str">
            <v>802001003007</v>
          </cell>
        </row>
        <row r="504">
          <cell r="B504" t="str">
            <v>802002000000</v>
          </cell>
        </row>
        <row r="505">
          <cell r="B505" t="str">
            <v>802002001000</v>
          </cell>
        </row>
        <row r="506">
          <cell r="B506" t="str">
            <v>802002001006</v>
          </cell>
        </row>
        <row r="507">
          <cell r="B507" t="str">
            <v>802002001007</v>
          </cell>
        </row>
        <row r="508">
          <cell r="B508" t="str">
            <v>802002001010</v>
          </cell>
        </row>
        <row r="509">
          <cell r="B509" t="str">
            <v>802002001011</v>
          </cell>
        </row>
        <row r="510">
          <cell r="B510" t="str">
            <v>802002001015</v>
          </cell>
        </row>
        <row r="511">
          <cell r="B511" t="str">
            <v>802002001016</v>
          </cell>
        </row>
        <row r="512">
          <cell r="B512" t="str">
            <v>802002001019</v>
          </cell>
        </row>
        <row r="513">
          <cell r="B513" t="str">
            <v>802002001022</v>
          </cell>
        </row>
        <row r="514">
          <cell r="B514" t="str">
            <v>802002001003</v>
          </cell>
        </row>
        <row r="515">
          <cell r="B515" t="str">
            <v>802002002000</v>
          </cell>
        </row>
        <row r="516">
          <cell r="B516" t="str">
            <v>802002002001</v>
          </cell>
        </row>
        <row r="517">
          <cell r="B517" t="str">
            <v>802002002002</v>
          </cell>
        </row>
        <row r="518">
          <cell r="B518" t="str">
            <v>802002002005</v>
          </cell>
        </row>
        <row r="519">
          <cell r="B519" t="str">
            <v>802002002006</v>
          </cell>
        </row>
        <row r="520">
          <cell r="B520" t="str">
            <v>802002002007</v>
          </cell>
        </row>
        <row r="521">
          <cell r="B521" t="str">
            <v>802002002010</v>
          </cell>
        </row>
        <row r="522">
          <cell r="B522" t="str">
            <v>802002002012</v>
          </cell>
        </row>
        <row r="523">
          <cell r="B523" t="str">
            <v>802002002013</v>
          </cell>
        </row>
        <row r="524">
          <cell r="B524" t="str">
            <v>802002002014</v>
          </cell>
        </row>
        <row r="525">
          <cell r="B525" t="str">
            <v>802002003000</v>
          </cell>
        </row>
        <row r="526">
          <cell r="B526" t="str">
            <v>802002003007</v>
          </cell>
        </row>
        <row r="527">
          <cell r="B527" t="str">
            <v>805000000000</v>
          </cell>
        </row>
        <row r="528">
          <cell r="B528" t="str">
            <v>805001000000</v>
          </cell>
        </row>
        <row r="529">
          <cell r="B529" t="str">
            <v>805001001000</v>
          </cell>
        </row>
        <row r="530">
          <cell r="B530" t="str">
            <v>805001002000</v>
          </cell>
        </row>
        <row r="531">
          <cell r="B531" t="str">
            <v>805001003000</v>
          </cell>
        </row>
        <row r="532">
          <cell r="B532" t="str">
            <v>805001005000</v>
          </cell>
        </row>
        <row r="533">
          <cell r="B533" t="str">
            <v>805001007000</v>
          </cell>
        </row>
        <row r="534">
          <cell r="B534" t="str">
            <v>805001009000</v>
          </cell>
        </row>
        <row r="535">
          <cell r="B535" t="str">
            <v>805001010000</v>
          </cell>
        </row>
        <row r="536">
          <cell r="B536" t="str">
            <v>805001011000</v>
          </cell>
        </row>
        <row r="537">
          <cell r="B537" t="str">
            <v>805001012000</v>
          </cell>
        </row>
        <row r="538">
          <cell r="B538" t="str">
            <v>805001015000</v>
          </cell>
        </row>
        <row r="539">
          <cell r="B539" t="str">
            <v>805001016000</v>
          </cell>
        </row>
        <row r="540">
          <cell r="B540" t="str">
            <v>805001017000</v>
          </cell>
        </row>
        <row r="541">
          <cell r="B541" t="str">
            <v>805002000000</v>
          </cell>
        </row>
        <row r="542">
          <cell r="B542" t="str">
            <v>805002001400</v>
          </cell>
        </row>
        <row r="543">
          <cell r="B543" t="str">
            <v>805002004000</v>
          </cell>
        </row>
        <row r="544">
          <cell r="B544" t="str">
            <v>805002007000</v>
          </cell>
        </row>
        <row r="545">
          <cell r="B545" t="str">
            <v>805002008000</v>
          </cell>
        </row>
        <row r="546">
          <cell r="B546" t="str">
            <v>805002021000</v>
          </cell>
        </row>
        <row r="547">
          <cell r="B547" t="str">
            <v>805002030000</v>
          </cell>
        </row>
        <row r="548">
          <cell r="B548" t="str">
            <v>805002031000</v>
          </cell>
        </row>
        <row r="549">
          <cell r="B549" t="str">
            <v>805002036000</v>
          </cell>
        </row>
        <row r="550">
          <cell r="B550" t="str">
            <v>805002042000</v>
          </cell>
        </row>
        <row r="551">
          <cell r="B551" t="str">
            <v>805002043000</v>
          </cell>
        </row>
        <row r="552">
          <cell r="B552" t="str">
            <v>805002044000</v>
          </cell>
        </row>
        <row r="553">
          <cell r="B553" t="str">
            <v>805002060000</v>
          </cell>
        </row>
        <row r="554">
          <cell r="B554" t="str">
            <v>805002100000</v>
          </cell>
        </row>
        <row r="555">
          <cell r="B555" t="str">
            <v>805002120000</v>
          </cell>
        </row>
        <row r="556">
          <cell r="B556" t="str">
            <v>805002200000</v>
          </cell>
        </row>
        <row r="557">
          <cell r="B557" t="str">
            <v>805002002100</v>
          </cell>
        </row>
        <row r="558">
          <cell r="B558" t="str">
            <v>805002080000</v>
          </cell>
        </row>
        <row r="559">
          <cell r="B559" t="str">
            <v>805002110000</v>
          </cell>
        </row>
        <row r="560">
          <cell r="B560" t="str">
            <v>805002090000</v>
          </cell>
        </row>
        <row r="561">
          <cell r="B561" t="str">
            <v>805002160000</v>
          </cell>
        </row>
        <row r="562">
          <cell r="B562" t="str">
            <v>815000000000</v>
          </cell>
        </row>
        <row r="563">
          <cell r="B563" t="str">
            <v>815001000000</v>
          </cell>
        </row>
        <row r="564">
          <cell r="B564" t="str">
            <v>815001001000</v>
          </cell>
        </row>
        <row r="565">
          <cell r="B565" t="str">
            <v>815001002000</v>
          </cell>
        </row>
        <row r="566">
          <cell r="B566" t="str">
            <v>815001003000</v>
          </cell>
        </row>
        <row r="567">
          <cell r="B567" t="str">
            <v>815001005000</v>
          </cell>
        </row>
        <row r="568">
          <cell r="B568" t="str">
            <v>815001006000</v>
          </cell>
        </row>
        <row r="569">
          <cell r="B569" t="str">
            <v>815001007000</v>
          </cell>
        </row>
        <row r="570">
          <cell r="B570" t="str">
            <v>815001011000</v>
          </cell>
        </row>
        <row r="571">
          <cell r="B571" t="str">
            <v>815001012000</v>
          </cell>
        </row>
        <row r="572">
          <cell r="B572" t="str">
            <v>815001014000</v>
          </cell>
        </row>
        <row r="573">
          <cell r="B573" t="str">
            <v>815001015000</v>
          </cell>
        </row>
        <row r="574">
          <cell r="B574" t="str">
            <v>815001016000</v>
          </cell>
        </row>
        <row r="575">
          <cell r="B575" t="str">
            <v>815001017000</v>
          </cell>
        </row>
        <row r="576">
          <cell r="B576" t="str">
            <v>815001018000</v>
          </cell>
        </row>
        <row r="577">
          <cell r="B577" t="str">
            <v>815002000000</v>
          </cell>
        </row>
        <row r="578">
          <cell r="B578" t="str">
            <v>815002001000</v>
          </cell>
        </row>
        <row r="579">
          <cell r="B579" t="str">
            <v>815002002000</v>
          </cell>
        </row>
        <row r="580">
          <cell r="B580" t="str">
            <v>815002003000</v>
          </cell>
        </row>
        <row r="581">
          <cell r="B581" t="str">
            <v>815002004000</v>
          </cell>
        </row>
        <row r="582">
          <cell r="B582" t="str">
            <v>815002005000</v>
          </cell>
        </row>
        <row r="583">
          <cell r="B583" t="str">
            <v>815002006000</v>
          </cell>
        </row>
        <row r="584">
          <cell r="B584" t="str">
            <v>815002007000</v>
          </cell>
        </row>
        <row r="585">
          <cell r="B585" t="str">
            <v>815002008000</v>
          </cell>
        </row>
        <row r="586">
          <cell r="B586" t="str">
            <v>815002009000</v>
          </cell>
        </row>
        <row r="587">
          <cell r="B587" t="str">
            <v>815002010000</v>
          </cell>
        </row>
        <row r="588">
          <cell r="B588" t="str">
            <v>815002011000</v>
          </cell>
        </row>
        <row r="589">
          <cell r="B589" t="str">
            <v>815002012000</v>
          </cell>
        </row>
        <row r="590">
          <cell r="B590" t="str">
            <v>815002016000</v>
          </cell>
        </row>
        <row r="591">
          <cell r="B591" t="str">
            <v>815002018000</v>
          </cell>
        </row>
        <row r="592">
          <cell r="B592" t="str">
            <v>815002019000</v>
          </cell>
        </row>
        <row r="593">
          <cell r="B593" t="str">
            <v>815002020000</v>
          </cell>
        </row>
        <row r="594">
          <cell r="B594" t="str">
            <v>815002021000</v>
          </cell>
        </row>
        <row r="595">
          <cell r="B595" t="str">
            <v>815002023000</v>
          </cell>
        </row>
        <row r="596">
          <cell r="B596" t="str">
            <v>815002025000</v>
          </cell>
        </row>
        <row r="597">
          <cell r="B597" t="str">
            <v>815002026000</v>
          </cell>
        </row>
        <row r="598">
          <cell r="B598" t="str">
            <v>815002027000</v>
          </cell>
        </row>
        <row r="599">
          <cell r="B599" t="str">
            <v>815002030000</v>
          </cell>
        </row>
        <row r="600">
          <cell r="B600" t="str">
            <v>815002031000</v>
          </cell>
        </row>
        <row r="601">
          <cell r="B601" t="str">
            <v>815002033000</v>
          </cell>
        </row>
        <row r="602">
          <cell r="B602" t="str">
            <v>815002013000</v>
          </cell>
        </row>
        <row r="603">
          <cell r="B603" t="str">
            <v>815002014000</v>
          </cell>
        </row>
        <row r="604">
          <cell r="B604" t="str">
            <v>815002028000</v>
          </cell>
        </row>
        <row r="605">
          <cell r="B605" t="str">
            <v>840006000000</v>
          </cell>
        </row>
        <row r="606">
          <cell r="B606" t="str">
            <v>815002035000</v>
          </cell>
        </row>
        <row r="607">
          <cell r="B607" t="str">
            <v>850001011000</v>
          </cell>
        </row>
        <row r="608">
          <cell r="B608" t="str">
            <v>815002034000</v>
          </cell>
        </row>
        <row r="609">
          <cell r="B609" t="str">
            <v>815002034002</v>
          </cell>
        </row>
        <row r="610">
          <cell r="B610" t="str">
            <v>815002034006</v>
          </cell>
        </row>
        <row r="611">
          <cell r="B611" t="str">
            <v>815002050000</v>
          </cell>
        </row>
        <row r="612">
          <cell r="B612" t="str">
            <v>815003000000</v>
          </cell>
        </row>
        <row r="613">
          <cell r="B613" t="str">
            <v>815003001000</v>
          </cell>
        </row>
        <row r="614">
          <cell r="B614" t="str">
            <v>815003003000</v>
          </cell>
        </row>
        <row r="615">
          <cell r="B615" t="str">
            <v>815003004000</v>
          </cell>
        </row>
        <row r="616">
          <cell r="B616" t="str">
            <v>815003005000</v>
          </cell>
        </row>
        <row r="617">
          <cell r="B617" t="str">
            <v>815002034007</v>
          </cell>
        </row>
        <row r="619">
          <cell r="B619" t="str">
            <v>816000000000</v>
          </cell>
        </row>
        <row r="620">
          <cell r="B620" t="str">
            <v>816001000000</v>
          </cell>
        </row>
        <row r="621">
          <cell r="B621" t="str">
            <v>816001001000</v>
          </cell>
        </row>
        <row r="622">
          <cell r="B622" t="str">
            <v>816001004000</v>
          </cell>
        </row>
        <row r="623">
          <cell r="B623" t="str">
            <v>816001005000</v>
          </cell>
        </row>
        <row r="624">
          <cell r="B624" t="str">
            <v>816001007000</v>
          </cell>
        </row>
        <row r="625">
          <cell r="B625" t="str">
            <v>816001008000</v>
          </cell>
        </row>
        <row r="626">
          <cell r="B626" t="str">
            <v>816001009000</v>
          </cell>
        </row>
        <row r="627">
          <cell r="B627" t="str">
            <v>816001011000</v>
          </cell>
        </row>
        <row r="628">
          <cell r="B628" t="str">
            <v>816001012000</v>
          </cell>
        </row>
        <row r="629">
          <cell r="B629" t="str">
            <v>816002000000</v>
          </cell>
        </row>
        <row r="630">
          <cell r="B630" t="str">
            <v>816002001000</v>
          </cell>
        </row>
        <row r="631">
          <cell r="B631" t="str">
            <v>816002002000</v>
          </cell>
        </row>
        <row r="632">
          <cell r="B632" t="str">
            <v>816002004000</v>
          </cell>
        </row>
        <row r="633">
          <cell r="B633" t="str">
            <v>816002006000</v>
          </cell>
        </row>
        <row r="634">
          <cell r="B634" t="str">
            <v>817000000000</v>
          </cell>
        </row>
        <row r="635">
          <cell r="B635" t="str">
            <v>817001000000</v>
          </cell>
        </row>
        <row r="636">
          <cell r="B636" t="str">
            <v>817001001000</v>
          </cell>
        </row>
        <row r="637">
          <cell r="B637" t="str">
            <v>817001002000</v>
          </cell>
        </row>
        <row r="638">
          <cell r="B638" t="str">
            <v>817001004000</v>
          </cell>
        </row>
        <row r="639">
          <cell r="B639" t="str">
            <v>817001005000</v>
          </cell>
        </row>
        <row r="640">
          <cell r="B640" t="str">
            <v>817001007000</v>
          </cell>
        </row>
        <row r="641">
          <cell r="B641" t="str">
            <v>817001008000</v>
          </cell>
        </row>
        <row r="642">
          <cell r="B642" t="str">
            <v>817002000000</v>
          </cell>
        </row>
        <row r="643">
          <cell r="B643" t="str">
            <v>817002010000</v>
          </cell>
        </row>
        <row r="644">
          <cell r="B644" t="str">
            <v>817001011000</v>
          </cell>
        </row>
        <row r="645">
          <cell r="B645" t="str">
            <v>817003000000</v>
          </cell>
        </row>
        <row r="646">
          <cell r="B646" t="str">
            <v>817003001000</v>
          </cell>
        </row>
        <row r="647">
          <cell r="B647" t="str">
            <v>817004000000</v>
          </cell>
        </row>
        <row r="648">
          <cell r="B648" t="str">
            <v>818000000000</v>
          </cell>
        </row>
        <row r="649">
          <cell r="B649" t="str">
            <v>818001000000</v>
          </cell>
        </row>
        <row r="650">
          <cell r="B650" t="str">
            <v>818001001000</v>
          </cell>
        </row>
        <row r="651">
          <cell r="B651" t="str">
            <v>818001002000</v>
          </cell>
        </row>
        <row r="652">
          <cell r="B652" t="str">
            <v>818001004000</v>
          </cell>
        </row>
        <row r="653">
          <cell r="B653" t="str">
            <v>818001005000</v>
          </cell>
        </row>
        <row r="654">
          <cell r="B654" t="str">
            <v>818001007000</v>
          </cell>
        </row>
        <row r="655">
          <cell r="B655" t="str">
            <v>818001008000</v>
          </cell>
        </row>
        <row r="656">
          <cell r="B656" t="str">
            <v>818001011000</v>
          </cell>
        </row>
        <row r="657">
          <cell r="B657" t="str">
            <v>818001012000</v>
          </cell>
        </row>
        <row r="658">
          <cell r="B658" t="str">
            <v>818002000000</v>
          </cell>
        </row>
        <row r="659">
          <cell r="B659" t="str">
            <v>818002001000</v>
          </cell>
        </row>
        <row r="660">
          <cell r="B660" t="str">
            <v>818002002000</v>
          </cell>
        </row>
        <row r="661">
          <cell r="B661" t="str">
            <v>818002003000</v>
          </cell>
        </row>
        <row r="662">
          <cell r="B662" t="str">
            <v>818002005000</v>
          </cell>
        </row>
        <row r="663">
          <cell r="B663" t="str">
            <v>818002006000</v>
          </cell>
        </row>
        <row r="664">
          <cell r="B664" t="str">
            <v>818002007000</v>
          </cell>
        </row>
        <row r="665">
          <cell r="B665" t="str">
            <v>818002010000</v>
          </cell>
        </row>
        <row r="666">
          <cell r="B666" t="str">
            <v>818001009000</v>
          </cell>
        </row>
        <row r="667">
          <cell r="B667" t="str">
            <v>818003000000</v>
          </cell>
        </row>
        <row r="668">
          <cell r="B668" t="str">
            <v>818003001000</v>
          </cell>
        </row>
        <row r="669">
          <cell r="B669" t="str">
            <v>818003002000</v>
          </cell>
        </row>
        <row r="670">
          <cell r="B670" t="str">
            <v>818003004000</v>
          </cell>
        </row>
        <row r="671">
          <cell r="B671" t="str">
            <v>818003005000</v>
          </cell>
        </row>
        <row r="672">
          <cell r="B672" t="str">
            <v>818003007000</v>
          </cell>
        </row>
        <row r="673">
          <cell r="B673" t="str">
            <v>818004000000</v>
          </cell>
        </row>
        <row r="674">
          <cell r="B674" t="str">
            <v>818004001000</v>
          </cell>
        </row>
        <row r="675">
          <cell r="B675" t="str">
            <v>818004002000</v>
          </cell>
        </row>
        <row r="676">
          <cell r="B676" t="str">
            <v>818004003000</v>
          </cell>
        </row>
        <row r="677">
          <cell r="B677" t="str">
            <v>818004004000</v>
          </cell>
        </row>
        <row r="678">
          <cell r="B678" t="str">
            <v>819000000000</v>
          </cell>
        </row>
        <row r="679">
          <cell r="B679" t="str">
            <v>819001000000</v>
          </cell>
        </row>
        <row r="680">
          <cell r="B680" t="str">
            <v>819001001000</v>
          </cell>
        </row>
        <row r="681">
          <cell r="B681" t="str">
            <v>819001004000</v>
          </cell>
        </row>
        <row r="682">
          <cell r="B682" t="str">
            <v>819001005000</v>
          </cell>
        </row>
        <row r="683">
          <cell r="B683" t="str">
            <v>819001007000</v>
          </cell>
        </row>
        <row r="684">
          <cell r="B684" t="str">
            <v>819001008000</v>
          </cell>
        </row>
        <row r="685">
          <cell r="B685" t="str">
            <v>820000000000</v>
          </cell>
        </row>
        <row r="686">
          <cell r="B686" t="str">
            <v>820001000000</v>
          </cell>
        </row>
        <row r="687">
          <cell r="B687" t="str">
            <v>820002000000</v>
          </cell>
        </row>
        <row r="688">
          <cell r="B688" t="str">
            <v>820002000001</v>
          </cell>
        </row>
        <row r="689">
          <cell r="B689" t="str">
            <v>820003000000</v>
          </cell>
        </row>
        <row r="690">
          <cell r="B690" t="str">
            <v>820005000000</v>
          </cell>
        </row>
        <row r="691">
          <cell r="B691" t="str">
            <v>840000000000</v>
          </cell>
        </row>
        <row r="692">
          <cell r="B692" t="str">
            <v>840001000000</v>
          </cell>
        </row>
        <row r="693">
          <cell r="B693" t="str">
            <v>840002000000</v>
          </cell>
        </row>
        <row r="694">
          <cell r="B694" t="str">
            <v>840004000000</v>
          </cell>
        </row>
        <row r="695">
          <cell r="B695" t="str">
            <v>840005000000</v>
          </cell>
        </row>
        <row r="696">
          <cell r="B696" t="str">
            <v>850000000000</v>
          </cell>
        </row>
        <row r="697">
          <cell r="B697" t="str">
            <v>850001000000</v>
          </cell>
        </row>
        <row r="698">
          <cell r="B698" t="str">
            <v>850001001000</v>
          </cell>
        </row>
        <row r="699">
          <cell r="B699" t="str">
            <v>850001002000</v>
          </cell>
        </row>
        <row r="700">
          <cell r="B700" t="str">
            <v>850001003000</v>
          </cell>
        </row>
        <row r="701">
          <cell r="B701" t="str">
            <v>850001007000</v>
          </cell>
        </row>
        <row r="702">
          <cell r="B702" t="str">
            <v>850001008000</v>
          </cell>
        </row>
        <row r="703">
          <cell r="B703" t="str">
            <v>850001009000</v>
          </cell>
        </row>
        <row r="704">
          <cell r="B704" t="str">
            <v>850001013000</v>
          </cell>
        </row>
        <row r="705">
          <cell r="B705" t="str">
            <v>850001006000</v>
          </cell>
        </row>
        <row r="706">
          <cell r="B706" t="str">
            <v>850002000000</v>
          </cell>
        </row>
        <row r="707">
          <cell r="B707" t="str">
            <v>850002005000</v>
          </cell>
        </row>
        <row r="708">
          <cell r="B708" t="str">
            <v>850002010000</v>
          </cell>
        </row>
        <row r="709">
          <cell r="B709" t="str">
            <v>850002014000</v>
          </cell>
        </row>
        <row r="710">
          <cell r="B710" t="str">
            <v>850002016000</v>
          </cell>
        </row>
        <row r="711">
          <cell r="B711" t="str">
            <v>850003000000</v>
          </cell>
        </row>
        <row r="712">
          <cell r="B712" t="str">
            <v>850003001000</v>
          </cell>
        </row>
        <row r="713">
          <cell r="B713" t="str">
            <v>850003002000</v>
          </cell>
        </row>
        <row r="714">
          <cell r="B714" t="str">
            <v>850003003000</v>
          </cell>
        </row>
        <row r="715">
          <cell r="B715" t="str">
            <v>850003004000</v>
          </cell>
        </row>
        <row r="716">
          <cell r="B716" t="str">
            <v>850003005000</v>
          </cell>
        </row>
        <row r="717">
          <cell r="B717" t="str">
            <v>850003006000</v>
          </cell>
        </row>
        <row r="718">
          <cell r="B718" t="str">
            <v>850004000000</v>
          </cell>
        </row>
        <row r="719">
          <cell r="B719" t="str">
            <v>850005000000</v>
          </cell>
        </row>
        <row r="720">
          <cell r="B720" t="str">
            <v>850006000000</v>
          </cell>
        </row>
        <row r="721">
          <cell r="B721" t="str">
            <v>850007000000</v>
          </cell>
        </row>
        <row r="722">
          <cell r="B722" t="str">
            <v>850008000000</v>
          </cell>
        </row>
        <row r="723">
          <cell r="B723" t="str">
            <v>850009000000</v>
          </cell>
        </row>
        <row r="724">
          <cell r="B724" t="str">
            <v>850012000000</v>
          </cell>
        </row>
        <row r="725">
          <cell r="B725" t="str">
            <v>850018000000</v>
          </cell>
        </row>
        <row r="726">
          <cell r="B726" t="str">
            <v>850019000000</v>
          </cell>
        </row>
        <row r="727">
          <cell r="B727" t="str">
            <v>850019001000</v>
          </cell>
        </row>
        <row r="728">
          <cell r="B728" t="str">
            <v>850019002000</v>
          </cell>
        </row>
        <row r="729">
          <cell r="B729" t="str">
            <v>850019003000</v>
          </cell>
        </row>
        <row r="730">
          <cell r="B730" t="str">
            <v>850019004000</v>
          </cell>
        </row>
        <row r="731">
          <cell r="B731" t="str">
            <v>850019005000</v>
          </cell>
        </row>
        <row r="732">
          <cell r="B732" t="str">
            <v>850022000000</v>
          </cell>
        </row>
        <row r="733">
          <cell r="B733" t="str">
            <v>850025000000</v>
          </cell>
        </row>
        <row r="734">
          <cell r="B734" t="str">
            <v>850026000000</v>
          </cell>
        </row>
        <row r="735">
          <cell r="B735" t="str">
            <v>850027000000</v>
          </cell>
        </row>
        <row r="736">
          <cell r="B736" t="str">
            <v>850030000003</v>
          </cell>
        </row>
        <row r="737">
          <cell r="B737" t="str">
            <v>850028000000</v>
          </cell>
        </row>
        <row r="738">
          <cell r="B738" t="str">
            <v>850028001000</v>
          </cell>
        </row>
        <row r="739">
          <cell r="B739" t="str">
            <v>870000000000</v>
          </cell>
        </row>
        <row r="740">
          <cell r="B740" t="str">
            <v>870030000000</v>
          </cell>
        </row>
        <row r="741">
          <cell r="B741" t="str">
            <v>870030001000</v>
          </cell>
        </row>
        <row r="742">
          <cell r="B742" t="str">
            <v>900000000000</v>
          </cell>
        </row>
        <row r="743">
          <cell r="B743" t="str">
            <v>900001000000</v>
          </cell>
        </row>
        <row r="744">
          <cell r="B744" t="str">
            <v>900001001000</v>
          </cell>
        </row>
        <row r="745">
          <cell r="B745" t="str">
            <v>900001002000</v>
          </cell>
        </row>
        <row r="746">
          <cell r="B746" t="str">
            <v>900001003000</v>
          </cell>
        </row>
        <row r="747">
          <cell r="B747" t="str">
            <v>900001004000</v>
          </cell>
        </row>
        <row r="748">
          <cell r="B748" t="str">
            <v>900001006000</v>
          </cell>
        </row>
        <row r="749">
          <cell r="B749" t="str">
            <v>900002000000</v>
          </cell>
        </row>
        <row r="750">
          <cell r="B750" t="str">
            <v>900003000000</v>
          </cell>
        </row>
        <row r="751">
          <cell r="B751" t="str">
            <v>900003001000</v>
          </cell>
        </row>
        <row r="752">
          <cell r="B752" t="str">
            <v>900003002000</v>
          </cell>
        </row>
        <row r="753">
          <cell r="B753" t="str">
            <v>900003003000</v>
          </cell>
        </row>
        <row r="754">
          <cell r="B754" t="str">
            <v>900003004000</v>
          </cell>
        </row>
        <row r="755">
          <cell r="B755" t="str">
            <v>900005000000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CASA CORCOVADO"/>
      <sheetName val="RATES CWL 2023-2024"/>
      <sheetName val="Copy of RATES CWL 2024-2025"/>
      <sheetName val="RATES CWL 2024-2025 (Updated)"/>
      <sheetName val="RATES 2025-2026"/>
      <sheetName val="2025-2026  3 noches CON AUMENTO"/>
      <sheetName val="2025-2026 4 ncohes"/>
      <sheetName val="Precios Lapa Rios"/>
      <sheetName val="CABIAR TARIFAS"/>
      <sheetName val="comparaciòn 2026"/>
      <sheetName val="Room Hierarchy"/>
      <sheetName val="Final 2026 Rates"/>
      <sheetName val="break 2 pax 3 nigths"/>
      <sheetName val="break 1 pax 3 nigths"/>
      <sheetName val="Analisis Precio Hab "/>
      <sheetName val="4 Nights Pack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ENA"/>
      <sheetName val="Presupuesto Operación"/>
    </sheetNames>
    <sheetDataSet>
      <sheetData sheetId="0" refreshError="1">
        <row r="4">
          <cell r="C4">
            <v>515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6-12"/>
      <sheetName val="Venta Masaya"/>
      <sheetName val="Credito Masaya"/>
      <sheetName val="Resumen del Mes"/>
      <sheetName val="Tipo Cambi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606F-C3D9-41CC-89B4-30EE4C7F1FE8}">
  <sheetPr>
    <tabColor theme="9" tint="-0.249977111117893"/>
  </sheetPr>
  <dimension ref="A1:HB1050"/>
  <sheetViews>
    <sheetView showGridLines="0" tabSelected="1" zoomScale="71" zoomScaleNormal="71" zoomScaleSheetLayoutView="80" zoomScalePageLayoutView="37" workbookViewId="0">
      <selection activeCell="E31" sqref="E31"/>
    </sheetView>
  </sheetViews>
  <sheetFormatPr defaultColWidth="11.42578125" defaultRowHeight="15" zeroHeight="1" x14ac:dyDescent="0.2"/>
  <cols>
    <col min="1" max="1" width="4" style="6" customWidth="1"/>
    <col min="2" max="2" width="5.7109375" style="1" customWidth="1"/>
    <col min="3" max="3" width="44" style="6" customWidth="1"/>
    <col min="4" max="4" width="14.85546875" style="220" customWidth="1"/>
    <col min="5" max="7" width="22.7109375" style="220" customWidth="1"/>
    <col min="8" max="8" width="22.7109375" style="65" customWidth="1"/>
    <col min="9" max="9" width="21.7109375" style="65" customWidth="1"/>
    <col min="10" max="14" width="22.7109375" style="65" customWidth="1"/>
    <col min="15" max="15" width="21.42578125" style="65" customWidth="1"/>
    <col min="16" max="16" width="3.28515625" style="6" customWidth="1"/>
    <col min="17" max="17" width="28.5703125" style="220" customWidth="1"/>
    <col min="18" max="529" width="15.7109375" style="6" customWidth="1"/>
    <col min="530" max="16115" width="2.28515625" style="6" bestFit="1" customWidth="1"/>
    <col min="16116" max="16384" width="11.42578125" style="6"/>
  </cols>
  <sheetData>
    <row r="1" spans="2:17" ht="15.75" x14ac:dyDescent="0.25">
      <c r="C1" s="2"/>
      <c r="D1" s="3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5"/>
    </row>
    <row r="2" spans="2:17" s="10" customFormat="1" ht="48.75" customHeight="1" thickBot="1" x14ac:dyDescent="0.55000000000000004">
      <c r="B2" s="7"/>
      <c r="C2" s="8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2:17" s="10" customFormat="1" ht="20.100000000000001" customHeight="1" x14ac:dyDescent="0.25">
      <c r="B3" s="7"/>
      <c r="C3" s="11" t="s">
        <v>1</v>
      </c>
      <c r="D3" s="12"/>
      <c r="E3" s="12"/>
      <c r="F3" s="12"/>
      <c r="G3" s="12"/>
      <c r="H3" s="13">
        <f>+'[1]Budget 2025W'!O3</f>
        <v>0</v>
      </c>
      <c r="I3" s="13">
        <f>+'[1]Budget 2025W'!P3</f>
        <v>480</v>
      </c>
      <c r="J3" s="13">
        <f>+'[1]Budget 2025W'!Q3</f>
        <v>496</v>
      </c>
      <c r="K3" s="13">
        <f>+'[1]Budget 2025W'!R3</f>
        <v>496</v>
      </c>
      <c r="L3" s="13">
        <f>+'[1]Budget 2025W'!S3</f>
        <v>480</v>
      </c>
      <c r="M3" s="13">
        <f>+'[1]Budget 2025W'!T3</f>
        <v>496</v>
      </c>
      <c r="N3" s="13">
        <f>+'[1]Budget 2025W'!U3</f>
        <v>480</v>
      </c>
      <c r="O3" s="14">
        <f>+'[1]Budget 2025W'!V3</f>
        <v>496</v>
      </c>
      <c r="P3" s="15"/>
      <c r="Q3" s="16">
        <f>SUM(D3:O3)</f>
        <v>3424</v>
      </c>
    </row>
    <row r="4" spans="2:17" s="10" customFormat="1" ht="20.100000000000001" customHeight="1" x14ac:dyDescent="0.25">
      <c r="B4" s="7"/>
      <c r="C4" s="17" t="s">
        <v>2</v>
      </c>
      <c r="D4" s="18"/>
      <c r="E4" s="18"/>
      <c r="F4" s="18"/>
      <c r="G4" s="18"/>
      <c r="H4" s="15">
        <f>+'[1]Budget 2025W'!O4</f>
        <v>0</v>
      </c>
      <c r="I4" s="15">
        <f>+'[1]Budget 2025W'!P4</f>
        <v>72</v>
      </c>
      <c r="J4" s="15">
        <f>+'[1]Budget 2025W'!Q4</f>
        <v>124</v>
      </c>
      <c r="K4" s="15">
        <f>+'[1]Budget 2025W'!R4</f>
        <v>124</v>
      </c>
      <c r="L4" s="15">
        <f>+'[1]Budget 2025W'!S4</f>
        <v>96</v>
      </c>
      <c r="M4" s="15">
        <f>+'[1]Budget 2025W'!T4</f>
        <v>74</v>
      </c>
      <c r="N4" s="15">
        <f>+'[1]Budget 2025W'!U4</f>
        <v>192</v>
      </c>
      <c r="O4" s="19">
        <f>+'[1]Budget 2025W'!V4</f>
        <v>297.59999999999997</v>
      </c>
      <c r="P4" s="15"/>
      <c r="Q4" s="20">
        <f>SUM(D4:O4)</f>
        <v>979.59999999999991</v>
      </c>
    </row>
    <row r="5" spans="2:17" s="10" customFormat="1" ht="20.100000000000001" hidden="1" customHeight="1" x14ac:dyDescent="0.25">
      <c r="B5" s="7"/>
      <c r="C5" s="21" t="s">
        <v>3</v>
      </c>
      <c r="D5" s="18"/>
      <c r="E5" s="18"/>
      <c r="F5" s="18"/>
      <c r="G5" s="18"/>
      <c r="H5" s="15">
        <f>+'[1]Budget 2025W'!O5</f>
        <v>0</v>
      </c>
      <c r="I5" s="15">
        <f>+'[1]Budget 2025W'!P5</f>
        <v>0</v>
      </c>
      <c r="J5" s="15">
        <f>+'[1]Budget 2025W'!Q5</f>
        <v>0</v>
      </c>
      <c r="K5" s="15">
        <f>+'[1]Budget 2025W'!R5</f>
        <v>0</v>
      </c>
      <c r="L5" s="15">
        <f>+'[1]Budget 2025W'!S5</f>
        <v>0</v>
      </c>
      <c r="M5" s="15">
        <f>+'[1]Budget 2025W'!T5</f>
        <v>0</v>
      </c>
      <c r="N5" s="15">
        <f>+'[1]Budget 2025W'!U5</f>
        <v>0</v>
      </c>
      <c r="O5" s="19">
        <f>+'[1]Budget 2025W'!V5</f>
        <v>0</v>
      </c>
      <c r="P5" s="15"/>
      <c r="Q5" s="20">
        <f>SUM(D5:O5)</f>
        <v>0</v>
      </c>
    </row>
    <row r="6" spans="2:17" s="10" customFormat="1" ht="20.100000000000001" customHeight="1" x14ac:dyDescent="0.25">
      <c r="B6" s="7"/>
      <c r="C6" s="17" t="s">
        <v>4</v>
      </c>
      <c r="D6" s="18"/>
      <c r="E6" s="18"/>
      <c r="F6" s="18"/>
      <c r="G6" s="18"/>
      <c r="H6" s="15">
        <f>+'[1]Budget 2025W'!O6</f>
        <v>0</v>
      </c>
      <c r="I6" s="15">
        <f>+'[1]Budget 2025W'!P6</f>
        <v>0</v>
      </c>
      <c r="J6" s="15">
        <f>+'[1]Budget 2025W'!Q6</f>
        <v>0</v>
      </c>
      <c r="K6" s="15">
        <f>+'[1]Budget 2025W'!R6</f>
        <v>0</v>
      </c>
      <c r="L6" s="15">
        <f>+'[1]Budget 2025W'!S6</f>
        <v>0</v>
      </c>
      <c r="M6" s="15">
        <f>+'[1]Budget 2025W'!T6</f>
        <v>0</v>
      </c>
      <c r="N6" s="15">
        <f>+'[1]Budget 2025W'!U6</f>
        <v>0</v>
      </c>
      <c r="O6" s="19">
        <f>+'[1]Budget 2025W'!V6</f>
        <v>0</v>
      </c>
      <c r="P6" s="15"/>
      <c r="Q6" s="20">
        <f>SUM(D6:O6)</f>
        <v>0</v>
      </c>
    </row>
    <row r="7" spans="2:17" s="28" customFormat="1" ht="20.100000000000001" customHeight="1" x14ac:dyDescent="0.25">
      <c r="B7" s="22"/>
      <c r="C7" s="23" t="s">
        <v>5</v>
      </c>
      <c r="D7" s="24"/>
      <c r="E7" s="24"/>
      <c r="F7" s="24"/>
      <c r="G7" s="24"/>
      <c r="H7" s="25">
        <f>+'[1]Budget 2025W'!O7</f>
        <v>0</v>
      </c>
      <c r="I7" s="25">
        <f>+'[1]Budget 2025W'!P7</f>
        <v>0.15</v>
      </c>
      <c r="J7" s="25">
        <f>+'[1]Budget 2025W'!Q7</f>
        <v>0.25</v>
      </c>
      <c r="K7" s="25">
        <f>+'[1]Budget 2025W'!R7</f>
        <v>0.25</v>
      </c>
      <c r="L7" s="25">
        <f>+'[1]Budget 2025W'!S7</f>
        <v>0.2</v>
      </c>
      <c r="M7" s="25">
        <f>+'[1]Budget 2025W'!T7</f>
        <v>0.14919354838709678</v>
      </c>
      <c r="N7" s="25">
        <f>+'[1]Budget 2025W'!U7</f>
        <v>0.4</v>
      </c>
      <c r="O7" s="26">
        <f>+'[1]Budget 2025W'!V7</f>
        <v>0.6</v>
      </c>
      <c r="P7" s="25"/>
      <c r="Q7" s="27">
        <f>IF(Q3=0,"",Q4/Q3)</f>
        <v>0.28609813084112146</v>
      </c>
    </row>
    <row r="8" spans="2:17" s="10" customFormat="1" ht="20.100000000000001" customHeight="1" x14ac:dyDescent="0.25">
      <c r="B8" s="7"/>
      <c r="C8" s="29" t="s">
        <v>6</v>
      </c>
      <c r="D8" s="30"/>
      <c r="E8" s="30"/>
      <c r="F8" s="30"/>
      <c r="G8" s="30"/>
      <c r="H8" s="31">
        <f>+'[1]Budget 2025W'!O8</f>
        <v>0</v>
      </c>
      <c r="I8" s="31">
        <f>+'[1]Budget 2025W'!P8</f>
        <v>375</v>
      </c>
      <c r="J8" s="31">
        <f>+'[1]Budget 2025W'!Q8</f>
        <v>375</v>
      </c>
      <c r="K8" s="31">
        <f>+'[1]Budget 2025W'!R8</f>
        <v>375</v>
      </c>
      <c r="L8" s="31">
        <f>+'[1]Budget 2025W'!S8</f>
        <v>375</v>
      </c>
      <c r="M8" s="31">
        <f>+'[1]Budget 2025W'!T8</f>
        <v>375</v>
      </c>
      <c r="N8" s="31">
        <f>+'[1]Budget 2025W'!U8</f>
        <v>375</v>
      </c>
      <c r="O8" s="32">
        <f>+'[1]Budget 2025W'!V8</f>
        <v>400</v>
      </c>
      <c r="P8" s="31"/>
      <c r="Q8" s="33">
        <f>+Q23/Q4</f>
        <v>382.59493670886081</v>
      </c>
    </row>
    <row r="9" spans="2:17" s="10" customFormat="1" ht="20.100000000000001" customHeight="1" thickBot="1" x14ac:dyDescent="0.3">
      <c r="B9" s="7"/>
      <c r="C9" s="34"/>
      <c r="D9" s="35"/>
      <c r="E9" s="35"/>
      <c r="F9" s="35"/>
      <c r="G9" s="35"/>
      <c r="H9" s="36"/>
      <c r="I9" s="36"/>
      <c r="J9" s="36"/>
      <c r="K9" s="36"/>
      <c r="L9" s="36"/>
      <c r="M9" s="36"/>
      <c r="N9" s="36"/>
      <c r="O9" s="37"/>
      <c r="P9" s="38"/>
      <c r="Q9" s="39"/>
    </row>
    <row r="10" spans="2:17" x14ac:dyDescent="0.2">
      <c r="C10" s="40"/>
      <c r="D10" s="41"/>
      <c r="E10" s="41"/>
      <c r="F10" s="41"/>
      <c r="G10" s="41"/>
      <c r="H10" s="42"/>
      <c r="I10" s="42"/>
      <c r="J10" s="42"/>
      <c r="K10" s="42"/>
      <c r="L10" s="42"/>
      <c r="M10" s="42"/>
      <c r="N10" s="42"/>
      <c r="O10" s="42"/>
      <c r="P10" s="42"/>
      <c r="Q10" s="43"/>
    </row>
    <row r="11" spans="2:17" ht="20.25" x14ac:dyDescent="0.35">
      <c r="C11" s="44" t="s">
        <v>7</v>
      </c>
      <c r="D11" s="45">
        <f>+'[1]P&amp;L Detail Club'!D12</f>
        <v>0</v>
      </c>
      <c r="E11" s="45">
        <f>+'[1]P&amp;L Detail Club'!E12</f>
        <v>0</v>
      </c>
      <c r="F11" s="45">
        <f>+'[1]P&amp;L Detail Club'!F12</f>
        <v>0</v>
      </c>
      <c r="G11" s="45">
        <f>+'[1]P&amp;L Detail Club'!G12</f>
        <v>0</v>
      </c>
      <c r="H11" s="45">
        <f>+'[1]P&amp;L Detail Club'!H12</f>
        <v>0</v>
      </c>
      <c r="I11" s="45">
        <f>+'[1]P&amp;L Detail Club'!I12</f>
        <v>121</v>
      </c>
      <c r="J11" s="45">
        <f>+'[1]P&amp;L Detail Club'!J12</f>
        <v>121</v>
      </c>
      <c r="K11" s="45">
        <f>+'[1]P&amp;L Detail Club'!K12</f>
        <v>121</v>
      </c>
      <c r="L11" s="45">
        <f>+'[1]P&amp;L Detail Club'!L12</f>
        <v>123</v>
      </c>
      <c r="M11" s="45">
        <f>+'[1]P&amp;L Detail Club'!M12</f>
        <v>125</v>
      </c>
      <c r="N11" s="45">
        <f>+'[1]P&amp;L Detail Club'!N12</f>
        <v>127</v>
      </c>
      <c r="O11" s="45">
        <f>+'[1]P&amp;L Detail Club'!O12</f>
        <v>129</v>
      </c>
      <c r="P11" s="45"/>
      <c r="Q11" s="46">
        <f>+O11</f>
        <v>129</v>
      </c>
    </row>
    <row r="12" spans="2:17" ht="20.25" x14ac:dyDescent="0.35">
      <c r="C12" s="44" t="s">
        <v>8</v>
      </c>
      <c r="D12" s="45">
        <f>+'[1]P&amp;L Detail Club'!D13</f>
        <v>0</v>
      </c>
      <c r="E12" s="45">
        <f>+'[1]P&amp;L Detail Club'!E13</f>
        <v>0</v>
      </c>
      <c r="F12" s="45">
        <f>+'[1]P&amp;L Detail Club'!F13</f>
        <v>0</v>
      </c>
      <c r="G12" s="45">
        <f>+'[1]P&amp;L Detail Club'!G13</f>
        <v>0</v>
      </c>
      <c r="H12" s="45">
        <f>+'[1]P&amp;L Detail Club'!H13</f>
        <v>0</v>
      </c>
      <c r="I12" s="45">
        <f>+'[1]P&amp;L Detail Club'!I13</f>
        <v>35</v>
      </c>
      <c r="J12" s="45">
        <f>+'[1]P&amp;L Detail Club'!J13</f>
        <v>35</v>
      </c>
      <c r="K12" s="45">
        <f>+'[1]P&amp;L Detail Club'!K13</f>
        <v>35</v>
      </c>
      <c r="L12" s="45">
        <f>+'[1]P&amp;L Detail Club'!L13</f>
        <v>0</v>
      </c>
      <c r="M12" s="45">
        <f>+'[1]P&amp;L Detail Club'!M13</f>
        <v>0</v>
      </c>
      <c r="N12" s="45">
        <f>+'[1]P&amp;L Detail Club'!N13</f>
        <v>0</v>
      </c>
      <c r="O12" s="45">
        <f>+'[1]P&amp;L Detail Club'!O13</f>
        <v>0</v>
      </c>
      <c r="P12" s="45"/>
      <c r="Q12" s="46">
        <f t="shared" ref="Q12:Q14" si="0">+O12</f>
        <v>0</v>
      </c>
    </row>
    <row r="13" spans="2:17" ht="20.25" x14ac:dyDescent="0.35">
      <c r="C13" s="44" t="s">
        <v>9</v>
      </c>
      <c r="D13" s="45">
        <f>+'[1]P&amp;L Detail Club'!D14</f>
        <v>0</v>
      </c>
      <c r="E13" s="45">
        <f>+'[1]P&amp;L Detail Club'!E14</f>
        <v>0</v>
      </c>
      <c r="F13" s="45">
        <f>+'[1]P&amp;L Detail Club'!F14</f>
        <v>0</v>
      </c>
      <c r="G13" s="45">
        <f>+'[1]P&amp;L Detail Club'!G14</f>
        <v>0</v>
      </c>
      <c r="H13" s="45">
        <f>+'[1]P&amp;L Detail Club'!H14</f>
        <v>0</v>
      </c>
      <c r="I13" s="45">
        <f>+'[1]P&amp;L Detail Club'!I14</f>
        <v>86</v>
      </c>
      <c r="J13" s="45">
        <f>+'[1]P&amp;L Detail Club'!J14</f>
        <v>86</v>
      </c>
      <c r="K13" s="45">
        <f>+'[1]P&amp;L Detail Club'!K14</f>
        <v>86</v>
      </c>
      <c r="L13" s="45">
        <f>+'[1]P&amp;L Detail Club'!L14</f>
        <v>123</v>
      </c>
      <c r="M13" s="45">
        <f>+'[1]P&amp;L Detail Club'!M14</f>
        <v>125</v>
      </c>
      <c r="N13" s="45">
        <f>+'[1]P&amp;L Detail Club'!N14</f>
        <v>127</v>
      </c>
      <c r="O13" s="45">
        <f>+'[1]P&amp;L Detail Club'!O14</f>
        <v>129</v>
      </c>
      <c r="P13" s="45"/>
      <c r="Q13" s="46">
        <f t="shared" si="0"/>
        <v>129</v>
      </c>
    </row>
    <row r="14" spans="2:17" ht="20.25" x14ac:dyDescent="0.35">
      <c r="C14" s="44" t="s">
        <v>10</v>
      </c>
      <c r="D14" s="45">
        <f>+'[1]P&amp;L Detail Club'!D15</f>
        <v>0</v>
      </c>
      <c r="E14" s="45">
        <f>+'[1]P&amp;L Detail Club'!E15</f>
        <v>0</v>
      </c>
      <c r="F14" s="45">
        <f>+'[1]P&amp;L Detail Club'!F15</f>
        <v>0</v>
      </c>
      <c r="G14" s="45">
        <f>+'[1]P&amp;L Detail Club'!G15</f>
        <v>0</v>
      </c>
      <c r="H14" s="45">
        <f>+'[1]P&amp;L Detail Club'!H15</f>
        <v>0</v>
      </c>
      <c r="I14" s="45">
        <f>+'[1]P&amp;L Detail Club'!I15</f>
        <v>0</v>
      </c>
      <c r="J14" s="45">
        <f>+'[1]P&amp;L Detail Club'!J15</f>
        <v>0</v>
      </c>
      <c r="K14" s="45">
        <f>+'[1]P&amp;L Detail Club'!K15</f>
        <v>0</v>
      </c>
      <c r="L14" s="45">
        <f>+'[1]P&amp;L Detail Club'!L15</f>
        <v>0</v>
      </c>
      <c r="M14" s="45">
        <f>+'[1]P&amp;L Detail Club'!M15</f>
        <v>0</v>
      </c>
      <c r="N14" s="45">
        <f>+'[1]P&amp;L Detail Club'!N15</f>
        <v>0</v>
      </c>
      <c r="O14" s="45">
        <f>+'[1]P&amp;L Detail Club'!O15</f>
        <v>0</v>
      </c>
      <c r="P14" s="45"/>
      <c r="Q14" s="46">
        <f t="shared" si="0"/>
        <v>0</v>
      </c>
    </row>
    <row r="15" spans="2:17" ht="20.25" x14ac:dyDescent="0.35"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</row>
    <row r="16" spans="2:17" ht="20.25" x14ac:dyDescent="0.35"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</row>
    <row r="17" spans="2:210" ht="15.75" thickBot="1" x14ac:dyDescent="0.25">
      <c r="C17" s="40"/>
      <c r="D17" s="41"/>
      <c r="E17" s="41"/>
      <c r="F17" s="41"/>
      <c r="G17" s="41"/>
      <c r="H17" s="42"/>
      <c r="I17" s="42"/>
      <c r="J17" s="42"/>
      <c r="K17" s="42"/>
      <c r="L17" s="42"/>
      <c r="M17" s="42"/>
      <c r="N17" s="42"/>
      <c r="O17" s="42"/>
      <c r="P17" s="42"/>
      <c r="Q17" s="43"/>
    </row>
    <row r="18" spans="2:210" s="10" customFormat="1" ht="16.5" thickBot="1" x14ac:dyDescent="0.3">
      <c r="B18" s="7"/>
      <c r="C18" s="47"/>
      <c r="D18" s="48" t="s">
        <v>11</v>
      </c>
      <c r="E18" s="49" t="s">
        <v>12</v>
      </c>
      <c r="F18" s="49" t="s">
        <v>13</v>
      </c>
      <c r="G18" s="49" t="s">
        <v>14</v>
      </c>
      <c r="H18" s="49" t="s">
        <v>15</v>
      </c>
      <c r="I18" s="49" t="s">
        <v>16</v>
      </c>
      <c r="J18" s="49" t="s">
        <v>17</v>
      </c>
      <c r="K18" s="49" t="s">
        <v>18</v>
      </c>
      <c r="L18" s="49" t="s">
        <v>19</v>
      </c>
      <c r="M18" s="49" t="s">
        <v>20</v>
      </c>
      <c r="N18" s="49" t="s">
        <v>21</v>
      </c>
      <c r="O18" s="50" t="s">
        <v>22</v>
      </c>
      <c r="P18" s="51"/>
      <c r="Q18" s="52" t="s">
        <v>23</v>
      </c>
    </row>
    <row r="19" spans="2:210" s="59" customFormat="1" ht="16.5" thickBot="1" x14ac:dyDescent="0.3">
      <c r="B19" s="7"/>
      <c r="C19" s="53" t="s">
        <v>24</v>
      </c>
      <c r="D19" s="54" t="s">
        <v>25</v>
      </c>
      <c r="E19" s="55" t="s">
        <v>25</v>
      </c>
      <c r="F19" s="55" t="s">
        <v>25</v>
      </c>
      <c r="G19" s="55" t="s">
        <v>25</v>
      </c>
      <c r="H19" s="55" t="s">
        <v>25</v>
      </c>
      <c r="I19" s="55" t="s">
        <v>25</v>
      </c>
      <c r="J19" s="55" t="s">
        <v>25</v>
      </c>
      <c r="K19" s="55" t="s">
        <v>25</v>
      </c>
      <c r="L19" s="55" t="s">
        <v>25</v>
      </c>
      <c r="M19" s="55" t="s">
        <v>25</v>
      </c>
      <c r="N19" s="55" t="s">
        <v>25</v>
      </c>
      <c r="O19" s="56" t="s">
        <v>25</v>
      </c>
      <c r="P19" s="57"/>
      <c r="Q19" s="58" t="s">
        <v>25</v>
      </c>
      <c r="R19" s="10"/>
      <c r="S19" s="10"/>
      <c r="T19" s="10"/>
      <c r="U19" s="10"/>
      <c r="V19" s="10"/>
      <c r="W19" s="10"/>
      <c r="X19" s="10"/>
      <c r="Y19" s="10"/>
    </row>
    <row r="20" spans="2:210" s="65" customFormat="1" ht="16.5" thickBot="1" x14ac:dyDescent="0.3">
      <c r="B20" s="1"/>
      <c r="C20" s="60"/>
      <c r="D20" s="61"/>
      <c r="E20" s="61"/>
      <c r="F20" s="61"/>
      <c r="G20" s="61"/>
      <c r="H20" s="62"/>
      <c r="I20" s="62"/>
      <c r="J20" s="62"/>
      <c r="K20" s="62"/>
      <c r="L20" s="62"/>
      <c r="M20" s="62"/>
      <c r="N20" s="62"/>
      <c r="O20" s="62"/>
      <c r="P20" s="63"/>
      <c r="Q20" s="64"/>
      <c r="R20" s="6"/>
      <c r="S20" s="6"/>
      <c r="T20" s="6"/>
      <c r="U20" s="6"/>
      <c r="V20" s="6"/>
      <c r="W20" s="6"/>
      <c r="X20" s="6"/>
      <c r="Y20" s="6"/>
    </row>
    <row r="21" spans="2:210" ht="15.75" x14ac:dyDescent="0.25">
      <c r="C21" s="10"/>
      <c r="D21" s="66"/>
      <c r="E21" s="66"/>
      <c r="F21" s="66"/>
      <c r="G21" s="66"/>
      <c r="H21" s="63"/>
      <c r="I21" s="63"/>
      <c r="J21" s="63"/>
      <c r="K21" s="63"/>
      <c r="L21" s="63"/>
      <c r="M21" s="63"/>
      <c r="N21" s="63"/>
      <c r="O21" s="63"/>
      <c r="P21" s="63"/>
      <c r="Q21" s="67"/>
    </row>
    <row r="22" spans="2:210" s="10" customFormat="1" ht="15.75" x14ac:dyDescent="0.25">
      <c r="B22" s="7"/>
      <c r="C22" s="68" t="s">
        <v>26</v>
      </c>
      <c r="D22" s="69"/>
      <c r="E22" s="69"/>
      <c r="F22" s="69"/>
      <c r="G22" s="69"/>
      <c r="H22" s="70"/>
      <c r="I22" s="70"/>
      <c r="J22" s="70"/>
      <c r="K22" s="70"/>
      <c r="L22" s="70"/>
      <c r="M22" s="70"/>
      <c r="N22" s="70"/>
      <c r="O22" s="70"/>
      <c r="P22" s="70"/>
      <c r="Q22" s="71"/>
    </row>
    <row r="23" spans="2:210" ht="15.75" x14ac:dyDescent="0.25">
      <c r="B23" s="72"/>
      <c r="C23" s="6" t="s">
        <v>27</v>
      </c>
      <c r="D23" s="73">
        <f>+'[1]Budget 2025W'!K17</f>
        <v>0</v>
      </c>
      <c r="E23" s="73">
        <f>+'[1]Budget 2025W'!L17</f>
        <v>0</v>
      </c>
      <c r="F23" s="73">
        <f>+'[1]Budget 2025W'!M17</f>
        <v>0</v>
      </c>
      <c r="G23" s="73">
        <f>+'[1]Budget 2025W'!N17</f>
        <v>0</v>
      </c>
      <c r="H23" s="74">
        <f>+'[1]Budget 2025W'!O17</f>
        <v>0</v>
      </c>
      <c r="I23" s="74">
        <f>+'[1]Budget 2025W'!P17</f>
        <v>27000</v>
      </c>
      <c r="J23" s="74">
        <f>+'[1]Budget 2025W'!Q17</f>
        <v>46500</v>
      </c>
      <c r="K23" s="74">
        <f>+'[1]Budget 2025W'!R17</f>
        <v>46500</v>
      </c>
      <c r="L23" s="74">
        <f>+'[1]Budget 2025W'!S17</f>
        <v>36000</v>
      </c>
      <c r="M23" s="74">
        <f>+'[1]Budget 2025W'!T17</f>
        <v>27750</v>
      </c>
      <c r="N23" s="74">
        <f>+'[1]Budget 2025W'!U17</f>
        <v>72000</v>
      </c>
      <c r="O23" s="74">
        <f>+'[1]Budget 2025W'!V17</f>
        <v>119039.99999999999</v>
      </c>
      <c r="P23" s="74"/>
      <c r="Q23" s="75">
        <f>+'[1]Budget 2025W'!AP17</f>
        <v>374790</v>
      </c>
    </row>
    <row r="24" spans="2:210" ht="15.75" x14ac:dyDescent="0.25">
      <c r="B24" s="72"/>
      <c r="C24" s="6" t="s">
        <v>28</v>
      </c>
      <c r="D24" s="73">
        <f>+'[1]Budget 2025W'!K18</f>
        <v>0</v>
      </c>
      <c r="E24" s="73">
        <f>+'[1]Budget 2025W'!L18</f>
        <v>0</v>
      </c>
      <c r="F24" s="73">
        <f>+'[1]Budget 2025W'!M18</f>
        <v>0</v>
      </c>
      <c r="G24" s="73">
        <f>+'[1]Budget 2025W'!N18</f>
        <v>0</v>
      </c>
      <c r="H24" s="74">
        <f>+'[1]Budget 2025W'!O18</f>
        <v>0</v>
      </c>
      <c r="I24" s="74">
        <f>+'[1]Budget 2025W'!P18</f>
        <v>0</v>
      </c>
      <c r="J24" s="74">
        <f>+'[1]Budget 2025W'!Q18</f>
        <v>0</v>
      </c>
      <c r="K24" s="74">
        <f>+'[1]Budget 2025W'!R18</f>
        <v>0</v>
      </c>
      <c r="L24" s="74">
        <f>+'[1]Budget 2025W'!S18</f>
        <v>0</v>
      </c>
      <c r="M24" s="74">
        <f>+'[1]Budget 2025W'!T18</f>
        <v>0</v>
      </c>
      <c r="N24" s="74">
        <f>+'[1]Budget 2025W'!U18</f>
        <v>0</v>
      </c>
      <c r="O24" s="74">
        <f>+'[1]Budget 2025W'!V18</f>
        <v>0</v>
      </c>
      <c r="P24" s="74"/>
      <c r="Q24" s="75">
        <f>+'[1]Budget 2025W'!AP18</f>
        <v>0</v>
      </c>
    </row>
    <row r="25" spans="2:210" ht="15.75" x14ac:dyDescent="0.25">
      <c r="B25" s="72"/>
      <c r="C25" s="6" t="s">
        <v>29</v>
      </c>
      <c r="D25" s="73">
        <f>+'[1]Budget 2025W'!K19</f>
        <v>0</v>
      </c>
      <c r="E25" s="73">
        <f>+'[1]Budget 2025W'!L19</f>
        <v>0</v>
      </c>
      <c r="F25" s="73">
        <f>+'[1]Budget 2025W'!M19</f>
        <v>0</v>
      </c>
      <c r="G25" s="73">
        <f>+'[1]Budget 2025W'!N19</f>
        <v>0</v>
      </c>
      <c r="H25" s="74">
        <f>+'[1]Budget 2025W'!O19</f>
        <v>0</v>
      </c>
      <c r="I25" s="74">
        <f>+'[1]Budget 2025W'!P19</f>
        <v>1272</v>
      </c>
      <c r="J25" s="74">
        <f>+'[1]Budget 2025W'!Q19</f>
        <v>1272</v>
      </c>
      <c r="K25" s="74">
        <f>+'[1]Budget 2025W'!R19</f>
        <v>1272</v>
      </c>
      <c r="L25" s="74">
        <f>+'[1]Budget 2025W'!S19</f>
        <v>1272</v>
      </c>
      <c r="M25" s="74">
        <f>+'[1]Budget 2025W'!T19</f>
        <v>1272</v>
      </c>
      <c r="N25" s="74">
        <f>+'[1]Budget 2025W'!U19</f>
        <v>2544</v>
      </c>
      <c r="O25" s="74">
        <f>+'[1]Budget 2025W'!V19</f>
        <v>2544</v>
      </c>
      <c r="P25" s="74"/>
      <c r="Q25" s="75">
        <f>+'[1]Budget 2025W'!AP19</f>
        <v>11448</v>
      </c>
    </row>
    <row r="26" spans="2:210" ht="15.75" x14ac:dyDescent="0.25">
      <c r="B26" s="72"/>
      <c r="C26" s="6" t="s">
        <v>30</v>
      </c>
      <c r="D26" s="73">
        <f>+'[1]Budget 2025W'!K20</f>
        <v>0</v>
      </c>
      <c r="E26" s="73">
        <f>+'[1]Budget 2025W'!L20</f>
        <v>0</v>
      </c>
      <c r="F26" s="73">
        <f>+'[1]Budget 2025W'!M20</f>
        <v>0</v>
      </c>
      <c r="G26" s="73">
        <f>+'[1]Budget 2025W'!N20</f>
        <v>0</v>
      </c>
      <c r="H26" s="74">
        <f>+'[1]Budget 2025W'!O20</f>
        <v>0</v>
      </c>
      <c r="I26" s="74">
        <f>+'[1]Budget 2025W'!P20</f>
        <v>1200</v>
      </c>
      <c r="J26" s="74">
        <f>+'[1]Budget 2025W'!Q20</f>
        <v>1200</v>
      </c>
      <c r="K26" s="74">
        <f>+'[1]Budget 2025W'!R20</f>
        <v>1200</v>
      </c>
      <c r="L26" s="74">
        <f>+'[1]Budget 2025W'!S20</f>
        <v>1200</v>
      </c>
      <c r="M26" s="74">
        <f>+'[1]Budget 2025W'!T20</f>
        <v>1200</v>
      </c>
      <c r="N26" s="74">
        <f>+'[1]Budget 2025W'!U20</f>
        <v>2400</v>
      </c>
      <c r="O26" s="74">
        <f>+'[1]Budget 2025W'!V20</f>
        <v>2400</v>
      </c>
      <c r="P26" s="74"/>
      <c r="Q26" s="75">
        <f>+'[1]Budget 2025W'!AP20</f>
        <v>10800</v>
      </c>
    </row>
    <row r="27" spans="2:210" ht="15.75" x14ac:dyDescent="0.25">
      <c r="B27" s="72"/>
      <c r="C27" s="6" t="s">
        <v>31</v>
      </c>
      <c r="D27" s="73">
        <f>+'[1]Budget 2025W'!K21</f>
        <v>0</v>
      </c>
      <c r="E27" s="73">
        <f>+'[1]Budget 2025W'!L21</f>
        <v>0</v>
      </c>
      <c r="F27" s="73">
        <f>+'[1]Budget 2025W'!M21</f>
        <v>0</v>
      </c>
      <c r="G27" s="73">
        <f>+'[1]Budget 2025W'!N21</f>
        <v>0</v>
      </c>
      <c r="H27" s="74">
        <f>+'[1]Budget 2025W'!O21</f>
        <v>0</v>
      </c>
      <c r="I27" s="74">
        <f>+'[1]Budget 2025W'!P21</f>
        <v>0</v>
      </c>
      <c r="J27" s="74">
        <f>+'[1]Budget 2025W'!Q21</f>
        <v>0</v>
      </c>
      <c r="K27" s="74">
        <f>+'[1]Budget 2025W'!R21</f>
        <v>0</v>
      </c>
      <c r="L27" s="74">
        <f>+'[1]Budget 2025W'!S21</f>
        <v>0</v>
      </c>
      <c r="M27" s="74">
        <f>+'[1]Budget 2025W'!T21</f>
        <v>0</v>
      </c>
      <c r="N27" s="74">
        <f>+'[1]Budget 2025W'!U21</f>
        <v>0</v>
      </c>
      <c r="O27" s="74">
        <f>+'[1]Budget 2025W'!V21</f>
        <v>0</v>
      </c>
      <c r="P27" s="74"/>
      <c r="Q27" s="75">
        <f>+'[1]Budget 2025W'!AP21</f>
        <v>0</v>
      </c>
    </row>
    <row r="28" spans="2:210" ht="15.75" x14ac:dyDescent="0.25">
      <c r="B28" s="72"/>
      <c r="C28" s="6" t="s">
        <v>32</v>
      </c>
      <c r="D28" s="73">
        <f>+'[1]Budget 2025W'!K24</f>
        <v>0</v>
      </c>
      <c r="E28" s="73">
        <f>+'[1]Budget 2025W'!L24</f>
        <v>0</v>
      </c>
      <c r="F28" s="73">
        <f>+'[1]Budget 2025W'!M24</f>
        <v>0</v>
      </c>
      <c r="G28" s="73">
        <f>+'[1]Budget 2025W'!N24</f>
        <v>0</v>
      </c>
      <c r="H28" s="74">
        <f>+'[1]Budget 2025W'!O24</f>
        <v>0</v>
      </c>
      <c r="I28" s="74">
        <f>+'[1]Budget 2025W'!P24</f>
        <v>17200</v>
      </c>
      <c r="J28" s="74">
        <f>+'[1]Budget 2025W'!Q24</f>
        <v>17950</v>
      </c>
      <c r="K28" s="74">
        <f>+'[1]Budget 2025W'!R24</f>
        <v>17950</v>
      </c>
      <c r="L28" s="76">
        <f>+'[1]Budget 2025W'!S24</f>
        <v>25350</v>
      </c>
      <c r="M28" s="74">
        <f>+'[1]Budget 2025W'!T24</f>
        <v>25750</v>
      </c>
      <c r="N28" s="74">
        <f>+'[1]Budget 2025W'!U24</f>
        <v>26150</v>
      </c>
      <c r="O28" s="74">
        <f>+'[1]Budget 2025W'!V24</f>
        <v>27090</v>
      </c>
      <c r="P28" s="74"/>
      <c r="Q28" s="75">
        <f>+'[1]Budget 2025W'!AP24</f>
        <v>157440</v>
      </c>
    </row>
    <row r="29" spans="2:210" ht="15.75" x14ac:dyDescent="0.25">
      <c r="B29" s="72"/>
      <c r="C29" s="6" t="s">
        <v>33</v>
      </c>
      <c r="D29" s="73">
        <f>+'[1]Budget 2025W'!K23</f>
        <v>0</v>
      </c>
      <c r="E29" s="73">
        <f>+'[1]Budget 2025W'!L23</f>
        <v>0</v>
      </c>
      <c r="F29" s="73">
        <f>+'[1]Budget 2025W'!M23</f>
        <v>0</v>
      </c>
      <c r="G29" s="73">
        <f>+'[1]Budget 2025W'!N23</f>
        <v>0</v>
      </c>
      <c r="H29" s="74">
        <f>+'[1]Budget 2025W'!O23</f>
        <v>0</v>
      </c>
      <c r="I29" s="74">
        <f>+'[1]Budget 2025W'!P23</f>
        <v>0</v>
      </c>
      <c r="J29" s="74">
        <f>+'[1]Budget 2025W'!Q23</f>
        <v>0</v>
      </c>
      <c r="K29" s="74">
        <f>+'[1]Budget 2025W'!R23</f>
        <v>0</v>
      </c>
      <c r="L29" s="74">
        <f>+'[1]Budget 2025W'!S23</f>
        <v>0</v>
      </c>
      <c r="M29" s="74">
        <f>+'[1]Budget 2025W'!T23</f>
        <v>0</v>
      </c>
      <c r="N29" s="74">
        <f>+'[1]Budget 2025W'!U23</f>
        <v>0</v>
      </c>
      <c r="O29" s="74">
        <f>+'[1]Budget 2025W'!V23</f>
        <v>0</v>
      </c>
      <c r="P29" s="74"/>
      <c r="Q29" s="75">
        <f>+'[1]Budget 2025W'!AP23</f>
        <v>0</v>
      </c>
      <c r="HB29" s="77" t="s">
        <v>34</v>
      </c>
    </row>
    <row r="30" spans="2:210" ht="15.75" x14ac:dyDescent="0.25">
      <c r="B30" s="72"/>
      <c r="C30" s="6" t="s">
        <v>35</v>
      </c>
      <c r="D30" s="73">
        <f>+'[1]Budget 2025W'!K22</f>
        <v>0</v>
      </c>
      <c r="E30" s="73">
        <f>+'[1]Budget 2025W'!L22</f>
        <v>0</v>
      </c>
      <c r="F30" s="73">
        <f>+'[1]Budget 2025W'!M22</f>
        <v>0</v>
      </c>
      <c r="G30" s="73">
        <f>+'[1]Budget 2025W'!N22</f>
        <v>0</v>
      </c>
      <c r="H30" s="74">
        <f>+'[1]Budget 2025W'!O22</f>
        <v>0</v>
      </c>
      <c r="I30" s="74">
        <f>+'[1]Budget 2025W'!P22</f>
        <v>0</v>
      </c>
      <c r="J30" s="74">
        <f>+'[1]Budget 2025W'!Q22</f>
        <v>0</v>
      </c>
      <c r="K30" s="74">
        <f>+'[1]Budget 2025W'!R22</f>
        <v>0</v>
      </c>
      <c r="L30" s="74">
        <f>+'[1]Budget 2025W'!S22</f>
        <v>0</v>
      </c>
      <c r="M30" s="74">
        <f>+'[1]Budget 2025W'!T22</f>
        <v>0</v>
      </c>
      <c r="N30" s="74">
        <f>+'[1]Budget 2025W'!U22</f>
        <v>0</v>
      </c>
      <c r="O30" s="74">
        <f>+'[1]Budget 2025W'!V22</f>
        <v>0</v>
      </c>
      <c r="P30" s="74"/>
      <c r="Q30" s="75">
        <f>+'[1]Budget 2025W'!AP22</f>
        <v>0</v>
      </c>
      <c r="HB30" s="77" t="s">
        <v>36</v>
      </c>
    </row>
    <row r="31" spans="2:210" ht="15.75" x14ac:dyDescent="0.25">
      <c r="B31" s="72"/>
      <c r="C31" s="6" t="s">
        <v>37</v>
      </c>
      <c r="D31" s="73">
        <f>+'[1]Budget 2025W'!K26</f>
        <v>0</v>
      </c>
      <c r="E31" s="73">
        <f>+'[1]Budget 2025W'!L26</f>
        <v>0</v>
      </c>
      <c r="F31" s="73">
        <f>+'[1]Budget 2025W'!M26</f>
        <v>0</v>
      </c>
      <c r="G31" s="73">
        <f>+'[1]Budget 2025W'!N26</f>
        <v>0</v>
      </c>
      <c r="H31" s="74">
        <f>+'[1]Budget 2025W'!O26</f>
        <v>0</v>
      </c>
      <c r="I31" s="74">
        <f>+'[1]Budget 2025W'!P26</f>
        <v>0</v>
      </c>
      <c r="J31" s="74">
        <f>+'[1]Budget 2025W'!Q26</f>
        <v>0</v>
      </c>
      <c r="K31" s="74">
        <f>+'[1]Budget 2025W'!R26</f>
        <v>0</v>
      </c>
      <c r="L31" s="74">
        <f>+'[1]Budget 2025W'!S26</f>
        <v>0</v>
      </c>
      <c r="M31" s="74">
        <f>+'[1]Budget 2025W'!T26</f>
        <v>0</v>
      </c>
      <c r="N31" s="74">
        <f>+'[1]Budget 2025W'!U26</f>
        <v>0</v>
      </c>
      <c r="O31" s="74">
        <f>+'[1]Budget 2025W'!V26</f>
        <v>0</v>
      </c>
      <c r="P31" s="74"/>
      <c r="Q31" s="75">
        <f>+'[1]Budget 2025W'!AP26</f>
        <v>0</v>
      </c>
      <c r="HB31" s="77" t="s">
        <v>38</v>
      </c>
    </row>
    <row r="32" spans="2:210" ht="15.75" x14ac:dyDescent="0.25">
      <c r="B32" s="72"/>
      <c r="D32" s="73"/>
      <c r="E32" s="73"/>
      <c r="F32" s="73"/>
      <c r="G32" s="73"/>
      <c r="H32" s="74"/>
      <c r="I32" s="74"/>
      <c r="J32" s="74"/>
      <c r="K32" s="74"/>
      <c r="L32" s="74"/>
      <c r="M32" s="74"/>
      <c r="N32" s="74"/>
      <c r="O32" s="74"/>
      <c r="P32" s="74"/>
      <c r="Q32" s="75"/>
      <c r="HB32" s="77"/>
    </row>
    <row r="33" spans="2:210" ht="15.75" hidden="1" x14ac:dyDescent="0.25">
      <c r="B33" s="72"/>
      <c r="D33" s="73"/>
      <c r="E33" s="73"/>
      <c r="F33" s="73"/>
      <c r="G33" s="73"/>
      <c r="H33" s="74"/>
      <c r="I33" s="74"/>
      <c r="J33" s="74"/>
      <c r="K33" s="74"/>
      <c r="L33" s="74"/>
      <c r="M33" s="74"/>
      <c r="N33" s="74"/>
      <c r="O33" s="74"/>
      <c r="P33" s="74"/>
      <c r="Q33" s="75"/>
      <c r="HB33" s="77"/>
    </row>
    <row r="34" spans="2:210" ht="15.75" hidden="1" x14ac:dyDescent="0.25">
      <c r="B34" s="72"/>
      <c r="D34" s="73"/>
      <c r="E34" s="73"/>
      <c r="F34" s="73"/>
      <c r="G34" s="73"/>
      <c r="H34" s="74"/>
      <c r="I34" s="74"/>
      <c r="J34" s="74"/>
      <c r="K34" s="74"/>
      <c r="L34" s="74"/>
      <c r="M34" s="74"/>
      <c r="N34" s="74"/>
      <c r="O34" s="74"/>
      <c r="P34" s="74"/>
      <c r="Q34" s="75"/>
      <c r="HB34" s="77"/>
    </row>
    <row r="35" spans="2:210" ht="15.75" thickBot="1" x14ac:dyDescent="0.25">
      <c r="B35" s="6"/>
      <c r="D35" s="73" t="s">
        <v>39</v>
      </c>
      <c r="E35" s="73" t="s">
        <v>39</v>
      </c>
      <c r="F35" s="73" t="s">
        <v>39</v>
      </c>
      <c r="G35" s="73" t="s">
        <v>39</v>
      </c>
      <c r="H35" s="74" t="s">
        <v>39</v>
      </c>
      <c r="I35" s="74" t="s">
        <v>39</v>
      </c>
      <c r="J35" s="74" t="s">
        <v>39</v>
      </c>
      <c r="K35" s="74" t="s">
        <v>39</v>
      </c>
      <c r="L35" s="74" t="s">
        <v>39</v>
      </c>
      <c r="M35" s="74" t="s">
        <v>39</v>
      </c>
      <c r="N35" s="74" t="s">
        <v>39</v>
      </c>
      <c r="O35" s="74" t="s">
        <v>39</v>
      </c>
      <c r="P35" s="74"/>
      <c r="Q35" s="75" t="s">
        <v>39</v>
      </c>
      <c r="HB35" s="77" t="s">
        <v>40</v>
      </c>
    </row>
    <row r="36" spans="2:210" s="59" customFormat="1" ht="16.5" thickBot="1" x14ac:dyDescent="0.3">
      <c r="B36" s="10"/>
      <c r="C36" s="78" t="s">
        <v>41</v>
      </c>
      <c r="D36" s="79">
        <f t="shared" ref="D36:O36" si="1">SUM(D23:D35)</f>
        <v>0</v>
      </c>
      <c r="E36" s="79">
        <f t="shared" si="1"/>
        <v>0</v>
      </c>
      <c r="F36" s="79">
        <f t="shared" si="1"/>
        <v>0</v>
      </c>
      <c r="G36" s="79">
        <f t="shared" si="1"/>
        <v>0</v>
      </c>
      <c r="H36" s="79">
        <f t="shared" si="1"/>
        <v>0</v>
      </c>
      <c r="I36" s="79">
        <f t="shared" si="1"/>
        <v>46672</v>
      </c>
      <c r="J36" s="79">
        <f t="shared" si="1"/>
        <v>66922</v>
      </c>
      <c r="K36" s="79">
        <f t="shared" si="1"/>
        <v>66922</v>
      </c>
      <c r="L36" s="79">
        <f t="shared" si="1"/>
        <v>63822</v>
      </c>
      <c r="M36" s="79">
        <f t="shared" si="1"/>
        <v>55972</v>
      </c>
      <c r="N36" s="79">
        <f t="shared" si="1"/>
        <v>103094</v>
      </c>
      <c r="O36" s="79">
        <f t="shared" si="1"/>
        <v>151074</v>
      </c>
      <c r="P36" s="70"/>
      <c r="Q36" s="80">
        <f>SUM(Q23:Q35)</f>
        <v>554478</v>
      </c>
      <c r="R36" s="10"/>
      <c r="S36" s="81"/>
      <c r="T36" s="10"/>
      <c r="U36" s="10"/>
      <c r="V36" s="10"/>
      <c r="W36" s="10"/>
      <c r="X36" s="10"/>
      <c r="Y36" s="10"/>
      <c r="HB36" s="28" t="s">
        <v>42</v>
      </c>
    </row>
    <row r="37" spans="2:210" ht="15.75" x14ac:dyDescent="0.25">
      <c r="B37" s="6"/>
      <c r="C37" s="10"/>
      <c r="D37" s="69" t="s">
        <v>39</v>
      </c>
      <c r="E37" s="69" t="s">
        <v>39</v>
      </c>
      <c r="F37" s="69" t="s">
        <v>39</v>
      </c>
      <c r="G37" s="69" t="s">
        <v>39</v>
      </c>
      <c r="H37" s="70" t="s">
        <v>39</v>
      </c>
      <c r="I37" s="70" t="s">
        <v>39</v>
      </c>
      <c r="J37" s="70" t="s">
        <v>39</v>
      </c>
      <c r="K37" s="70" t="s">
        <v>39</v>
      </c>
      <c r="L37" s="70" t="s">
        <v>39</v>
      </c>
      <c r="M37" s="70" t="s">
        <v>39</v>
      </c>
      <c r="N37" s="70" t="s">
        <v>39</v>
      </c>
      <c r="O37" s="70" t="s">
        <v>39</v>
      </c>
      <c r="P37" s="70"/>
      <c r="Q37" s="71" t="s">
        <v>39</v>
      </c>
      <c r="HB37" s="77" t="s">
        <v>43</v>
      </c>
    </row>
    <row r="38" spans="2:210" s="59" customFormat="1" ht="15.75" x14ac:dyDescent="0.25">
      <c r="B38" s="10"/>
      <c r="C38" s="82" t="s">
        <v>44</v>
      </c>
      <c r="D38" s="69"/>
      <c r="E38" s="69"/>
      <c r="F38" s="69"/>
      <c r="G38" s="69"/>
      <c r="H38" s="70"/>
      <c r="I38" s="70"/>
      <c r="J38" s="70"/>
      <c r="K38" s="70"/>
      <c r="L38" s="70"/>
      <c r="M38" s="70"/>
      <c r="N38" s="70"/>
      <c r="O38" s="70"/>
      <c r="P38" s="70"/>
      <c r="Q38" s="71" t="s">
        <v>39</v>
      </c>
      <c r="R38" s="10"/>
      <c r="S38" s="10"/>
      <c r="T38" s="10"/>
      <c r="U38" s="10"/>
      <c r="V38" s="10"/>
      <c r="W38" s="10"/>
      <c r="X38" s="10"/>
      <c r="Y38" s="10"/>
      <c r="HB38" s="28" t="s">
        <v>45</v>
      </c>
    </row>
    <row r="39" spans="2:210" x14ac:dyDescent="0.2">
      <c r="B39" s="6"/>
      <c r="D39" s="73" t="s">
        <v>39</v>
      </c>
      <c r="E39" s="73" t="s">
        <v>39</v>
      </c>
      <c r="F39" s="73" t="s">
        <v>39</v>
      </c>
      <c r="G39" s="73" t="s">
        <v>39</v>
      </c>
      <c r="H39" s="74" t="s">
        <v>39</v>
      </c>
      <c r="I39" s="74" t="s">
        <v>39</v>
      </c>
      <c r="J39" s="74" t="s">
        <v>39</v>
      </c>
      <c r="K39" s="74" t="s">
        <v>39</v>
      </c>
      <c r="L39" s="74" t="s">
        <v>39</v>
      </c>
      <c r="M39" s="74" t="s">
        <v>39</v>
      </c>
      <c r="N39" s="74" t="s">
        <v>39</v>
      </c>
      <c r="O39" s="74" t="s">
        <v>39</v>
      </c>
      <c r="P39" s="74"/>
      <c r="Q39" s="75" t="s">
        <v>39</v>
      </c>
      <c r="HB39" s="77" t="s">
        <v>46</v>
      </c>
    </row>
    <row r="40" spans="2:210" ht="15.75" x14ac:dyDescent="0.25">
      <c r="B40" s="72"/>
      <c r="C40" s="6" t="s">
        <v>27</v>
      </c>
      <c r="D40" s="73">
        <f>+'[1]Budget 2025W'!K32</f>
        <v>0</v>
      </c>
      <c r="E40" s="73">
        <f>+'[1]Budget 2025W'!L32</f>
        <v>0</v>
      </c>
      <c r="F40" s="73">
        <f>+'[1]Budget 2025W'!M32</f>
        <v>0</v>
      </c>
      <c r="G40" s="73">
        <f>+'[1]Budget 2025W'!N32</f>
        <v>0</v>
      </c>
      <c r="H40" s="74">
        <f>+'[1]Budget 2025W'!O32</f>
        <v>0</v>
      </c>
      <c r="I40" s="74">
        <f>+'[1]Budget 2025W'!P32</f>
        <v>27661.045615698346</v>
      </c>
      <c r="J40" s="74">
        <f>+'[1]Budget 2025W'!Q32</f>
        <v>33665.626402884664</v>
      </c>
      <c r="K40" s="74">
        <f>+'[1]Budget 2025W'!R32</f>
        <v>34060.272818268699</v>
      </c>
      <c r="L40" s="74">
        <f>+'[1]Budget 2025W'!S32</f>
        <v>32104.132489841184</v>
      </c>
      <c r="M40" s="74">
        <f>+'[1]Budget 2025W'!T32</f>
        <v>38367.807195192647</v>
      </c>
      <c r="N40" s="74">
        <f>+'[1]Budget 2025W'!U32</f>
        <v>38795.583195192652</v>
      </c>
      <c r="O40" s="74">
        <f>+'[1]Budget 2025W'!V32</f>
        <v>51349.575697533204</v>
      </c>
      <c r="P40" s="74"/>
      <c r="Q40" s="75">
        <f>+'[1]Budget 2025W'!AP32</f>
        <v>256004.0434146114</v>
      </c>
      <c r="HB40" s="77" t="s">
        <v>47</v>
      </c>
    </row>
    <row r="41" spans="2:210" ht="15.75" x14ac:dyDescent="0.25">
      <c r="B41" s="72"/>
      <c r="C41" s="6" t="s">
        <v>28</v>
      </c>
      <c r="D41" s="73">
        <f>+'[1]Budget 2025W'!K33</f>
        <v>0</v>
      </c>
      <c r="E41" s="73">
        <f>+'[1]Budget 2025W'!L33</f>
        <v>0</v>
      </c>
      <c r="F41" s="73">
        <f>+'[1]Budget 2025W'!M33</f>
        <v>0</v>
      </c>
      <c r="G41" s="73">
        <f>+'[1]Budget 2025W'!N33</f>
        <v>0</v>
      </c>
      <c r="H41" s="74">
        <f>+'[1]Budget 2025W'!O33</f>
        <v>0</v>
      </c>
      <c r="I41" s="74">
        <f>+'[1]Budget 2025W'!P33</f>
        <v>2048.4</v>
      </c>
      <c r="J41" s="74">
        <f>+'[1]Budget 2025W'!Q33</f>
        <v>3527.7999999999997</v>
      </c>
      <c r="K41" s="74">
        <f>+'[1]Budget 2025W'!R33</f>
        <v>3527.7999999999997</v>
      </c>
      <c r="L41" s="74">
        <f>+'[1]Budget 2025W'!S33</f>
        <v>2731.2</v>
      </c>
      <c r="M41" s="74">
        <f>+'[1]Budget 2025W'!T33</f>
        <v>2105.2999999999997</v>
      </c>
      <c r="N41" s="74">
        <f>+'[1]Budget 2025W'!U33</f>
        <v>5462.4</v>
      </c>
      <c r="O41" s="74">
        <f>+'[1]Budget 2025W'!V33</f>
        <v>8466.7199999999993</v>
      </c>
      <c r="P41" s="74"/>
      <c r="Q41" s="75">
        <f>+'[1]Budget 2025W'!AP33</f>
        <v>27869.620000000003</v>
      </c>
      <c r="HB41" s="77" t="s">
        <v>48</v>
      </c>
    </row>
    <row r="42" spans="2:210" ht="15.75" x14ac:dyDescent="0.25">
      <c r="B42" s="72"/>
      <c r="C42" s="6" t="s">
        <v>29</v>
      </c>
      <c r="D42" s="73">
        <f>+'[1]Budget 2025W'!K34</f>
        <v>0</v>
      </c>
      <c r="E42" s="73">
        <f>+'[1]Budget 2025W'!L34</f>
        <v>0</v>
      </c>
      <c r="F42" s="73">
        <f>+'[1]Budget 2025W'!M34</f>
        <v>0</v>
      </c>
      <c r="G42" s="73">
        <f>+'[1]Budget 2025W'!N34</f>
        <v>0</v>
      </c>
      <c r="H42" s="74">
        <f>+'[1]Budget 2025W'!O34</f>
        <v>0</v>
      </c>
      <c r="I42" s="74">
        <f>+'[1]Budget 2025W'!P34</f>
        <v>1172.2066666666667</v>
      </c>
      <c r="J42" s="74">
        <f>+'[1]Budget 2025W'!Q34</f>
        <v>1172.2066666666667</v>
      </c>
      <c r="K42" s="74">
        <f>+'[1]Budget 2025W'!R34</f>
        <v>1172.2066666666667</v>
      </c>
      <c r="L42" s="74">
        <f>+'[1]Budget 2025W'!S34</f>
        <v>1172.2066666666667</v>
      </c>
      <c r="M42" s="74">
        <f>+'[1]Budget 2025W'!T34</f>
        <v>1172.2066666666667</v>
      </c>
      <c r="N42" s="74">
        <f>+'[1]Budget 2025W'!U34</f>
        <v>2126.2066666666669</v>
      </c>
      <c r="O42" s="74">
        <f>+'[1]Budget 2025W'!V34</f>
        <v>2126.2066666666669</v>
      </c>
      <c r="P42" s="74"/>
      <c r="Q42" s="75">
        <f>+'[1]Budget 2025W'!AP34</f>
        <v>10113.446666666667</v>
      </c>
      <c r="HB42" s="77" t="s">
        <v>49</v>
      </c>
    </row>
    <row r="43" spans="2:210" ht="15.75" x14ac:dyDescent="0.25">
      <c r="B43" s="72"/>
      <c r="C43" s="6" t="s">
        <v>30</v>
      </c>
      <c r="D43" s="73">
        <f>+'[1]Budget 2025W'!K35</f>
        <v>0</v>
      </c>
      <c r="E43" s="73">
        <f>+'[1]Budget 2025W'!L35</f>
        <v>0</v>
      </c>
      <c r="F43" s="73">
        <f>+'[1]Budget 2025W'!M35</f>
        <v>0</v>
      </c>
      <c r="G43" s="73">
        <f>+'[1]Budget 2025W'!N35</f>
        <v>0</v>
      </c>
      <c r="H43" s="74">
        <f>+'[1]Budget 2025W'!O35</f>
        <v>0</v>
      </c>
      <c r="I43" s="74">
        <f>+'[1]Budget 2025W'!P35</f>
        <v>1114.2063768115943</v>
      </c>
      <c r="J43" s="74">
        <f>+'[1]Budget 2025W'!Q35</f>
        <v>1163.631497584541</v>
      </c>
      <c r="K43" s="74">
        <f>+'[1]Budget 2025W'!R35</f>
        <v>1262.4817391304348</v>
      </c>
      <c r="L43" s="74">
        <f>+'[1]Budget 2025W'!S35</f>
        <v>1163.631497584541</v>
      </c>
      <c r="M43" s="74">
        <f>+'[1]Budget 2025W'!T35</f>
        <v>1114.2063768115943</v>
      </c>
      <c r="N43" s="74">
        <f>+'[1]Budget 2025W'!U35</f>
        <v>2074.2063768115941</v>
      </c>
      <c r="O43" s="74">
        <f>+'[1]Budget 2025W'!V35</f>
        <v>2173.0566183574879</v>
      </c>
      <c r="P43" s="74"/>
      <c r="Q43" s="75">
        <f>+'[1]Budget 2025W'!AP35</f>
        <v>10065.420483091786</v>
      </c>
      <c r="HB43" s="77"/>
    </row>
    <row r="44" spans="2:210" ht="15.75" x14ac:dyDescent="0.25">
      <c r="B44" s="72"/>
      <c r="C44" s="6" t="s">
        <v>31</v>
      </c>
      <c r="D44" s="73">
        <f>+'[1]Budget 2025W'!K36</f>
        <v>0</v>
      </c>
      <c r="E44" s="73">
        <f>+'[1]Budget 2025W'!L36</f>
        <v>0</v>
      </c>
      <c r="F44" s="73">
        <f>+'[1]Budget 2025W'!M36</f>
        <v>0</v>
      </c>
      <c r="G44" s="73">
        <f>+'[1]Budget 2025W'!N36</f>
        <v>0</v>
      </c>
      <c r="H44" s="74">
        <f>+'[1]Budget 2025W'!O36</f>
        <v>0</v>
      </c>
      <c r="I44" s="74">
        <f>+'[1]Budget 2025W'!P36</f>
        <v>0</v>
      </c>
      <c r="J44" s="74">
        <f>+'[1]Budget 2025W'!Q36</f>
        <v>0</v>
      </c>
      <c r="K44" s="74">
        <f>+'[1]Budget 2025W'!R36</f>
        <v>0</v>
      </c>
      <c r="L44" s="74">
        <f>+'[1]Budget 2025W'!S36</f>
        <v>0</v>
      </c>
      <c r="M44" s="74">
        <f>+'[1]Budget 2025W'!T36</f>
        <v>0</v>
      </c>
      <c r="N44" s="74">
        <f>+'[1]Budget 2025W'!U36</f>
        <v>0</v>
      </c>
      <c r="O44" s="74">
        <f>+'[1]Budget 2025W'!V36</f>
        <v>0</v>
      </c>
      <c r="P44" s="74"/>
      <c r="Q44" s="75">
        <f>+'[1]Budget 2025W'!AP36</f>
        <v>0</v>
      </c>
      <c r="HB44" s="77"/>
    </row>
    <row r="45" spans="2:210" ht="15.75" x14ac:dyDescent="0.25">
      <c r="B45" s="72"/>
      <c r="C45" s="6" t="s">
        <v>32</v>
      </c>
      <c r="D45" s="73">
        <f>+'[1]Budget 2025W'!K39</f>
        <v>0</v>
      </c>
      <c r="E45" s="73">
        <f>+'[1]Budget 2025W'!L39</f>
        <v>0</v>
      </c>
      <c r="F45" s="73">
        <f>+'[1]Budget 2025W'!M39</f>
        <v>0</v>
      </c>
      <c r="G45" s="73">
        <f>+'[1]Budget 2025W'!N39</f>
        <v>0</v>
      </c>
      <c r="H45" s="74">
        <f>+'[1]Budget 2025W'!O39</f>
        <v>0</v>
      </c>
      <c r="I45" s="74">
        <f>+'[1]Budget 2025W'!P39</f>
        <v>28998.515969276647</v>
      </c>
      <c r="J45" s="74">
        <f>+'[1]Budget 2025W'!Q39</f>
        <v>29471.368947117579</v>
      </c>
      <c r="K45" s="74">
        <f>+'[1]Budget 2025W'!R39</f>
        <v>31533.737348846535</v>
      </c>
      <c r="L45" s="74">
        <f>+'[1]Budget 2025W'!S39</f>
        <v>26500.154273204535</v>
      </c>
      <c r="M45" s="74">
        <f>+'[1]Budget 2025W'!T39</f>
        <v>26279.141267992221</v>
      </c>
      <c r="N45" s="74">
        <f>+'[1]Budget 2025W'!U39</f>
        <v>28321.323333209613</v>
      </c>
      <c r="O45" s="74">
        <f>+'[1]Budget 2025W'!V39</f>
        <v>29146.944452329881</v>
      </c>
      <c r="P45" s="74"/>
      <c r="Q45" s="75">
        <f>+'[1]Budget 2025W'!AP39</f>
        <v>200251.18559197703</v>
      </c>
    </row>
    <row r="46" spans="2:210" ht="15.75" x14ac:dyDescent="0.25">
      <c r="B46" s="72"/>
      <c r="C46" s="6" t="s">
        <v>33</v>
      </c>
      <c r="D46" s="73">
        <f>+'[1]Budget 2025W'!K38</f>
        <v>0</v>
      </c>
      <c r="E46" s="73">
        <f>+'[1]Budget 2025W'!L38</f>
        <v>0</v>
      </c>
      <c r="F46" s="73">
        <f>+'[1]Budget 2025W'!M38</f>
        <v>0</v>
      </c>
      <c r="G46" s="73">
        <f>+'[1]Budget 2025W'!N38</f>
        <v>0</v>
      </c>
      <c r="H46" s="74">
        <f>+'[1]Budget 2025W'!O38</f>
        <v>0</v>
      </c>
      <c r="I46" s="74">
        <f>+'[1]Budget 2025W'!P38</f>
        <v>0</v>
      </c>
      <c r="J46" s="74">
        <f>+'[1]Budget 2025W'!Q38</f>
        <v>0</v>
      </c>
      <c r="K46" s="74">
        <f>+'[1]Budget 2025W'!R38</f>
        <v>0</v>
      </c>
      <c r="L46" s="74">
        <f>+'[1]Budget 2025W'!S38</f>
        <v>0</v>
      </c>
      <c r="M46" s="74">
        <f>+'[1]Budget 2025W'!T38</f>
        <v>0</v>
      </c>
      <c r="N46" s="74">
        <f>+'[1]Budget 2025W'!U38</f>
        <v>0</v>
      </c>
      <c r="O46" s="74">
        <f>+'[1]Budget 2025W'!V38</f>
        <v>0</v>
      </c>
      <c r="P46" s="74"/>
      <c r="Q46" s="75">
        <f>+'[1]Budget 2025W'!AP38</f>
        <v>0</v>
      </c>
    </row>
    <row r="47" spans="2:210" ht="15.6" customHeight="1" x14ac:dyDescent="0.2">
      <c r="B47" s="6"/>
      <c r="C47" s="6" t="s">
        <v>35</v>
      </c>
      <c r="D47" s="73">
        <f>+'[1]Budget 2025W'!K37</f>
        <v>0</v>
      </c>
      <c r="E47" s="73">
        <f>+'[1]Budget 2025W'!L37</f>
        <v>0</v>
      </c>
      <c r="F47" s="73">
        <f>+'[1]Budget 2025W'!M37</f>
        <v>0</v>
      </c>
      <c r="G47" s="73">
        <f>+'[1]Budget 2025W'!N37</f>
        <v>0</v>
      </c>
      <c r="H47" s="74">
        <f>+'[1]Budget 2025W'!O37</f>
        <v>0</v>
      </c>
      <c r="I47" s="74">
        <f>+'[1]Budget 2025W'!P37</f>
        <v>0</v>
      </c>
      <c r="J47" s="74">
        <f>+'[1]Budget 2025W'!Q37</f>
        <v>0</v>
      </c>
      <c r="K47" s="74">
        <f>+'[1]Budget 2025W'!R37</f>
        <v>0</v>
      </c>
      <c r="L47" s="74">
        <f>+'[1]Budget 2025W'!S37</f>
        <v>0</v>
      </c>
      <c r="M47" s="74">
        <f>+'[1]Budget 2025W'!T37</f>
        <v>0</v>
      </c>
      <c r="N47" s="74">
        <f>+'[1]Budget 2025W'!U37</f>
        <v>0</v>
      </c>
      <c r="O47" s="74">
        <f>+'[1]Budget 2025W'!V37</f>
        <v>0</v>
      </c>
      <c r="P47" s="74"/>
      <c r="Q47" s="75">
        <f>+'[1]Budget 2025W'!AP37</f>
        <v>0</v>
      </c>
    </row>
    <row r="48" spans="2:210" x14ac:dyDescent="0.2">
      <c r="B48" s="6"/>
      <c r="C48" s="6" t="s">
        <v>37</v>
      </c>
      <c r="D48" s="73">
        <f>+'[1]Budget 2025W'!K40</f>
        <v>0</v>
      </c>
      <c r="E48" s="73">
        <f>+'[1]Budget 2025W'!L40</f>
        <v>0</v>
      </c>
      <c r="F48" s="73">
        <f>+'[1]Budget 2025W'!M40</f>
        <v>0</v>
      </c>
      <c r="G48" s="73">
        <f>+'[1]Budget 2025W'!N40</f>
        <v>0</v>
      </c>
      <c r="H48" s="74">
        <f>+'[1]Budget 2025W'!O40</f>
        <v>0</v>
      </c>
      <c r="I48" s="74">
        <f>+'[1]Budget 2025W'!P40</f>
        <v>0</v>
      </c>
      <c r="J48" s="74">
        <f>+'[1]Budget 2025W'!Q40</f>
        <v>0</v>
      </c>
      <c r="K48" s="74">
        <f>+'[1]Budget 2025W'!R40</f>
        <v>0</v>
      </c>
      <c r="L48" s="74">
        <f>+'[1]Budget 2025W'!S40</f>
        <v>0</v>
      </c>
      <c r="M48" s="74">
        <f>+'[1]Budget 2025W'!T40</f>
        <v>0</v>
      </c>
      <c r="N48" s="74">
        <f>+'[1]Budget 2025W'!U40</f>
        <v>0</v>
      </c>
      <c r="O48" s="74">
        <f>+'[1]Budget 2025W'!V40</f>
        <v>0</v>
      </c>
      <c r="P48" s="74"/>
      <c r="Q48" s="75">
        <f>+'[1]Budget 2025W'!AP40</f>
        <v>0</v>
      </c>
    </row>
    <row r="49" spans="2:25" ht="15.75" thickBot="1" x14ac:dyDescent="0.25">
      <c r="B49" s="6"/>
      <c r="D49" s="73"/>
      <c r="E49" s="73"/>
      <c r="F49" s="73"/>
      <c r="G49" s="73"/>
      <c r="H49" s="74"/>
      <c r="I49" s="74"/>
      <c r="J49" s="74"/>
      <c r="K49" s="74"/>
      <c r="L49" s="74"/>
      <c r="M49" s="74"/>
      <c r="N49" s="74"/>
      <c r="O49" s="74"/>
      <c r="P49" s="74"/>
      <c r="Q49" s="75"/>
    </row>
    <row r="50" spans="2:25" s="59" customFormat="1" ht="16.5" thickBot="1" x14ac:dyDescent="0.3">
      <c r="B50" s="10"/>
      <c r="C50" s="78" t="s">
        <v>50</v>
      </c>
      <c r="D50" s="79">
        <f t="shared" ref="D50:F50" si="2">SUM(D37:D49)</f>
        <v>0</v>
      </c>
      <c r="E50" s="79">
        <f t="shared" si="2"/>
        <v>0</v>
      </c>
      <c r="F50" s="79">
        <f t="shared" si="2"/>
        <v>0</v>
      </c>
      <c r="G50" s="79">
        <f>SUM(G37:G49)</f>
        <v>0</v>
      </c>
      <c r="H50" s="83">
        <f t="shared" ref="H50:O50" si="3">SUM(H40:H47)</f>
        <v>0</v>
      </c>
      <c r="I50" s="83">
        <f t="shared" si="3"/>
        <v>60994.374628453254</v>
      </c>
      <c r="J50" s="83">
        <f t="shared" si="3"/>
        <v>69000.633514253452</v>
      </c>
      <c r="K50" s="83">
        <f t="shared" si="3"/>
        <v>71556.498572912329</v>
      </c>
      <c r="L50" s="83">
        <f t="shared" si="3"/>
        <v>63671.324927296919</v>
      </c>
      <c r="M50" s="83">
        <f t="shared" si="3"/>
        <v>69038.661506663135</v>
      </c>
      <c r="N50" s="83">
        <f t="shared" si="3"/>
        <v>76779.719571880531</v>
      </c>
      <c r="O50" s="83">
        <f t="shared" si="3"/>
        <v>93262.503434887243</v>
      </c>
      <c r="P50" s="70"/>
      <c r="Q50" s="80">
        <f>SUM(Q40:Q47)</f>
        <v>504303.7161563469</v>
      </c>
      <c r="R50" s="10"/>
      <c r="S50" s="10"/>
      <c r="T50" s="10"/>
      <c r="U50" s="10"/>
      <c r="V50" s="10"/>
      <c r="W50" s="10"/>
      <c r="X50" s="10"/>
      <c r="Y50" s="10"/>
    </row>
    <row r="51" spans="2:25" ht="15.75" x14ac:dyDescent="0.25">
      <c r="B51" s="6"/>
      <c r="C51" s="10"/>
      <c r="D51" s="84" t="s">
        <v>39</v>
      </c>
      <c r="E51" s="84" t="s">
        <v>39</v>
      </c>
      <c r="F51" s="84" t="s">
        <v>39</v>
      </c>
      <c r="G51" s="84" t="s">
        <v>39</v>
      </c>
      <c r="H51" s="85" t="s">
        <v>39</v>
      </c>
      <c r="I51" s="85" t="s">
        <v>39</v>
      </c>
      <c r="J51" s="85" t="s">
        <v>39</v>
      </c>
      <c r="K51" s="85" t="s">
        <v>39</v>
      </c>
      <c r="L51" s="85" t="s">
        <v>39</v>
      </c>
      <c r="M51" s="85" t="s">
        <v>39</v>
      </c>
      <c r="N51" s="85" t="s">
        <v>39</v>
      </c>
      <c r="O51" s="85" t="s">
        <v>39</v>
      </c>
      <c r="P51" s="85"/>
      <c r="Q51" s="86" t="s">
        <v>39</v>
      </c>
    </row>
    <row r="52" spans="2:25" hidden="1" x14ac:dyDescent="0.2">
      <c r="B52" s="6"/>
      <c r="D52" s="73" t="s">
        <v>39</v>
      </c>
      <c r="E52" s="73" t="s">
        <v>39</v>
      </c>
      <c r="F52" s="73" t="s">
        <v>39</v>
      </c>
      <c r="G52" s="73" t="s">
        <v>39</v>
      </c>
      <c r="H52" s="74" t="s">
        <v>39</v>
      </c>
      <c r="I52" s="74" t="s">
        <v>39</v>
      </c>
      <c r="J52" s="74" t="s">
        <v>39</v>
      </c>
      <c r="K52" s="74" t="s">
        <v>39</v>
      </c>
      <c r="L52" s="74" t="s">
        <v>39</v>
      </c>
      <c r="M52" s="74" t="s">
        <v>39</v>
      </c>
      <c r="N52" s="74" t="s">
        <v>39</v>
      </c>
      <c r="O52" s="74" t="s">
        <v>39</v>
      </c>
      <c r="P52" s="74"/>
      <c r="Q52" s="75" t="s">
        <v>39</v>
      </c>
    </row>
    <row r="53" spans="2:25" s="59" customFormat="1" ht="15.75" x14ac:dyDescent="0.25">
      <c r="B53" s="10"/>
      <c r="C53" s="82" t="s">
        <v>51</v>
      </c>
      <c r="D53" s="69" t="s">
        <v>39</v>
      </c>
      <c r="E53" s="69" t="s">
        <v>39</v>
      </c>
      <c r="F53" s="69" t="s">
        <v>39</v>
      </c>
      <c r="G53" s="69" t="s">
        <v>39</v>
      </c>
      <c r="H53" s="70" t="s">
        <v>39</v>
      </c>
      <c r="I53" s="70" t="s">
        <v>39</v>
      </c>
      <c r="J53" s="70" t="s">
        <v>39</v>
      </c>
      <c r="K53" s="70" t="s">
        <v>39</v>
      </c>
      <c r="L53" s="70" t="s">
        <v>39</v>
      </c>
      <c r="M53" s="70" t="s">
        <v>39</v>
      </c>
      <c r="N53" s="70" t="s">
        <v>39</v>
      </c>
      <c r="O53" s="70" t="s">
        <v>39</v>
      </c>
      <c r="P53" s="70"/>
      <c r="Q53" s="71" t="s">
        <v>39</v>
      </c>
      <c r="R53" s="10"/>
      <c r="S53" s="10"/>
      <c r="T53" s="10"/>
      <c r="U53" s="10"/>
      <c r="V53" s="10"/>
      <c r="W53" s="10"/>
      <c r="X53" s="10"/>
      <c r="Y53" s="10"/>
    </row>
    <row r="54" spans="2:25" x14ac:dyDescent="0.2">
      <c r="B54" s="6"/>
      <c r="D54" s="73" t="s">
        <v>39</v>
      </c>
      <c r="E54" s="73" t="s">
        <v>39</v>
      </c>
      <c r="F54" s="73" t="s">
        <v>39</v>
      </c>
      <c r="G54" s="73" t="s">
        <v>39</v>
      </c>
      <c r="H54" s="74" t="s">
        <v>39</v>
      </c>
      <c r="I54" s="74" t="s">
        <v>39</v>
      </c>
      <c r="J54" s="74" t="s">
        <v>39</v>
      </c>
      <c r="K54" s="74" t="s">
        <v>39</v>
      </c>
      <c r="L54" s="74" t="s">
        <v>39</v>
      </c>
      <c r="M54" s="74" t="s">
        <v>39</v>
      </c>
      <c r="N54" s="74" t="s">
        <v>39</v>
      </c>
      <c r="O54" s="74" t="s">
        <v>39</v>
      </c>
      <c r="P54" s="74"/>
      <c r="Q54" s="75" t="s">
        <v>39</v>
      </c>
    </row>
    <row r="55" spans="2:25" ht="15.75" x14ac:dyDescent="0.25">
      <c r="B55" s="72"/>
      <c r="C55" s="6" t="s">
        <v>27</v>
      </c>
      <c r="D55" s="73">
        <f>+'[1]Budget 2025W'!K48</f>
        <v>0</v>
      </c>
      <c r="E55" s="73">
        <f>+'[1]Budget 2025W'!L48</f>
        <v>0</v>
      </c>
      <c r="F55" s="73">
        <f>+'[1]Budget 2025W'!M48</f>
        <v>0</v>
      </c>
      <c r="G55" s="73">
        <f>+'[1]Budget 2025W'!N48</f>
        <v>0</v>
      </c>
      <c r="H55" s="74">
        <f>+'[1]Budget 2025W'!O48</f>
        <v>0</v>
      </c>
      <c r="I55" s="74">
        <f>+'[1]Budget 2025W'!P48</f>
        <v>-661.0456156983455</v>
      </c>
      <c r="J55" s="74">
        <f>+'[1]Budget 2025W'!Q48</f>
        <v>12834.373597115336</v>
      </c>
      <c r="K55" s="74">
        <f>+'[1]Budget 2025W'!R48</f>
        <v>12439.727181731301</v>
      </c>
      <c r="L55" s="74">
        <f>+'[1]Budget 2025W'!S48</f>
        <v>3895.867510158816</v>
      </c>
      <c r="M55" s="74">
        <f>+'[1]Budget 2025W'!T48</f>
        <v>-10617.807195192647</v>
      </c>
      <c r="N55" s="74">
        <f>+'[1]Budget 2025W'!U48</f>
        <v>33204.416804807348</v>
      </c>
      <c r="O55" s="74">
        <f>+'[1]Budget 2025W'!V48</f>
        <v>67690.424302466781</v>
      </c>
      <c r="P55" s="74"/>
      <c r="Q55" s="75">
        <f>+'[1]Budget 2025W'!AP48</f>
        <v>118785.95658538859</v>
      </c>
      <c r="R55" s="42"/>
      <c r="S55" s="42"/>
      <c r="T55" s="42"/>
    </row>
    <row r="56" spans="2:25" ht="15.75" x14ac:dyDescent="0.25">
      <c r="B56" s="72"/>
      <c r="C56" s="6" t="s">
        <v>28</v>
      </c>
      <c r="D56" s="73">
        <f>+'[1]Budget 2025W'!K49</f>
        <v>0</v>
      </c>
      <c r="E56" s="73">
        <f>+'[1]Budget 2025W'!L49</f>
        <v>0</v>
      </c>
      <c r="F56" s="73">
        <f>+'[1]Budget 2025W'!M49</f>
        <v>0</v>
      </c>
      <c r="G56" s="73">
        <f>+'[1]Budget 2025W'!N49</f>
        <v>0</v>
      </c>
      <c r="H56" s="74">
        <f>+'[1]Budget 2025W'!O49</f>
        <v>0</v>
      </c>
      <c r="I56" s="74">
        <f>+'[1]Budget 2025W'!P49</f>
        <v>-2048.4</v>
      </c>
      <c r="J56" s="74">
        <f>+'[1]Budget 2025W'!Q49</f>
        <v>-3527.7999999999997</v>
      </c>
      <c r="K56" s="74">
        <f>+'[1]Budget 2025W'!R49</f>
        <v>-3527.7999999999997</v>
      </c>
      <c r="L56" s="74">
        <f>+'[1]Budget 2025W'!S49</f>
        <v>-2731.2</v>
      </c>
      <c r="M56" s="74">
        <f>+'[1]Budget 2025W'!T49</f>
        <v>-2105.2999999999997</v>
      </c>
      <c r="N56" s="74">
        <f>+'[1]Budget 2025W'!U49</f>
        <v>-5462.4</v>
      </c>
      <c r="O56" s="74">
        <f>+'[1]Budget 2025W'!V49</f>
        <v>-8466.7199999999993</v>
      </c>
      <c r="P56" s="74"/>
      <c r="Q56" s="75">
        <f>+'[1]Budget 2025W'!AP49</f>
        <v>-27869.620000000003</v>
      </c>
      <c r="R56" s="42"/>
      <c r="S56" s="42"/>
      <c r="T56" s="42"/>
    </row>
    <row r="57" spans="2:25" ht="15.75" x14ac:dyDescent="0.25">
      <c r="B57" s="72"/>
      <c r="C57" s="6" t="s">
        <v>29</v>
      </c>
      <c r="D57" s="73">
        <f>+'[1]Budget 2025W'!K50</f>
        <v>0</v>
      </c>
      <c r="E57" s="73">
        <f>+'[1]Budget 2025W'!L50</f>
        <v>0</v>
      </c>
      <c r="F57" s="73">
        <f>+'[1]Budget 2025W'!M50</f>
        <v>0</v>
      </c>
      <c r="G57" s="73">
        <f>+'[1]Budget 2025W'!N50</f>
        <v>0</v>
      </c>
      <c r="H57" s="74">
        <f>+'[1]Budget 2025W'!O50</f>
        <v>0</v>
      </c>
      <c r="I57" s="74">
        <f>+'[1]Budget 2025W'!P50</f>
        <v>99.793333333333294</v>
      </c>
      <c r="J57" s="74">
        <f>+'[1]Budget 2025W'!Q50</f>
        <v>99.793333333333294</v>
      </c>
      <c r="K57" s="74">
        <f>+'[1]Budget 2025W'!R50</f>
        <v>99.793333333333294</v>
      </c>
      <c r="L57" s="74">
        <f>+'[1]Budget 2025W'!S50</f>
        <v>99.793333333333294</v>
      </c>
      <c r="M57" s="74">
        <f>+'[1]Budget 2025W'!T50</f>
        <v>99.793333333333294</v>
      </c>
      <c r="N57" s="74">
        <f>+'[1]Budget 2025W'!U50</f>
        <v>417.79333333333307</v>
      </c>
      <c r="O57" s="74">
        <f>+'[1]Budget 2025W'!V50</f>
        <v>417.79333333333307</v>
      </c>
      <c r="P57" s="74"/>
      <c r="Q57" s="75">
        <f>+'[1]Budget 2025W'!AP50</f>
        <v>1334.5533333333326</v>
      </c>
      <c r="R57" s="42"/>
      <c r="S57" s="42"/>
      <c r="T57" s="42"/>
    </row>
    <row r="58" spans="2:25" ht="15.75" x14ac:dyDescent="0.25">
      <c r="B58" s="72"/>
      <c r="C58" s="6" t="s">
        <v>30</v>
      </c>
      <c r="D58" s="73">
        <f>+'[1]Budget 2025W'!K51</f>
        <v>0</v>
      </c>
      <c r="E58" s="73">
        <f>+'[1]Budget 2025W'!L51</f>
        <v>0</v>
      </c>
      <c r="F58" s="73">
        <f>+'[1]Budget 2025W'!M51</f>
        <v>0</v>
      </c>
      <c r="G58" s="73">
        <f>+'[1]Budget 2025W'!N51</f>
        <v>0</v>
      </c>
      <c r="H58" s="74">
        <f>+'[1]Budget 2025W'!O51</f>
        <v>0</v>
      </c>
      <c r="I58" s="74">
        <f>+'[1]Budget 2025W'!P51</f>
        <v>85.793623188405718</v>
      </c>
      <c r="J58" s="74">
        <f>+'[1]Budget 2025W'!Q51</f>
        <v>36.368502415459034</v>
      </c>
      <c r="K58" s="74">
        <f>+'[1]Budget 2025W'!R51</f>
        <v>-62.481739130434789</v>
      </c>
      <c r="L58" s="74">
        <f>+'[1]Budget 2025W'!S51</f>
        <v>36.368502415459034</v>
      </c>
      <c r="M58" s="74">
        <f>+'[1]Budget 2025W'!T51</f>
        <v>85.793623188405718</v>
      </c>
      <c r="N58" s="74">
        <f>+'[1]Budget 2025W'!U51</f>
        <v>325.79362318840595</v>
      </c>
      <c r="O58" s="74">
        <f>+'[1]Budget 2025W'!V51</f>
        <v>226.94338164251212</v>
      </c>
      <c r="P58" s="74"/>
      <c r="Q58" s="75">
        <f>+'[1]Budget 2025W'!AP51</f>
        <v>734.57951690821278</v>
      </c>
      <c r="R58" s="42"/>
      <c r="S58" s="42"/>
      <c r="T58" s="42"/>
    </row>
    <row r="59" spans="2:25" ht="15.75" x14ac:dyDescent="0.25">
      <c r="B59" s="72"/>
      <c r="C59" s="6" t="s">
        <v>31</v>
      </c>
      <c r="D59" s="73">
        <f>+'[1]Budget 2025W'!K52</f>
        <v>0</v>
      </c>
      <c r="E59" s="73">
        <f>+'[1]Budget 2025W'!L52</f>
        <v>0</v>
      </c>
      <c r="F59" s="73">
        <f>+'[1]Budget 2025W'!M52</f>
        <v>0</v>
      </c>
      <c r="G59" s="73">
        <f>+'[1]Budget 2025W'!N52</f>
        <v>0</v>
      </c>
      <c r="H59" s="74">
        <f>+'[1]Budget 2025W'!O52</f>
        <v>0</v>
      </c>
      <c r="I59" s="74">
        <f>+'[1]Budget 2025W'!P52</f>
        <v>0</v>
      </c>
      <c r="J59" s="74">
        <f>+'[1]Budget 2025W'!Q52</f>
        <v>0</v>
      </c>
      <c r="K59" s="74">
        <f>+'[1]Budget 2025W'!R52</f>
        <v>0</v>
      </c>
      <c r="L59" s="74">
        <f>+'[1]Budget 2025W'!S52</f>
        <v>0</v>
      </c>
      <c r="M59" s="74">
        <f>+'[1]Budget 2025W'!T52</f>
        <v>0</v>
      </c>
      <c r="N59" s="74">
        <f>+'[1]Budget 2025W'!U52</f>
        <v>0</v>
      </c>
      <c r="O59" s="74">
        <f>+'[1]Budget 2025W'!V52</f>
        <v>0</v>
      </c>
      <c r="P59" s="74"/>
      <c r="Q59" s="75">
        <f>+'[1]Budget 2025W'!AP52</f>
        <v>0</v>
      </c>
      <c r="R59" s="42"/>
      <c r="S59" s="42"/>
      <c r="T59" s="42"/>
    </row>
    <row r="60" spans="2:25" s="88" customFormat="1" ht="15.75" x14ac:dyDescent="0.25">
      <c r="B60" s="87"/>
      <c r="C60" s="88" t="s">
        <v>32</v>
      </c>
      <c r="D60" s="89">
        <f>+'[1]Budget 2025W'!K55</f>
        <v>0</v>
      </c>
      <c r="E60" s="89">
        <f>+'[1]Budget 2025W'!L55</f>
        <v>0</v>
      </c>
      <c r="F60" s="89">
        <f>+'[1]Budget 2025W'!M55</f>
        <v>0</v>
      </c>
      <c r="G60" s="89">
        <f>+'[1]Budget 2025W'!N55</f>
        <v>0</v>
      </c>
      <c r="H60" s="76">
        <f>+'[1]Budget 2025W'!O55</f>
        <v>0</v>
      </c>
      <c r="I60" s="76">
        <f>+'[1]Budget 2025W'!P55</f>
        <v>-11798.515969276647</v>
      </c>
      <c r="J60" s="76">
        <f>+'[1]Budget 2025W'!Q55</f>
        <v>-11521.368947117579</v>
      </c>
      <c r="K60" s="76">
        <f>+'[1]Budget 2025W'!R55</f>
        <v>-13583.737348846535</v>
      </c>
      <c r="L60" s="76">
        <f>+'[1]Budget 2025W'!S55</f>
        <v>-1150.1542732045345</v>
      </c>
      <c r="M60" s="76">
        <f>+'[1]Budget 2025W'!T55</f>
        <v>-529.1412679922214</v>
      </c>
      <c r="N60" s="76">
        <f>+'[1]Budget 2025W'!U55</f>
        <v>-2171.3233332096133</v>
      </c>
      <c r="O60" s="76">
        <f>+'[1]Budget 2025W'!V55</f>
        <v>-2056.9444523298807</v>
      </c>
      <c r="P60" s="76"/>
      <c r="Q60" s="90">
        <f>+'[1]Budget 2025W'!AP55</f>
        <v>-42811.18559197701</v>
      </c>
      <c r="R60" s="91"/>
      <c r="S60" s="91"/>
      <c r="T60" s="91"/>
    </row>
    <row r="61" spans="2:25" ht="15" customHeight="1" x14ac:dyDescent="0.25">
      <c r="B61" s="72"/>
      <c r="C61" s="6" t="s">
        <v>33</v>
      </c>
      <c r="D61" s="73">
        <f>+'[1]Budget 2025W'!K54</f>
        <v>0</v>
      </c>
      <c r="E61" s="73">
        <f>+'[1]Budget 2025W'!L54</f>
        <v>0</v>
      </c>
      <c r="F61" s="73">
        <f>+'[1]Budget 2025W'!M54</f>
        <v>0</v>
      </c>
      <c r="G61" s="73">
        <f>+'[1]Budget 2025W'!N54</f>
        <v>0</v>
      </c>
      <c r="H61" s="74">
        <f>+'[1]Budget 2025W'!O54</f>
        <v>0</v>
      </c>
      <c r="I61" s="74">
        <f>+'[1]Budget 2025W'!P54</f>
        <v>0</v>
      </c>
      <c r="J61" s="74">
        <f>+'[1]Budget 2025W'!Q54</f>
        <v>0</v>
      </c>
      <c r="K61" s="74">
        <f>+'[1]Budget 2025W'!R54</f>
        <v>0</v>
      </c>
      <c r="L61" s="74">
        <f>+'[1]Budget 2025W'!S54</f>
        <v>0</v>
      </c>
      <c r="M61" s="74">
        <f>+'[1]Budget 2025W'!T54</f>
        <v>0</v>
      </c>
      <c r="N61" s="74">
        <f>+'[1]Budget 2025W'!U54</f>
        <v>0</v>
      </c>
      <c r="O61" s="74">
        <f>+'[1]Budget 2025W'!V54</f>
        <v>0</v>
      </c>
      <c r="P61" s="74"/>
      <c r="Q61" s="75">
        <f>+'[1]Budget 2025W'!AP54</f>
        <v>0</v>
      </c>
      <c r="R61" s="42"/>
      <c r="S61" s="42"/>
      <c r="T61" s="42"/>
    </row>
    <row r="62" spans="2:25" x14ac:dyDescent="0.2">
      <c r="B62" s="6"/>
      <c r="C62" s="6" t="s">
        <v>35</v>
      </c>
      <c r="D62" s="73">
        <f>+'[1]Budget 2025W'!K53</f>
        <v>0</v>
      </c>
      <c r="E62" s="73">
        <f>+'[1]Budget 2025W'!L53</f>
        <v>0</v>
      </c>
      <c r="F62" s="73">
        <f>+'[1]Budget 2025W'!M53</f>
        <v>0</v>
      </c>
      <c r="G62" s="73">
        <f>+'[1]Budget 2025W'!N53</f>
        <v>0</v>
      </c>
      <c r="H62" s="74">
        <f>+'[1]Budget 2025W'!O53</f>
        <v>0</v>
      </c>
      <c r="I62" s="74">
        <f>+'[1]Budget 2025W'!P53</f>
        <v>0</v>
      </c>
      <c r="J62" s="74">
        <f>+'[1]Budget 2025W'!Q53</f>
        <v>0</v>
      </c>
      <c r="K62" s="74">
        <f>+'[1]Budget 2025W'!R53</f>
        <v>0</v>
      </c>
      <c r="L62" s="74">
        <f>+'[1]Budget 2025W'!S53</f>
        <v>0</v>
      </c>
      <c r="M62" s="74">
        <f>+'[1]Budget 2025W'!T53</f>
        <v>0</v>
      </c>
      <c r="N62" s="74">
        <f>+'[1]Budget 2025W'!U53</f>
        <v>0</v>
      </c>
      <c r="O62" s="74">
        <f>+'[1]Budget 2025W'!V53</f>
        <v>0</v>
      </c>
      <c r="P62" s="74"/>
      <c r="Q62" s="75">
        <f>+'[1]Budget 2025W'!AP53</f>
        <v>0</v>
      </c>
    </row>
    <row r="63" spans="2:25" x14ac:dyDescent="0.2">
      <c r="B63" s="6"/>
      <c r="C63" s="6" t="s">
        <v>37</v>
      </c>
      <c r="D63" s="73">
        <f>+'[1]Budget 2025W'!K56</f>
        <v>0</v>
      </c>
      <c r="E63" s="73">
        <f>+'[1]Budget 2025W'!L56</f>
        <v>0</v>
      </c>
      <c r="F63" s="73">
        <f>+'[1]Budget 2025W'!M56</f>
        <v>0</v>
      </c>
      <c r="G63" s="73">
        <f>+'[1]Budget 2025W'!N56</f>
        <v>0</v>
      </c>
      <c r="H63" s="74">
        <f>+'[1]Budget 2025W'!O56</f>
        <v>0</v>
      </c>
      <c r="I63" s="74">
        <f>+'[1]Budget 2025W'!P56</f>
        <v>0</v>
      </c>
      <c r="J63" s="74">
        <f>+'[1]Budget 2025W'!Q56</f>
        <v>0</v>
      </c>
      <c r="K63" s="74">
        <f>+'[1]Budget 2025W'!R56</f>
        <v>0</v>
      </c>
      <c r="L63" s="74">
        <f>+'[1]Budget 2025W'!S56</f>
        <v>0</v>
      </c>
      <c r="M63" s="74">
        <f>+'[1]Budget 2025W'!T56</f>
        <v>0</v>
      </c>
      <c r="N63" s="74">
        <f>+'[1]Budget 2025W'!U56</f>
        <v>0</v>
      </c>
      <c r="O63" s="74">
        <f>+'[1]Budget 2025W'!V56</f>
        <v>0</v>
      </c>
      <c r="P63" s="74"/>
      <c r="Q63" s="75">
        <f>+'[1]Budget 2025W'!AP56</f>
        <v>0</v>
      </c>
    </row>
    <row r="64" spans="2:25" ht="15.75" thickBot="1" x14ac:dyDescent="0.25">
      <c r="B64" s="6"/>
      <c r="D64" s="73"/>
      <c r="E64" s="73"/>
      <c r="F64" s="73"/>
      <c r="G64" s="73"/>
      <c r="H64" s="74"/>
      <c r="I64" s="74"/>
      <c r="J64" s="74"/>
      <c r="K64" s="74"/>
      <c r="L64" s="74"/>
      <c r="M64" s="74"/>
      <c r="N64" s="74"/>
      <c r="O64" s="74"/>
      <c r="P64" s="74"/>
      <c r="Q64" s="75"/>
    </row>
    <row r="65" spans="2:25" s="59" customFormat="1" ht="16.5" thickBot="1" x14ac:dyDescent="0.3">
      <c r="B65" s="10"/>
      <c r="C65" s="78" t="s">
        <v>52</v>
      </c>
      <c r="D65" s="79">
        <f t="shared" ref="D65:F65" si="4">SUM(D52:D64)</f>
        <v>0</v>
      </c>
      <c r="E65" s="79">
        <f t="shared" si="4"/>
        <v>0</v>
      </c>
      <c r="F65" s="79">
        <f t="shared" si="4"/>
        <v>0</v>
      </c>
      <c r="G65" s="79">
        <f>SUM(G52:G64)</f>
        <v>0</v>
      </c>
      <c r="H65" s="83">
        <f t="shared" ref="H65:O65" si="5">SUM(H55:H63)</f>
        <v>0</v>
      </c>
      <c r="I65" s="83">
        <f t="shared" si="5"/>
        <v>-14322.374628453254</v>
      </c>
      <c r="J65" s="83">
        <f t="shared" si="5"/>
        <v>-2078.6335142534499</v>
      </c>
      <c r="K65" s="83">
        <f t="shared" si="5"/>
        <v>-4634.4985729123346</v>
      </c>
      <c r="L65" s="83">
        <f t="shared" si="5"/>
        <v>150.67507270307397</v>
      </c>
      <c r="M65" s="83">
        <f t="shared" si="5"/>
        <v>-13066.661506663129</v>
      </c>
      <c r="N65" s="83">
        <f t="shared" si="5"/>
        <v>26314.280428119473</v>
      </c>
      <c r="O65" s="83">
        <f t="shared" si="5"/>
        <v>57811.49656511275</v>
      </c>
      <c r="P65" s="70"/>
      <c r="Q65" s="80">
        <f>SUM(Q55:Q63)</f>
        <v>50174.283843653109</v>
      </c>
      <c r="R65" s="10"/>
      <c r="S65" s="10"/>
      <c r="T65" s="10"/>
      <c r="U65" s="10"/>
      <c r="V65" s="10"/>
      <c r="W65" s="10"/>
      <c r="X65" s="10"/>
      <c r="Y65" s="10"/>
    </row>
    <row r="66" spans="2:25" ht="15.75" x14ac:dyDescent="0.25">
      <c r="B66" s="6"/>
      <c r="C66" s="10"/>
      <c r="D66" s="84" t="s">
        <v>39</v>
      </c>
      <c r="E66" s="84" t="s">
        <v>39</v>
      </c>
      <c r="F66" s="84" t="s">
        <v>39</v>
      </c>
      <c r="G66" s="84" t="s">
        <v>39</v>
      </c>
      <c r="H66" s="85" t="s">
        <v>39</v>
      </c>
      <c r="I66" s="85" t="s">
        <v>39</v>
      </c>
      <c r="J66" s="85" t="s">
        <v>39</v>
      </c>
      <c r="K66" s="85" t="s">
        <v>39</v>
      </c>
      <c r="L66" s="85" t="s">
        <v>39</v>
      </c>
      <c r="M66" s="85" t="s">
        <v>39</v>
      </c>
      <c r="N66" s="85" t="s">
        <v>39</v>
      </c>
      <c r="O66" s="85" t="s">
        <v>39</v>
      </c>
      <c r="P66" s="85"/>
      <c r="Q66" s="86" t="s">
        <v>39</v>
      </c>
    </row>
    <row r="67" spans="2:25" ht="15.75" x14ac:dyDescent="0.25">
      <c r="B67" s="6"/>
      <c r="C67" s="10"/>
      <c r="D67" s="69" t="s">
        <v>39</v>
      </c>
      <c r="E67" s="69" t="s">
        <v>39</v>
      </c>
      <c r="F67" s="69" t="s">
        <v>39</v>
      </c>
      <c r="G67" s="69" t="s">
        <v>39</v>
      </c>
      <c r="H67" s="70" t="s">
        <v>39</v>
      </c>
      <c r="I67" s="70" t="s">
        <v>39</v>
      </c>
      <c r="J67" s="70" t="s">
        <v>39</v>
      </c>
      <c r="K67" s="70" t="s">
        <v>39</v>
      </c>
      <c r="L67" s="70" t="s">
        <v>39</v>
      </c>
      <c r="M67" s="70" t="s">
        <v>39</v>
      </c>
      <c r="N67" s="70" t="s">
        <v>39</v>
      </c>
      <c r="O67" s="70" t="s">
        <v>39</v>
      </c>
      <c r="P67" s="70"/>
      <c r="Q67" s="92"/>
    </row>
    <row r="68" spans="2:25" s="59" customFormat="1" ht="15.75" x14ac:dyDescent="0.25">
      <c r="B68" s="10"/>
      <c r="C68" s="82" t="s">
        <v>53</v>
      </c>
      <c r="D68" s="69" t="s">
        <v>39</v>
      </c>
      <c r="E68" s="69" t="s">
        <v>39</v>
      </c>
      <c r="F68" s="69" t="s">
        <v>39</v>
      </c>
      <c r="G68" s="69" t="s">
        <v>39</v>
      </c>
      <c r="H68" s="70" t="s">
        <v>39</v>
      </c>
      <c r="I68" s="70" t="s">
        <v>39</v>
      </c>
      <c r="J68" s="70" t="s">
        <v>39</v>
      </c>
      <c r="K68" s="70" t="s">
        <v>39</v>
      </c>
      <c r="L68" s="70" t="s">
        <v>39</v>
      </c>
      <c r="M68" s="70" t="s">
        <v>39</v>
      </c>
      <c r="N68" s="70" t="s">
        <v>39</v>
      </c>
      <c r="O68" s="70" t="s">
        <v>39</v>
      </c>
      <c r="P68" s="70"/>
      <c r="Q68" s="71" t="s">
        <v>39</v>
      </c>
      <c r="R68" s="10"/>
      <c r="S68" s="10"/>
      <c r="T68" s="10"/>
      <c r="U68" s="10"/>
      <c r="V68" s="10"/>
      <c r="W68" s="10"/>
      <c r="X68" s="10"/>
      <c r="Y68" s="10"/>
    </row>
    <row r="69" spans="2:25" ht="15.75" x14ac:dyDescent="0.25">
      <c r="B69" s="6"/>
      <c r="C69" s="10"/>
      <c r="D69" s="69" t="s">
        <v>39</v>
      </c>
      <c r="E69" s="69" t="s">
        <v>39</v>
      </c>
      <c r="F69" s="69" t="s">
        <v>39</v>
      </c>
      <c r="G69" s="69" t="s">
        <v>39</v>
      </c>
      <c r="H69" s="70" t="s">
        <v>39</v>
      </c>
      <c r="I69" s="70" t="s">
        <v>39</v>
      </c>
      <c r="J69" s="70" t="s">
        <v>39</v>
      </c>
      <c r="K69" s="70" t="s">
        <v>39</v>
      </c>
      <c r="L69" s="70" t="s">
        <v>39</v>
      </c>
      <c r="M69" s="70" t="s">
        <v>39</v>
      </c>
      <c r="N69" s="70" t="s">
        <v>39</v>
      </c>
      <c r="O69" s="70" t="s">
        <v>39</v>
      </c>
      <c r="P69" s="70"/>
      <c r="Q69" s="71" t="s">
        <v>39</v>
      </c>
    </row>
    <row r="70" spans="2:25" ht="15.75" hidden="1" x14ac:dyDescent="0.25">
      <c r="B70" s="6"/>
      <c r="C70" s="10"/>
      <c r="D70" s="69" t="s">
        <v>39</v>
      </c>
      <c r="E70" s="69" t="s">
        <v>39</v>
      </c>
      <c r="F70" s="69" t="s">
        <v>39</v>
      </c>
      <c r="G70" s="69" t="s">
        <v>39</v>
      </c>
      <c r="H70" s="70" t="s">
        <v>39</v>
      </c>
      <c r="I70" s="70" t="s">
        <v>39</v>
      </c>
      <c r="J70" s="70" t="s">
        <v>39</v>
      </c>
      <c r="K70" s="70" t="s">
        <v>39</v>
      </c>
      <c r="L70" s="70" t="s">
        <v>39</v>
      </c>
      <c r="M70" s="70" t="s">
        <v>39</v>
      </c>
      <c r="N70" s="70" t="s">
        <v>39</v>
      </c>
      <c r="O70" s="70" t="s">
        <v>39</v>
      </c>
      <c r="P70" s="70"/>
      <c r="Q70" s="71" t="s">
        <v>39</v>
      </c>
    </row>
    <row r="71" spans="2:25" x14ac:dyDescent="0.2">
      <c r="B71" s="93"/>
      <c r="C71" s="6" t="s">
        <v>54</v>
      </c>
      <c r="D71" s="73">
        <f>+'[1]Budget 2025W'!K66</f>
        <v>0</v>
      </c>
      <c r="E71" s="73">
        <f>+'[1]Budget 2025W'!L66</f>
        <v>0</v>
      </c>
      <c r="F71" s="73">
        <f>+'[1]Budget 2025W'!M66</f>
        <v>0</v>
      </c>
      <c r="G71" s="73">
        <f>+'[1]Budget 2025W'!N66</f>
        <v>0</v>
      </c>
      <c r="H71" s="74">
        <f>+'[1]Budget 2025W'!O66</f>
        <v>0</v>
      </c>
      <c r="I71" s="74">
        <f>+'[1]Budget 2025W'!P66</f>
        <v>13514.752519763468</v>
      </c>
      <c r="J71" s="74">
        <f>+'[1]Budget 2025W'!Q66</f>
        <v>12154.982822420523</v>
      </c>
      <c r="K71" s="74">
        <f>+'[1]Budget 2025W'!R66</f>
        <v>12692.223402130669</v>
      </c>
      <c r="L71" s="74">
        <f>+'[1]Budget 2025W'!S66</f>
        <v>10389.107822420523</v>
      </c>
      <c r="M71" s="74">
        <f>+'[1]Budget 2025W'!T66</f>
        <v>11403.67503256545</v>
      </c>
      <c r="N71" s="74">
        <f>+'[1]Budget 2025W'!U66</f>
        <v>11805.017532565451</v>
      </c>
      <c r="O71" s="74">
        <f>+'[1]Budget 2025W'!V66</f>
        <v>13661.833112275597</v>
      </c>
      <c r="P71" s="74"/>
      <c r="Q71" s="75">
        <f>+'[1]Budget 2025W'!AP66</f>
        <v>85621.592244141677</v>
      </c>
    </row>
    <row r="72" spans="2:25" x14ac:dyDescent="0.2">
      <c r="B72" s="93"/>
      <c r="C72" s="6" t="s">
        <v>55</v>
      </c>
      <c r="D72" s="73">
        <f>+'[1]Budget 2025W'!K67</f>
        <v>0</v>
      </c>
      <c r="E72" s="73">
        <f>+'[1]Budget 2025W'!L67</f>
        <v>0</v>
      </c>
      <c r="F72" s="73">
        <f>+'[1]Budget 2025W'!M67</f>
        <v>0</v>
      </c>
      <c r="G72" s="73">
        <f>+'[1]Budget 2025W'!N67</f>
        <v>0</v>
      </c>
      <c r="H72" s="74">
        <f>+'[1]Budget 2025W'!O67</f>
        <v>0</v>
      </c>
      <c r="I72" s="74">
        <f>+'[1]Budget 2025W'!P67</f>
        <v>11747.6</v>
      </c>
      <c r="J72" s="74">
        <f>+'[1]Budget 2025W'!Q67</f>
        <v>12547.6</v>
      </c>
      <c r="K72" s="74">
        <f>+'[1]Budget 2025W'!R67</f>
        <v>12547.6</v>
      </c>
      <c r="L72" s="74">
        <f>+'[1]Budget 2025W'!S67</f>
        <v>12547.6</v>
      </c>
      <c r="M72" s="74">
        <f>+'[1]Budget 2025W'!T67</f>
        <v>9047.6</v>
      </c>
      <c r="N72" s="74">
        <f>+'[1]Budget 2025W'!U67</f>
        <v>9047.6</v>
      </c>
      <c r="O72" s="74">
        <f>+'[1]Budget 2025W'!V67</f>
        <v>9507.6</v>
      </c>
      <c r="P72" s="74"/>
      <c r="Q72" s="75">
        <f>+'[1]Budget 2025W'!AP67</f>
        <v>76993.200000000012</v>
      </c>
    </row>
    <row r="73" spans="2:25" x14ac:dyDescent="0.2">
      <c r="B73" s="93"/>
      <c r="C73" s="6" t="s">
        <v>56</v>
      </c>
      <c r="D73" s="73">
        <f>+'[1]Budget 2025W'!K68</f>
        <v>0</v>
      </c>
      <c r="E73" s="73">
        <f>+'[1]Budget 2025W'!L68</f>
        <v>0</v>
      </c>
      <c r="F73" s="73">
        <f>+'[1]Budget 2025W'!M68</f>
        <v>0</v>
      </c>
      <c r="G73" s="73">
        <f>+'[1]Budget 2025W'!N68</f>
        <v>0</v>
      </c>
      <c r="H73" s="74">
        <f>+'[1]Budget 2025W'!O68</f>
        <v>0</v>
      </c>
      <c r="I73" s="74">
        <f>+'[1]Budget 2025W'!P68</f>
        <v>14960.528289855072</v>
      </c>
      <c r="J73" s="74">
        <f>+'[1]Budget 2025W'!Q68</f>
        <v>15106.37008937198</v>
      </c>
      <c r="K73" s="74">
        <f>+'[1]Budget 2025W'!R68</f>
        <v>15641.531949275362</v>
      </c>
      <c r="L73" s="74">
        <f>+'[1]Budget 2025W'!S68</f>
        <v>15106.37008937198</v>
      </c>
      <c r="M73" s="74">
        <f>+'[1]Budget 2025W'!T68</f>
        <v>15960.528289855072</v>
      </c>
      <c r="N73" s="74">
        <f>+'[1]Budget 2025W'!U68</f>
        <v>15504.006550724638</v>
      </c>
      <c r="O73" s="74">
        <f>+'[1]Budget 2025W'!V68</f>
        <v>15152.211888888889</v>
      </c>
      <c r="P73" s="74"/>
      <c r="Q73" s="75">
        <f>+'[1]Budget 2025W'!AP68</f>
        <v>107431.54714734299</v>
      </c>
    </row>
    <row r="74" spans="2:25" x14ac:dyDescent="0.2">
      <c r="B74" s="93"/>
      <c r="C74" s="6" t="s">
        <v>57</v>
      </c>
      <c r="D74" s="73">
        <f>+'[1]Budget 2025W'!K69</f>
        <v>0</v>
      </c>
      <c r="E74" s="73">
        <f>+'[1]Budget 2025W'!L69</f>
        <v>0</v>
      </c>
      <c r="F74" s="73">
        <f>+'[1]Budget 2025W'!M69</f>
        <v>0</v>
      </c>
      <c r="G74" s="73">
        <f>+'[1]Budget 2025W'!N69</f>
        <v>0</v>
      </c>
      <c r="H74" s="74">
        <f>+'[1]Budget 2025W'!O69</f>
        <v>0</v>
      </c>
      <c r="I74" s="74">
        <f>+'[1]Budget 2025W'!P69</f>
        <v>200</v>
      </c>
      <c r="J74" s="74">
        <f>+'[1]Budget 2025W'!Q69</f>
        <v>200</v>
      </c>
      <c r="K74" s="74">
        <f>+'[1]Budget 2025W'!R69</f>
        <v>200</v>
      </c>
      <c r="L74" s="74">
        <f>+'[1]Budget 2025W'!S69</f>
        <v>200</v>
      </c>
      <c r="M74" s="74">
        <f>+'[1]Budget 2025W'!T69</f>
        <v>200</v>
      </c>
      <c r="N74" s="74">
        <f>+'[1]Budget 2025W'!U69</f>
        <v>200</v>
      </c>
      <c r="O74" s="74">
        <f>+'[1]Budget 2025W'!V69</f>
        <v>200</v>
      </c>
      <c r="P74" s="74"/>
      <c r="Q74" s="75">
        <f>+'[1]Budget 2025W'!AP69</f>
        <v>1400</v>
      </c>
    </row>
    <row r="75" spans="2:25" x14ac:dyDescent="0.2">
      <c r="B75" s="93"/>
      <c r="C75" s="6" t="s">
        <v>58</v>
      </c>
      <c r="D75" s="73">
        <f>+'[1]Budget 2025W'!K70</f>
        <v>0</v>
      </c>
      <c r="E75" s="73">
        <f>+'[1]Budget 2025W'!L70</f>
        <v>0</v>
      </c>
      <c r="F75" s="73">
        <f>+'[1]Budget 2025W'!M70</f>
        <v>0</v>
      </c>
      <c r="G75" s="73">
        <f>+'[1]Budget 2025W'!N70</f>
        <v>0</v>
      </c>
      <c r="H75" s="74">
        <f>+'[1]Budget 2025W'!O70</f>
        <v>0</v>
      </c>
      <c r="I75" s="74">
        <f>+'[1]Budget 2025W'!P70</f>
        <v>11062.145739130436</v>
      </c>
      <c r="J75" s="74">
        <f>+'[1]Budget 2025W'!Q70</f>
        <v>11062.145739130436</v>
      </c>
      <c r="K75" s="74">
        <f>+'[1]Budget 2025W'!R70</f>
        <v>11062.145739130436</v>
      </c>
      <c r="L75" s="74">
        <f>+'[1]Budget 2025W'!S70</f>
        <v>11062.145739130436</v>
      </c>
      <c r="M75" s="74">
        <f>+'[1]Budget 2025W'!T70</f>
        <v>11062.145739130436</v>
      </c>
      <c r="N75" s="74">
        <f>+'[1]Budget 2025W'!U70</f>
        <v>11062.145739130436</v>
      </c>
      <c r="O75" s="74">
        <f>+'[1]Budget 2025W'!V70</f>
        <v>11062.145739130436</v>
      </c>
      <c r="P75" s="74"/>
      <c r="Q75" s="75">
        <f>+'[1]Budget 2025W'!AP70</f>
        <v>77435.020173913043</v>
      </c>
    </row>
    <row r="76" spans="2:25" x14ac:dyDescent="0.2">
      <c r="B76" s="93"/>
      <c r="C76" s="6" t="s">
        <v>59</v>
      </c>
      <c r="D76" s="73">
        <f t="shared" ref="D76:O76" si="6">D940</f>
        <v>0</v>
      </c>
      <c r="E76" s="73">
        <f t="shared" si="6"/>
        <v>0</v>
      </c>
      <c r="F76" s="73">
        <f t="shared" si="6"/>
        <v>0</v>
      </c>
      <c r="G76" s="73">
        <f t="shared" si="6"/>
        <v>0</v>
      </c>
      <c r="H76" s="74">
        <f t="shared" si="6"/>
        <v>0</v>
      </c>
      <c r="I76" s="74">
        <f t="shared" si="6"/>
        <v>0</v>
      </c>
      <c r="J76" s="74">
        <f t="shared" si="6"/>
        <v>0</v>
      </c>
      <c r="K76" s="74">
        <f t="shared" si="6"/>
        <v>0</v>
      </c>
      <c r="L76" s="74">
        <f t="shared" si="6"/>
        <v>0</v>
      </c>
      <c r="M76" s="74">
        <f t="shared" si="6"/>
        <v>0</v>
      </c>
      <c r="N76" s="74">
        <f t="shared" si="6"/>
        <v>0</v>
      </c>
      <c r="O76" s="74">
        <f t="shared" si="6"/>
        <v>0</v>
      </c>
      <c r="P76" s="74"/>
      <c r="Q76" s="75">
        <f>+'[1]Budget 2025W'!AP71</f>
        <v>0</v>
      </c>
    </row>
    <row r="77" spans="2:25" ht="16.5" thickBot="1" x14ac:dyDescent="0.3">
      <c r="B77" s="93"/>
      <c r="D77" s="69" t="s">
        <v>39</v>
      </c>
      <c r="E77" s="69" t="s">
        <v>39</v>
      </c>
      <c r="F77" s="69" t="s">
        <v>39</v>
      </c>
      <c r="G77" s="69" t="s">
        <v>39</v>
      </c>
      <c r="H77" s="70" t="s">
        <v>39</v>
      </c>
      <c r="I77" s="70" t="s">
        <v>39</v>
      </c>
      <c r="J77" s="70" t="s">
        <v>39</v>
      </c>
      <c r="K77" s="70" t="s">
        <v>39</v>
      </c>
      <c r="L77" s="70" t="s">
        <v>39</v>
      </c>
      <c r="M77" s="70" t="s">
        <v>39</v>
      </c>
      <c r="N77" s="70" t="s">
        <v>39</v>
      </c>
      <c r="O77" s="70" t="s">
        <v>39</v>
      </c>
      <c r="P77" s="70"/>
      <c r="Q77" s="71" t="s">
        <v>39</v>
      </c>
    </row>
    <row r="78" spans="2:25" s="59" customFormat="1" ht="16.5" thickBot="1" x14ac:dyDescent="0.3">
      <c r="B78" s="10"/>
      <c r="C78" s="78" t="s">
        <v>60</v>
      </c>
      <c r="D78" s="79">
        <f t="shared" ref="D78:F78" si="7">SUM(D65:D77)</f>
        <v>0</v>
      </c>
      <c r="E78" s="79">
        <f t="shared" si="7"/>
        <v>0</v>
      </c>
      <c r="F78" s="79">
        <f t="shared" si="7"/>
        <v>0</v>
      </c>
      <c r="G78" s="79">
        <f>SUM(G65:G77)</f>
        <v>0</v>
      </c>
      <c r="H78" s="83">
        <f t="shared" ref="H78:O78" si="8">SUM(H71:H77)</f>
        <v>0</v>
      </c>
      <c r="I78" s="83">
        <f t="shared" si="8"/>
        <v>51485.026548748974</v>
      </c>
      <c r="J78" s="83">
        <f t="shared" si="8"/>
        <v>51071.098650922941</v>
      </c>
      <c r="K78" s="83">
        <f t="shared" si="8"/>
        <v>52143.501090536469</v>
      </c>
      <c r="L78" s="83">
        <f t="shared" si="8"/>
        <v>49305.223650922941</v>
      </c>
      <c r="M78" s="83">
        <f t="shared" si="8"/>
        <v>47673.949061550957</v>
      </c>
      <c r="N78" s="83">
        <f t="shared" si="8"/>
        <v>47618.769822420523</v>
      </c>
      <c r="O78" s="83">
        <f t="shared" si="8"/>
        <v>49583.79074029492</v>
      </c>
      <c r="P78" s="70"/>
      <c r="Q78" s="80">
        <f>SUM(Q71:Q77)</f>
        <v>348881.35956539772</v>
      </c>
      <c r="R78" s="10"/>
      <c r="S78" s="10"/>
      <c r="T78" s="10"/>
      <c r="U78" s="10"/>
      <c r="V78" s="10"/>
      <c r="W78" s="10"/>
      <c r="X78" s="10"/>
      <c r="Y78" s="10"/>
    </row>
    <row r="79" spans="2:25" s="10" customFormat="1" ht="12" customHeight="1" thickBot="1" x14ac:dyDescent="0.3">
      <c r="D79" s="84" t="s">
        <v>39</v>
      </c>
      <c r="E79" s="84" t="s">
        <v>39</v>
      </c>
      <c r="F79" s="84" t="s">
        <v>39</v>
      </c>
      <c r="G79" s="84" t="s">
        <v>39</v>
      </c>
      <c r="H79" s="85" t="s">
        <v>39</v>
      </c>
      <c r="I79" s="85" t="s">
        <v>39</v>
      </c>
      <c r="J79" s="85" t="s">
        <v>39</v>
      </c>
      <c r="K79" s="85" t="s">
        <v>39</v>
      </c>
      <c r="L79" s="85" t="s">
        <v>39</v>
      </c>
      <c r="M79" s="85" t="s">
        <v>39</v>
      </c>
      <c r="N79" s="85" t="s">
        <v>39</v>
      </c>
      <c r="O79" s="85" t="s">
        <v>39</v>
      </c>
      <c r="P79" s="85"/>
      <c r="Q79" s="86" t="s">
        <v>39</v>
      </c>
    </row>
    <row r="80" spans="2:25" s="59" customFormat="1" ht="16.5" thickBot="1" x14ac:dyDescent="0.3">
      <c r="B80" s="10"/>
      <c r="C80" s="94" t="s">
        <v>61</v>
      </c>
      <c r="D80" s="79">
        <f t="shared" ref="D80:O80" si="9">+D65-D78</f>
        <v>0</v>
      </c>
      <c r="E80" s="79">
        <f t="shared" si="9"/>
        <v>0</v>
      </c>
      <c r="F80" s="79">
        <f t="shared" si="9"/>
        <v>0</v>
      </c>
      <c r="G80" s="79">
        <f t="shared" si="9"/>
        <v>0</v>
      </c>
      <c r="H80" s="95">
        <f t="shared" si="9"/>
        <v>0</v>
      </c>
      <c r="I80" s="95">
        <f t="shared" si="9"/>
        <v>-65807.401177202235</v>
      </c>
      <c r="J80" s="95">
        <f t="shared" si="9"/>
        <v>-53149.732165176392</v>
      </c>
      <c r="K80" s="95">
        <f t="shared" si="9"/>
        <v>-56777.999663448805</v>
      </c>
      <c r="L80" s="95">
        <f t="shared" si="9"/>
        <v>-49154.548578219867</v>
      </c>
      <c r="M80" s="95">
        <f t="shared" si="9"/>
        <v>-60740.610568214084</v>
      </c>
      <c r="N80" s="95">
        <f t="shared" si="9"/>
        <v>-21304.48939430105</v>
      </c>
      <c r="O80" s="95">
        <f t="shared" si="9"/>
        <v>8227.7058248178291</v>
      </c>
      <c r="P80" s="70"/>
      <c r="Q80" s="96">
        <f>+Q65-Q78</f>
        <v>-298707.07572174462</v>
      </c>
      <c r="R80" s="10"/>
      <c r="S80" s="10"/>
      <c r="T80" s="10"/>
      <c r="U80" s="10"/>
      <c r="V80" s="10"/>
      <c r="W80" s="10"/>
      <c r="X80" s="10"/>
      <c r="Y80" s="10"/>
    </row>
    <row r="81" spans="2:25" x14ac:dyDescent="0.2">
      <c r="B81" s="6"/>
      <c r="D81" s="97"/>
      <c r="E81" s="97"/>
      <c r="F81" s="97"/>
      <c r="G81" s="97"/>
      <c r="H81" s="98"/>
      <c r="I81" s="98"/>
      <c r="J81" s="98"/>
      <c r="K81" s="98"/>
      <c r="L81" s="98"/>
      <c r="M81" s="98"/>
      <c r="N81" s="98"/>
      <c r="O81" s="98"/>
      <c r="P81" s="99"/>
      <c r="Q81" s="100"/>
    </row>
    <row r="82" spans="2:25" x14ac:dyDescent="0.2">
      <c r="B82" s="6"/>
      <c r="C82" s="6" t="s">
        <v>62</v>
      </c>
      <c r="D82" s="73">
        <f>+'[1]Budget 2025W'!K80</f>
        <v>0</v>
      </c>
      <c r="E82" s="73">
        <f>+'[1]Budget 2025W'!L80</f>
        <v>0</v>
      </c>
      <c r="F82" s="73">
        <f>+'[1]Budget 2025W'!M80</f>
        <v>0</v>
      </c>
      <c r="G82" s="73">
        <f>+'[1]Budget 2025W'!N80</f>
        <v>0</v>
      </c>
      <c r="H82" s="74">
        <f>+'[1]Budget 2025W'!O80</f>
        <v>0</v>
      </c>
      <c r="I82" s="74">
        <f>+'[1]Budget 2025W'!P80</f>
        <v>1600</v>
      </c>
      <c r="J82" s="74">
        <f>+'[1]Budget 2025W'!Q80</f>
        <v>1600</v>
      </c>
      <c r="K82" s="74">
        <f>+'[1]Budget 2025W'!R80</f>
        <v>1600</v>
      </c>
      <c r="L82" s="74">
        <f>+'[1]Budget 2025W'!S80</f>
        <v>1600</v>
      </c>
      <c r="M82" s="74">
        <f>+'[1]Budget 2025W'!T80</f>
        <v>1600</v>
      </c>
      <c r="N82" s="74">
        <f>+'[1]Budget 2025W'!U80</f>
        <v>1600</v>
      </c>
      <c r="O82" s="74">
        <f>+'[1]Budget 2025W'!V80</f>
        <v>1600</v>
      </c>
      <c r="P82" s="74"/>
      <c r="Q82" s="75">
        <f>+'[1]Budget 2025W'!AP80</f>
        <v>11200</v>
      </c>
    </row>
    <row r="83" spans="2:25" x14ac:dyDescent="0.2">
      <c r="B83" s="6"/>
      <c r="C83" s="6" t="s">
        <v>63</v>
      </c>
      <c r="D83" s="73">
        <f>+'[1]Budget 2025W'!K81</f>
        <v>0</v>
      </c>
      <c r="E83" s="73">
        <f>+'[1]Budget 2025W'!L81</f>
        <v>0</v>
      </c>
      <c r="F83" s="73">
        <f>+'[1]Budget 2025W'!M81</f>
        <v>0</v>
      </c>
      <c r="G83" s="73">
        <f>+'[1]Budget 2025W'!N81</f>
        <v>0</v>
      </c>
      <c r="H83" s="74">
        <f>+'[1]Budget 2025W'!O81</f>
        <v>0</v>
      </c>
      <c r="I83" s="74">
        <f>+'[1]Budget 2025W'!P81</f>
        <v>4000</v>
      </c>
      <c r="J83" s="74">
        <f>+'[1]Budget 2025W'!Q81</f>
        <v>8000</v>
      </c>
      <c r="K83" s="74">
        <f>+'[1]Budget 2025W'!R81</f>
        <v>8000</v>
      </c>
      <c r="L83" s="74">
        <f>+'[1]Budget 2025W'!S81</f>
        <v>8000</v>
      </c>
      <c r="M83" s="74">
        <f>+'[1]Budget 2025W'!T81</f>
        <v>8000</v>
      </c>
      <c r="N83" s="74">
        <f>+'[1]Budget 2025W'!U81</f>
        <v>8000</v>
      </c>
      <c r="O83" s="74">
        <f>+'[1]Budget 2025W'!V81</f>
        <v>8000</v>
      </c>
      <c r="P83" s="74"/>
      <c r="Q83" s="75">
        <f>+'[1]Budget 2025W'!AP81</f>
        <v>52000</v>
      </c>
    </row>
    <row r="84" spans="2:25" ht="15.75" thickBot="1" x14ac:dyDescent="0.25">
      <c r="B84" s="6"/>
      <c r="D84" s="101"/>
      <c r="E84" s="101"/>
      <c r="F84" s="101"/>
      <c r="G84" s="101"/>
      <c r="H84" s="102"/>
      <c r="I84" s="102"/>
      <c r="J84" s="102"/>
      <c r="K84" s="102"/>
      <c r="L84" s="102"/>
      <c r="M84" s="102"/>
      <c r="N84" s="102"/>
      <c r="O84" s="102"/>
      <c r="P84" s="99"/>
      <c r="Q84" s="103" t="s">
        <v>39</v>
      </c>
    </row>
    <row r="85" spans="2:25" s="59" customFormat="1" ht="16.5" thickBot="1" x14ac:dyDescent="0.3">
      <c r="B85" s="10"/>
      <c r="C85" s="94" t="s">
        <v>64</v>
      </c>
      <c r="D85" s="79">
        <f>SUM(D82:D84)</f>
        <v>0</v>
      </c>
      <c r="E85" s="79">
        <f t="shared" ref="E85:O85" si="10">SUM(E82:E84)</f>
        <v>0</v>
      </c>
      <c r="F85" s="79">
        <f t="shared" si="10"/>
        <v>0</v>
      </c>
      <c r="G85" s="79">
        <f t="shared" si="10"/>
        <v>0</v>
      </c>
      <c r="H85" s="104">
        <f t="shared" si="10"/>
        <v>0</v>
      </c>
      <c r="I85" s="104">
        <f t="shared" si="10"/>
        <v>5600</v>
      </c>
      <c r="J85" s="104">
        <f t="shared" si="10"/>
        <v>9600</v>
      </c>
      <c r="K85" s="104">
        <f t="shared" si="10"/>
        <v>9600</v>
      </c>
      <c r="L85" s="104">
        <f t="shared" si="10"/>
        <v>9600</v>
      </c>
      <c r="M85" s="104">
        <f t="shared" si="10"/>
        <v>9600</v>
      </c>
      <c r="N85" s="104">
        <f t="shared" si="10"/>
        <v>9600</v>
      </c>
      <c r="O85" s="104">
        <f t="shared" si="10"/>
        <v>9600</v>
      </c>
      <c r="P85" s="70"/>
      <c r="Q85" s="105">
        <f>SUM(Q82:Q84)</f>
        <v>63200</v>
      </c>
      <c r="R85" s="10"/>
      <c r="S85" s="10"/>
      <c r="T85" s="10"/>
      <c r="U85" s="10"/>
      <c r="V85" s="10"/>
      <c r="W85" s="10"/>
      <c r="X85" s="10"/>
      <c r="Y85" s="10"/>
    </row>
    <row r="86" spans="2:25" x14ac:dyDescent="0.2">
      <c r="B86" s="6"/>
      <c r="D86" s="101"/>
      <c r="E86" s="101"/>
      <c r="F86" s="101"/>
      <c r="G86" s="101"/>
      <c r="H86" s="102"/>
      <c r="I86" s="102"/>
      <c r="J86" s="102"/>
      <c r="K86" s="102"/>
      <c r="L86" s="102"/>
      <c r="M86" s="102"/>
      <c r="N86" s="102"/>
      <c r="O86" s="102"/>
      <c r="P86" s="99"/>
      <c r="Q86" s="103" t="s">
        <v>39</v>
      </c>
    </row>
    <row r="87" spans="2:25" x14ac:dyDescent="0.2">
      <c r="B87" s="6"/>
      <c r="C87" s="6" t="s">
        <v>65</v>
      </c>
      <c r="D87" s="73">
        <f>+'[1]Budget 2025W'!K86</f>
        <v>0</v>
      </c>
      <c r="E87" s="73">
        <f>+'[1]Budget 2025W'!L86</f>
        <v>0</v>
      </c>
      <c r="F87" s="73">
        <f>+'[1]Budget 2025W'!M86</f>
        <v>0</v>
      </c>
      <c r="G87" s="73">
        <f>+'[1]Budget 2025W'!N86</f>
        <v>0</v>
      </c>
      <c r="H87" s="74">
        <f>+'[1]Budget 2025W'!O86</f>
        <v>0</v>
      </c>
      <c r="I87" s="74">
        <f>+'[1]Budget 2025W'!P86</f>
        <v>238.59382246376811</v>
      </c>
      <c r="J87" s="74">
        <f>+'[1]Budget 2025W'!Q86</f>
        <v>238.59382246376811</v>
      </c>
      <c r="K87" s="74">
        <f>+'[1]Budget 2025W'!R86</f>
        <v>238.59382246376811</v>
      </c>
      <c r="L87" s="74">
        <f>+'[1]Budget 2025W'!S86</f>
        <v>238.59382246376811</v>
      </c>
      <c r="M87" s="74">
        <f>+'[1]Budget 2025W'!T86</f>
        <v>238.59382246376811</v>
      </c>
      <c r="N87" s="74">
        <f>+'[1]Budget 2025W'!U86</f>
        <v>238.59382246376811</v>
      </c>
      <c r="O87" s="74">
        <f>+'[1]Budget 2025W'!V86</f>
        <v>238.59382246376811</v>
      </c>
      <c r="P87" s="74"/>
      <c r="Q87" s="75">
        <f>+'[1]Budget 2025W'!AP86</f>
        <v>1670.1567572463764</v>
      </c>
    </row>
    <row r="88" spans="2:25" ht="15.75" thickBot="1" x14ac:dyDescent="0.25">
      <c r="B88" s="6"/>
      <c r="D88" s="106"/>
      <c r="E88" s="106"/>
      <c r="F88" s="106"/>
      <c r="G88" s="106"/>
      <c r="H88" s="107"/>
      <c r="I88" s="107"/>
      <c r="J88" s="107"/>
      <c r="K88" s="107"/>
      <c r="L88" s="107"/>
      <c r="M88" s="107"/>
      <c r="N88" s="107"/>
      <c r="O88" s="107"/>
      <c r="P88" s="107"/>
      <c r="Q88" s="100" t="s">
        <v>39</v>
      </c>
    </row>
    <row r="89" spans="2:25" s="59" customFormat="1" ht="16.5" thickBot="1" x14ac:dyDescent="0.3">
      <c r="B89" s="10"/>
      <c r="C89" s="94" t="s">
        <v>66</v>
      </c>
      <c r="D89" s="79">
        <f>SUM(D87:D88)</f>
        <v>0</v>
      </c>
      <c r="E89" s="79">
        <f t="shared" ref="E89:O89" si="11">SUM(E87:E88)</f>
        <v>0</v>
      </c>
      <c r="F89" s="79">
        <f t="shared" si="11"/>
        <v>0</v>
      </c>
      <c r="G89" s="79">
        <f t="shared" si="11"/>
        <v>0</v>
      </c>
      <c r="H89" s="108">
        <f t="shared" si="11"/>
        <v>0</v>
      </c>
      <c r="I89" s="108">
        <f t="shared" si="11"/>
        <v>238.59382246376811</v>
      </c>
      <c r="J89" s="108">
        <f t="shared" si="11"/>
        <v>238.59382246376811</v>
      </c>
      <c r="K89" s="108">
        <f t="shared" si="11"/>
        <v>238.59382246376811</v>
      </c>
      <c r="L89" s="108">
        <f t="shared" si="11"/>
        <v>238.59382246376811</v>
      </c>
      <c r="M89" s="108">
        <f t="shared" si="11"/>
        <v>238.59382246376811</v>
      </c>
      <c r="N89" s="108">
        <f t="shared" si="11"/>
        <v>238.59382246376811</v>
      </c>
      <c r="O89" s="108">
        <f t="shared" si="11"/>
        <v>238.59382246376811</v>
      </c>
      <c r="P89" s="70"/>
      <c r="Q89" s="109">
        <f>SUM(Q87:Q88)</f>
        <v>1670.1567572463764</v>
      </c>
      <c r="R89" s="10"/>
      <c r="S89" s="10"/>
      <c r="T89" s="10"/>
      <c r="U89" s="10"/>
      <c r="V89" s="10"/>
      <c r="W89" s="10"/>
      <c r="X89" s="10"/>
      <c r="Y89" s="10"/>
    </row>
    <row r="90" spans="2:25" ht="15.75" x14ac:dyDescent="0.25">
      <c r="B90" s="6"/>
      <c r="C90" s="10"/>
      <c r="D90" s="69"/>
      <c r="E90" s="69"/>
      <c r="F90" s="69"/>
      <c r="G90" s="69"/>
      <c r="H90" s="70"/>
      <c r="I90" s="70"/>
      <c r="J90" s="70"/>
      <c r="K90" s="70"/>
      <c r="L90" s="70"/>
      <c r="M90" s="70"/>
      <c r="N90" s="70"/>
      <c r="O90" s="70"/>
      <c r="P90" s="70"/>
      <c r="Q90" s="71" t="s">
        <v>39</v>
      </c>
    </row>
    <row r="91" spans="2:25" x14ac:dyDescent="0.2">
      <c r="B91" s="6"/>
      <c r="C91" s="6" t="s">
        <v>67</v>
      </c>
      <c r="D91" s="73">
        <f>+'[1]Budget 2025W'!K90</f>
        <v>0</v>
      </c>
      <c r="E91" s="73">
        <f>+'[1]Budget 2025W'!L90</f>
        <v>0</v>
      </c>
      <c r="F91" s="73">
        <f>+'[1]Budget 2025W'!M90</f>
        <v>0</v>
      </c>
      <c r="G91" s="73">
        <f>+'[1]Budget 2025W'!N90</f>
        <v>0</v>
      </c>
      <c r="H91" s="74">
        <f>+'[1]Budget 2025W'!O90</f>
        <v>0</v>
      </c>
      <c r="I91" s="74">
        <f>+'[1]Budget 2025W'!P90</f>
        <v>0</v>
      </c>
      <c r="J91" s="74">
        <f>+'[1]Budget 2025W'!Q90</f>
        <v>0</v>
      </c>
      <c r="K91" s="74">
        <f>+'[1]Budget 2025W'!R90</f>
        <v>0</v>
      </c>
      <c r="L91" s="74">
        <f>+'[1]Budget 2025W'!S90</f>
        <v>0</v>
      </c>
      <c r="M91" s="74">
        <f>+'[1]Budget 2025W'!T90</f>
        <v>0</v>
      </c>
      <c r="N91" s="74">
        <f>+'[1]Budget 2025W'!U90</f>
        <v>0</v>
      </c>
      <c r="O91" s="74">
        <f>+'[1]Budget 2025W'!V90</f>
        <v>0</v>
      </c>
      <c r="P91" s="74"/>
      <c r="Q91" s="75">
        <f>+'[1]Budget 2025W'!AP90</f>
        <v>0</v>
      </c>
    </row>
    <row r="92" spans="2:25" ht="15.75" thickBot="1" x14ac:dyDescent="0.25">
      <c r="D92" s="106"/>
      <c r="E92" s="106"/>
      <c r="F92" s="106"/>
      <c r="G92" s="106"/>
      <c r="H92" s="107"/>
      <c r="I92" s="107"/>
      <c r="J92" s="107"/>
      <c r="K92" s="107"/>
      <c r="L92" s="107"/>
      <c r="M92" s="107"/>
      <c r="N92" s="107"/>
      <c r="O92" s="107"/>
      <c r="P92" s="107"/>
      <c r="Q92" s="100" t="s">
        <v>39</v>
      </c>
    </row>
    <row r="93" spans="2:25" s="59" customFormat="1" ht="16.5" thickBot="1" x14ac:dyDescent="0.3">
      <c r="B93" s="7"/>
      <c r="C93" s="94" t="s">
        <v>68</v>
      </c>
      <c r="D93" s="79">
        <f>SUM(D91:D92)</f>
        <v>0</v>
      </c>
      <c r="E93" s="79">
        <f t="shared" ref="E93:N93" si="12">SUM(E91:E92)</f>
        <v>0</v>
      </c>
      <c r="F93" s="79">
        <f t="shared" si="12"/>
        <v>0</v>
      </c>
      <c r="G93" s="79">
        <f t="shared" si="12"/>
        <v>0</v>
      </c>
      <c r="H93" s="79">
        <f t="shared" si="12"/>
        <v>0</v>
      </c>
      <c r="I93" s="79">
        <f t="shared" si="12"/>
        <v>0</v>
      </c>
      <c r="J93" s="79">
        <f t="shared" si="12"/>
        <v>0</v>
      </c>
      <c r="K93" s="79">
        <f t="shared" si="12"/>
        <v>0</v>
      </c>
      <c r="L93" s="79">
        <f t="shared" si="12"/>
        <v>0</v>
      </c>
      <c r="M93" s="79">
        <f t="shared" si="12"/>
        <v>0</v>
      </c>
      <c r="N93" s="79">
        <f t="shared" si="12"/>
        <v>0</v>
      </c>
      <c r="O93" s="79">
        <f>SUM(O91:O92)</f>
        <v>0</v>
      </c>
      <c r="P93" s="70"/>
      <c r="Q93" s="110">
        <f>SUM(Q91:Q92)</f>
        <v>0</v>
      </c>
      <c r="R93" s="10"/>
      <c r="S93" s="10"/>
      <c r="T93" s="10"/>
      <c r="U93" s="10"/>
      <c r="V93" s="10"/>
      <c r="W93" s="10"/>
      <c r="X93" s="10"/>
      <c r="Y93" s="10"/>
    </row>
    <row r="94" spans="2:25" ht="15.75" x14ac:dyDescent="0.25">
      <c r="B94" s="6"/>
      <c r="C94" s="10"/>
      <c r="D94" s="69"/>
      <c r="E94" s="69"/>
      <c r="F94" s="69"/>
      <c r="G94" s="69"/>
      <c r="H94" s="70"/>
      <c r="I94" s="70"/>
      <c r="J94" s="70"/>
      <c r="K94" s="70"/>
      <c r="L94" s="70"/>
      <c r="M94" s="70"/>
      <c r="N94" s="70"/>
      <c r="O94" s="70"/>
      <c r="P94" s="70"/>
      <c r="Q94" s="71" t="s">
        <v>39</v>
      </c>
    </row>
    <row r="95" spans="2:25" ht="15.75" hidden="1" x14ac:dyDescent="0.25">
      <c r="B95" s="6"/>
      <c r="C95" s="10"/>
      <c r="D95" s="69"/>
      <c r="E95" s="69"/>
      <c r="F95" s="69"/>
      <c r="G95" s="69"/>
      <c r="H95" s="70"/>
      <c r="I95" s="70"/>
      <c r="J95" s="70"/>
      <c r="K95" s="70"/>
      <c r="L95" s="70"/>
      <c r="M95" s="70"/>
      <c r="N95" s="70"/>
      <c r="O95" s="70"/>
      <c r="P95" s="70"/>
      <c r="Q95" s="71"/>
    </row>
    <row r="96" spans="2:25" ht="15.75" hidden="1" x14ac:dyDescent="0.25">
      <c r="B96" s="6"/>
      <c r="C96" s="10"/>
      <c r="D96" s="69"/>
      <c r="E96" s="69"/>
      <c r="F96" s="69"/>
      <c r="G96" s="69"/>
      <c r="H96" s="70"/>
      <c r="I96" s="70"/>
      <c r="J96" s="70"/>
      <c r="K96" s="70"/>
      <c r="L96" s="70"/>
      <c r="M96" s="70"/>
      <c r="N96" s="70"/>
      <c r="O96" s="70"/>
      <c r="P96" s="70"/>
      <c r="Q96" s="71" t="s">
        <v>39</v>
      </c>
    </row>
    <row r="97" spans="2:25" ht="16.5" thickBot="1" x14ac:dyDescent="0.3">
      <c r="B97" s="6"/>
      <c r="C97" s="10"/>
      <c r="D97" s="69"/>
      <c r="E97" s="69"/>
      <c r="F97" s="69"/>
      <c r="G97" s="69"/>
      <c r="H97" s="70"/>
      <c r="I97" s="70"/>
      <c r="J97" s="70"/>
      <c r="K97" s="70"/>
      <c r="L97" s="70"/>
      <c r="M97" s="70"/>
      <c r="N97" s="70"/>
      <c r="O97" s="70"/>
      <c r="P97" s="70"/>
      <c r="Q97" s="71" t="s">
        <v>39</v>
      </c>
    </row>
    <row r="98" spans="2:25" s="59" customFormat="1" ht="16.5" thickBot="1" x14ac:dyDescent="0.3">
      <c r="B98" s="10"/>
      <c r="C98" s="94" t="s">
        <v>69</v>
      </c>
      <c r="D98" s="79">
        <f>+D85+D89+D93</f>
        <v>0</v>
      </c>
      <c r="E98" s="79">
        <f t="shared" ref="E98:O98" si="13">+E85+E89+E93</f>
        <v>0</v>
      </c>
      <c r="F98" s="79">
        <f t="shared" si="13"/>
        <v>0</v>
      </c>
      <c r="G98" s="79">
        <f t="shared" si="13"/>
        <v>0</v>
      </c>
      <c r="H98" s="79">
        <f t="shared" si="13"/>
        <v>0</v>
      </c>
      <c r="I98" s="79">
        <f t="shared" si="13"/>
        <v>5838.5938224637684</v>
      </c>
      <c r="J98" s="79">
        <f t="shared" si="13"/>
        <v>9838.5938224637684</v>
      </c>
      <c r="K98" s="79">
        <f t="shared" si="13"/>
        <v>9838.5938224637684</v>
      </c>
      <c r="L98" s="79">
        <f t="shared" si="13"/>
        <v>9838.5938224637684</v>
      </c>
      <c r="M98" s="79">
        <f t="shared" si="13"/>
        <v>9838.5938224637684</v>
      </c>
      <c r="N98" s="79">
        <f t="shared" si="13"/>
        <v>9838.5938224637684</v>
      </c>
      <c r="O98" s="79">
        <f t="shared" si="13"/>
        <v>9838.5938224637684</v>
      </c>
      <c r="P98" s="70"/>
      <c r="Q98" s="110">
        <f>+Q85+Q89+Q93</f>
        <v>64870.156757246375</v>
      </c>
      <c r="R98" s="10"/>
      <c r="S98" s="10"/>
      <c r="T98" s="10"/>
      <c r="U98" s="10"/>
      <c r="V98" s="10"/>
      <c r="W98" s="10"/>
      <c r="X98" s="10"/>
      <c r="Y98" s="10"/>
    </row>
    <row r="99" spans="2:25" ht="16.5" thickBot="1" x14ac:dyDescent="0.3">
      <c r="B99" s="6"/>
      <c r="C99" s="10"/>
      <c r="D99" s="69"/>
      <c r="E99" s="69"/>
      <c r="F99" s="69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1" t="s">
        <v>39</v>
      </c>
    </row>
    <row r="100" spans="2:25" s="59" customFormat="1" ht="16.5" thickBot="1" x14ac:dyDescent="0.3">
      <c r="B100" s="10"/>
      <c r="C100" s="94" t="s">
        <v>70</v>
      </c>
      <c r="D100" s="79">
        <f>+D80-D98</f>
        <v>0</v>
      </c>
      <c r="E100" s="79">
        <f t="shared" ref="E100:O100" si="14">+E80-E98</f>
        <v>0</v>
      </c>
      <c r="F100" s="79">
        <f t="shared" si="14"/>
        <v>0</v>
      </c>
      <c r="G100" s="79">
        <f t="shared" si="14"/>
        <v>0</v>
      </c>
      <c r="H100" s="79">
        <f t="shared" si="14"/>
        <v>0</v>
      </c>
      <c r="I100" s="79">
        <f t="shared" si="14"/>
        <v>-71645.994999666</v>
      </c>
      <c r="J100" s="79">
        <f t="shared" si="14"/>
        <v>-62988.325987640157</v>
      </c>
      <c r="K100" s="79">
        <f t="shared" si="14"/>
        <v>-66616.59348591257</v>
      </c>
      <c r="L100" s="79">
        <f t="shared" si="14"/>
        <v>-58993.142400683631</v>
      </c>
      <c r="M100" s="79">
        <f t="shared" si="14"/>
        <v>-70579.204390677856</v>
      </c>
      <c r="N100" s="79">
        <f t="shared" si="14"/>
        <v>-31143.083216764819</v>
      </c>
      <c r="O100" s="79">
        <f t="shared" si="14"/>
        <v>-1610.8879976459393</v>
      </c>
      <c r="P100" s="70"/>
      <c r="Q100" s="110">
        <f>+Q80-Q98</f>
        <v>-363577.23247899098</v>
      </c>
      <c r="R100" s="10"/>
      <c r="S100" s="10"/>
      <c r="T100" s="10"/>
      <c r="U100" s="10"/>
      <c r="V100" s="10"/>
      <c r="W100" s="10"/>
      <c r="X100" s="10"/>
      <c r="Y100" s="10"/>
    </row>
    <row r="101" spans="2:25" ht="15.75" x14ac:dyDescent="0.25">
      <c r="B101" s="6"/>
      <c r="C101" s="10"/>
      <c r="D101" s="69"/>
      <c r="E101" s="69"/>
      <c r="F101" s="69"/>
      <c r="G101" s="69"/>
      <c r="H101" s="70"/>
      <c r="I101" s="70"/>
      <c r="J101" s="70"/>
      <c r="K101" s="70"/>
      <c r="L101" s="70"/>
      <c r="M101" s="70"/>
      <c r="N101" s="70"/>
      <c r="O101" s="70"/>
      <c r="P101" s="70"/>
      <c r="Q101" s="71" t="s">
        <v>39</v>
      </c>
    </row>
    <row r="102" spans="2:25" ht="15.75" hidden="1" x14ac:dyDescent="0.25">
      <c r="B102" s="6"/>
      <c r="C102" s="10"/>
      <c r="D102" s="69"/>
      <c r="E102" s="69"/>
      <c r="F102" s="69"/>
      <c r="G102" s="69"/>
      <c r="H102" s="70"/>
      <c r="I102" s="70"/>
      <c r="J102" s="70"/>
      <c r="K102" s="70"/>
      <c r="L102" s="70"/>
      <c r="M102" s="70"/>
      <c r="N102" s="70"/>
      <c r="O102" s="70"/>
      <c r="P102" s="70"/>
      <c r="Q102" s="71"/>
    </row>
    <row r="103" spans="2:25" ht="15.75" hidden="1" x14ac:dyDescent="0.25">
      <c r="B103" s="6"/>
      <c r="C103" s="10"/>
      <c r="D103" s="69"/>
      <c r="E103" s="69"/>
      <c r="F103" s="69"/>
      <c r="G103" s="69"/>
      <c r="H103" s="70"/>
      <c r="I103" s="70"/>
      <c r="J103" s="70"/>
      <c r="K103" s="70"/>
      <c r="L103" s="70"/>
      <c r="M103" s="70"/>
      <c r="N103" s="70"/>
      <c r="O103" s="70"/>
      <c r="P103" s="70"/>
      <c r="Q103" s="71"/>
    </row>
    <row r="104" spans="2:25" x14ac:dyDescent="0.2">
      <c r="C104" s="6" t="s">
        <v>71</v>
      </c>
      <c r="D104" s="106">
        <f>+'[1]Budget 2025W'!K107</f>
        <v>0</v>
      </c>
      <c r="E104" s="106">
        <f>+'[1]Budget 2025W'!L107</f>
        <v>0</v>
      </c>
      <c r="F104" s="106">
        <f>+'[1]Budget 2025W'!M107</f>
        <v>0</v>
      </c>
      <c r="G104" s="106">
        <f>+'[1]Budget 2025W'!N107</f>
        <v>0</v>
      </c>
      <c r="H104" s="99">
        <f>+'[1]Budget 2025W'!O107</f>
        <v>0</v>
      </c>
      <c r="I104" s="99">
        <f>+'[1]Budget 2025W'!P107</f>
        <v>0</v>
      </c>
      <c r="J104" s="99">
        <f>+'[1]Budget 2025W'!Q107</f>
        <v>0</v>
      </c>
      <c r="K104" s="99">
        <f>+'[1]Budget 2025W'!R107</f>
        <v>0</v>
      </c>
      <c r="L104" s="99">
        <f>+'[1]Budget 2025W'!S107</f>
        <v>0</v>
      </c>
      <c r="M104" s="99">
        <f>+'[1]Budget 2025W'!T107</f>
        <v>0</v>
      </c>
      <c r="N104" s="99">
        <f>+'[1]Budget 2025W'!U107</f>
        <v>0</v>
      </c>
      <c r="O104" s="99">
        <f>+'[1]Budget 2025W'!V107</f>
        <v>0</v>
      </c>
      <c r="P104" s="99"/>
      <c r="Q104" s="100">
        <f>+'[1]Budget 2025W'!AP107</f>
        <v>0</v>
      </c>
    </row>
    <row r="105" spans="2:25" x14ac:dyDescent="0.2">
      <c r="C105" s="6" t="s">
        <v>72</v>
      </c>
      <c r="D105" s="106">
        <f>+'[1]Budget 2025W'!K108</f>
        <v>0</v>
      </c>
      <c r="E105" s="106">
        <f>+'[1]Budget 2025W'!L108</f>
        <v>0</v>
      </c>
      <c r="F105" s="106">
        <f>+'[1]Budget 2025W'!M108</f>
        <v>0</v>
      </c>
      <c r="G105" s="106">
        <f>+'[1]Budget 2025W'!N108</f>
        <v>0</v>
      </c>
      <c r="H105" s="99">
        <f>+'[1]Budget 2025W'!O108</f>
        <v>0</v>
      </c>
      <c r="I105" s="99">
        <f>+'[1]Budget 2025W'!P108</f>
        <v>5000</v>
      </c>
      <c r="J105" s="99">
        <f>+'[1]Budget 2025W'!Q108</f>
        <v>5000</v>
      </c>
      <c r="K105" s="99">
        <f>+'[1]Budget 2025W'!R108</f>
        <v>5000</v>
      </c>
      <c r="L105" s="99">
        <f>+'[1]Budget 2025W'!S108</f>
        <v>5000</v>
      </c>
      <c r="M105" s="99">
        <f>+'[1]Budget 2025W'!T108</f>
        <v>5000</v>
      </c>
      <c r="N105" s="99">
        <f>+'[1]Budget 2025W'!U108</f>
        <v>5000</v>
      </c>
      <c r="O105" s="99">
        <f>+'[1]Budget 2025W'!V108</f>
        <v>5000</v>
      </c>
      <c r="P105" s="99"/>
      <c r="Q105" s="100">
        <f>+'[1]Budget 2025W'!AP108</f>
        <v>35000</v>
      </c>
    </row>
    <row r="106" spans="2:25" ht="15.75" thickBot="1" x14ac:dyDescent="0.25">
      <c r="D106" s="101"/>
      <c r="E106" s="101"/>
      <c r="F106" s="101"/>
      <c r="G106" s="101"/>
      <c r="H106" s="102"/>
      <c r="I106" s="102"/>
      <c r="J106" s="102"/>
      <c r="K106" s="102"/>
      <c r="L106" s="102"/>
      <c r="M106" s="102"/>
      <c r="N106" s="102"/>
      <c r="O106" s="102"/>
      <c r="P106" s="99"/>
      <c r="Q106" s="103" t="s">
        <v>39</v>
      </c>
    </row>
    <row r="107" spans="2:25" s="59" customFormat="1" ht="16.5" thickBot="1" x14ac:dyDescent="0.3">
      <c r="B107" s="7"/>
      <c r="C107" s="94" t="s">
        <v>73</v>
      </c>
      <c r="D107" s="79">
        <f>SUM(D104:D105)</f>
        <v>0</v>
      </c>
      <c r="E107" s="79">
        <f t="shared" ref="E107:O107" si="15">SUM(E104:E105)</f>
        <v>0</v>
      </c>
      <c r="F107" s="79">
        <f t="shared" si="15"/>
        <v>0</v>
      </c>
      <c r="G107" s="79">
        <f t="shared" si="15"/>
        <v>0</v>
      </c>
      <c r="H107" s="104">
        <f t="shared" si="15"/>
        <v>0</v>
      </c>
      <c r="I107" s="104">
        <f t="shared" si="15"/>
        <v>5000</v>
      </c>
      <c r="J107" s="104">
        <f t="shared" si="15"/>
        <v>5000</v>
      </c>
      <c r="K107" s="104">
        <f t="shared" si="15"/>
        <v>5000</v>
      </c>
      <c r="L107" s="104">
        <f t="shared" si="15"/>
        <v>5000</v>
      </c>
      <c r="M107" s="104">
        <f t="shared" si="15"/>
        <v>5000</v>
      </c>
      <c r="N107" s="104">
        <f t="shared" si="15"/>
        <v>5000</v>
      </c>
      <c r="O107" s="104">
        <f t="shared" si="15"/>
        <v>5000</v>
      </c>
      <c r="P107" s="70"/>
      <c r="Q107" s="105">
        <f>SUM(Q104:Q105)</f>
        <v>35000</v>
      </c>
      <c r="R107" s="10"/>
      <c r="S107" s="10"/>
      <c r="T107" s="10"/>
      <c r="U107" s="10"/>
      <c r="V107" s="10"/>
      <c r="W107" s="10"/>
      <c r="X107" s="10"/>
      <c r="Y107" s="10"/>
    </row>
    <row r="108" spans="2:25" ht="16.5" thickBot="1" x14ac:dyDescent="0.3">
      <c r="B108" s="6"/>
      <c r="C108" s="10"/>
      <c r="D108" s="69"/>
      <c r="E108" s="69"/>
      <c r="F108" s="69"/>
      <c r="G108" s="69"/>
      <c r="H108" s="70"/>
      <c r="I108" s="70"/>
      <c r="J108" s="70"/>
      <c r="K108" s="70"/>
      <c r="L108" s="70"/>
      <c r="M108" s="70"/>
      <c r="N108" s="70"/>
      <c r="O108" s="70"/>
      <c r="P108" s="70"/>
      <c r="Q108" s="71"/>
    </row>
    <row r="109" spans="2:25" s="59" customFormat="1" ht="16.5" thickBot="1" x14ac:dyDescent="0.3">
      <c r="B109" s="7"/>
      <c r="C109" s="94" t="s">
        <v>74</v>
      </c>
      <c r="D109" s="79">
        <f>+D100-D107</f>
        <v>0</v>
      </c>
      <c r="E109" s="79">
        <f t="shared" ref="E109:O109" si="16">+E100-E107</f>
        <v>0</v>
      </c>
      <c r="F109" s="79">
        <f t="shared" si="16"/>
        <v>0</v>
      </c>
      <c r="G109" s="79">
        <f t="shared" si="16"/>
        <v>0</v>
      </c>
      <c r="H109" s="104">
        <f t="shared" si="16"/>
        <v>0</v>
      </c>
      <c r="I109" s="104">
        <f t="shared" si="16"/>
        <v>-76645.994999666</v>
      </c>
      <c r="J109" s="104">
        <f t="shared" si="16"/>
        <v>-67988.325987640157</v>
      </c>
      <c r="K109" s="104">
        <f t="shared" si="16"/>
        <v>-71616.59348591257</v>
      </c>
      <c r="L109" s="104">
        <f t="shared" si="16"/>
        <v>-63993.142400683631</v>
      </c>
      <c r="M109" s="104">
        <f t="shared" si="16"/>
        <v>-75579.204390677856</v>
      </c>
      <c r="N109" s="104">
        <f t="shared" si="16"/>
        <v>-36143.083216764819</v>
      </c>
      <c r="O109" s="104">
        <f t="shared" si="16"/>
        <v>-6610.8879976459393</v>
      </c>
      <c r="P109" s="70"/>
      <c r="Q109" s="105">
        <f>+Q100-Q107</f>
        <v>-398577.23247899098</v>
      </c>
      <c r="R109" s="10"/>
      <c r="S109" s="10"/>
      <c r="T109" s="10"/>
      <c r="U109" s="10"/>
      <c r="V109" s="10"/>
      <c r="W109" s="10"/>
      <c r="X109" s="10"/>
      <c r="Y109" s="10"/>
    </row>
    <row r="110" spans="2:25" ht="15.75" x14ac:dyDescent="0.25">
      <c r="B110" s="6"/>
      <c r="C110" s="10"/>
      <c r="D110" s="69"/>
      <c r="E110" s="69"/>
      <c r="F110" s="69"/>
      <c r="G110" s="69"/>
      <c r="H110" s="70"/>
      <c r="I110" s="70"/>
      <c r="J110" s="70"/>
      <c r="K110" s="70"/>
      <c r="L110" s="70"/>
      <c r="M110" s="70"/>
      <c r="N110" s="70"/>
      <c r="O110" s="70"/>
      <c r="P110" s="70"/>
      <c r="Q110" s="71"/>
    </row>
    <row r="111" spans="2:25" hidden="1" x14ac:dyDescent="0.2">
      <c r="B111" s="6"/>
      <c r="C111" s="111"/>
      <c r="D111" s="73"/>
      <c r="E111" s="73"/>
      <c r="F111" s="73"/>
      <c r="G111" s="73"/>
      <c r="H111" s="74"/>
      <c r="I111" s="74"/>
      <c r="J111" s="74"/>
      <c r="K111" s="74"/>
      <c r="L111" s="74"/>
      <c r="M111" s="74"/>
      <c r="N111" s="74"/>
      <c r="O111" s="74"/>
      <c r="P111" s="74"/>
      <c r="Q111" s="75"/>
    </row>
    <row r="112" spans="2:25" x14ac:dyDescent="0.2">
      <c r="B112" s="6"/>
      <c r="C112" s="111" t="s">
        <v>75</v>
      </c>
      <c r="D112" s="73">
        <f>+'[1]Budget 2025W'!K99</f>
        <v>0</v>
      </c>
      <c r="E112" s="73">
        <f>+'[1]Budget 2025W'!L99</f>
        <v>0</v>
      </c>
      <c r="F112" s="73">
        <f>+'[1]Budget 2025W'!M99</f>
        <v>0</v>
      </c>
      <c r="G112" s="73">
        <f>+'[1]Budget 2025W'!N99</f>
        <v>0</v>
      </c>
      <c r="H112" s="74">
        <f>+'[1]Budget 2025W'!O99</f>
        <v>0</v>
      </c>
      <c r="I112" s="74">
        <f>+'[1]Budget 2025W'!P99</f>
        <v>0</v>
      </c>
      <c r="J112" s="74">
        <f>+'[1]Budget 2025W'!Q99</f>
        <v>0</v>
      </c>
      <c r="K112" s="74">
        <f>+'[1]Budget 2025W'!R99</f>
        <v>0</v>
      </c>
      <c r="L112" s="74">
        <f>+'[1]Budget 2025W'!S99</f>
        <v>0</v>
      </c>
      <c r="M112" s="74">
        <f>+'[1]Budget 2025W'!T99</f>
        <v>0</v>
      </c>
      <c r="N112" s="74">
        <f>+'[1]Budget 2025W'!U99</f>
        <v>0</v>
      </c>
      <c r="O112" s="74">
        <f>+'[1]Budget 2025W'!V99</f>
        <v>0</v>
      </c>
      <c r="P112" s="74"/>
      <c r="Q112" s="75">
        <f>+'[1]Budget 2025W'!AP99</f>
        <v>0</v>
      </c>
    </row>
    <row r="113" spans="2:25" ht="15.75" thickBot="1" x14ac:dyDescent="0.25">
      <c r="B113" s="6"/>
      <c r="D113" s="73"/>
      <c r="E113" s="73"/>
      <c r="F113" s="73"/>
      <c r="G113" s="73"/>
      <c r="H113" s="74"/>
      <c r="I113" s="74"/>
      <c r="J113" s="74"/>
      <c r="K113" s="74"/>
      <c r="L113" s="74"/>
      <c r="M113" s="74"/>
      <c r="N113" s="74"/>
      <c r="O113" s="74"/>
      <c r="P113" s="74"/>
      <c r="Q113" s="75" t="s">
        <v>39</v>
      </c>
    </row>
    <row r="114" spans="2:25" s="59" customFormat="1" ht="16.5" thickBot="1" x14ac:dyDescent="0.3">
      <c r="B114" s="7"/>
      <c r="C114" s="94" t="s">
        <v>76</v>
      </c>
      <c r="D114" s="79">
        <f>SUM(D111:D112)</f>
        <v>0</v>
      </c>
      <c r="E114" s="79">
        <f t="shared" ref="E114:O114" si="17">SUM(E111:E112)</f>
        <v>0</v>
      </c>
      <c r="F114" s="79">
        <f t="shared" si="17"/>
        <v>0</v>
      </c>
      <c r="G114" s="79">
        <f t="shared" si="17"/>
        <v>0</v>
      </c>
      <c r="H114" s="79">
        <f t="shared" si="17"/>
        <v>0</v>
      </c>
      <c r="I114" s="79">
        <f t="shared" si="17"/>
        <v>0</v>
      </c>
      <c r="J114" s="79">
        <f t="shared" si="17"/>
        <v>0</v>
      </c>
      <c r="K114" s="79">
        <f t="shared" si="17"/>
        <v>0</v>
      </c>
      <c r="L114" s="79">
        <f t="shared" si="17"/>
        <v>0</v>
      </c>
      <c r="M114" s="79">
        <f t="shared" si="17"/>
        <v>0</v>
      </c>
      <c r="N114" s="79">
        <f t="shared" si="17"/>
        <v>0</v>
      </c>
      <c r="O114" s="79">
        <f t="shared" si="17"/>
        <v>0</v>
      </c>
      <c r="P114" s="70"/>
      <c r="Q114" s="110">
        <f>SUM(Q111:Q112)</f>
        <v>0</v>
      </c>
      <c r="R114" s="10"/>
      <c r="S114" s="10"/>
      <c r="T114" s="10"/>
      <c r="U114" s="10"/>
      <c r="V114" s="10"/>
      <c r="W114" s="10"/>
      <c r="X114" s="10"/>
      <c r="Y114" s="10"/>
    </row>
    <row r="115" spans="2:25" x14ac:dyDescent="0.2">
      <c r="B115" s="6"/>
      <c r="D115" s="106"/>
      <c r="E115" s="106"/>
      <c r="F115" s="106"/>
      <c r="G115" s="106"/>
      <c r="H115" s="107"/>
      <c r="I115" s="107"/>
      <c r="J115" s="107"/>
      <c r="K115" s="107"/>
      <c r="L115" s="107"/>
      <c r="M115" s="107"/>
      <c r="N115" s="107"/>
      <c r="O115" s="107"/>
      <c r="P115" s="107"/>
      <c r="Q115" s="100" t="s">
        <v>39</v>
      </c>
    </row>
    <row r="116" spans="2:25" x14ac:dyDescent="0.2">
      <c r="C116" s="88" t="s">
        <v>77</v>
      </c>
      <c r="D116" s="73">
        <f>+'[1]Budget 2025W'!K103</f>
        <v>0</v>
      </c>
      <c r="E116" s="73">
        <f>+'[1]Budget 2025W'!L103</f>
        <v>0</v>
      </c>
      <c r="F116" s="73">
        <f>+'[1]Budget 2025W'!M103</f>
        <v>0</v>
      </c>
      <c r="G116" s="73">
        <f>+'[1]Budget 2025W'!N103</f>
        <v>0</v>
      </c>
      <c r="H116" s="74">
        <f>+'[1]Budget 2025W'!O103</f>
        <v>0</v>
      </c>
      <c r="I116" s="74">
        <f>+'[1]Budget 2025W'!P103</f>
        <v>0</v>
      </c>
      <c r="J116" s="74">
        <f>+'[1]Budget 2025W'!Q103</f>
        <v>0</v>
      </c>
      <c r="K116" s="74">
        <f>+'[1]Budget 2025W'!R103</f>
        <v>0</v>
      </c>
      <c r="L116" s="74">
        <f>+'[1]Budget 2025W'!S103</f>
        <v>0</v>
      </c>
      <c r="M116" s="74">
        <f>+'[1]Budget 2025W'!T103</f>
        <v>0</v>
      </c>
      <c r="N116" s="74">
        <f>+'[1]Budget 2025W'!U103</f>
        <v>0</v>
      </c>
      <c r="O116" s="74">
        <f>+'[1]Budget 2025W'!V103</f>
        <v>0</v>
      </c>
      <c r="P116" s="74"/>
      <c r="Q116" s="75">
        <f>+'[1]Budget 2025W'!AP103</f>
        <v>0</v>
      </c>
    </row>
    <row r="117" spans="2:25" hidden="1" x14ac:dyDescent="0.2">
      <c r="D117" s="73"/>
      <c r="E117" s="73"/>
      <c r="F117" s="73"/>
      <c r="G117" s="73"/>
      <c r="H117" s="74"/>
      <c r="I117" s="74"/>
      <c r="J117" s="74"/>
      <c r="K117" s="74"/>
      <c r="L117" s="74"/>
      <c r="M117" s="74"/>
      <c r="N117" s="74"/>
      <c r="O117" s="74"/>
      <c r="P117" s="74"/>
      <c r="Q117" s="75"/>
    </row>
    <row r="118" spans="2:25" ht="15.75" thickBot="1" x14ac:dyDescent="0.25">
      <c r="D118" s="106"/>
      <c r="E118" s="106"/>
      <c r="F118" s="106"/>
      <c r="G118" s="106"/>
      <c r="H118" s="107"/>
      <c r="I118" s="107"/>
      <c r="J118" s="107"/>
      <c r="K118" s="107"/>
      <c r="L118" s="107"/>
      <c r="M118" s="107"/>
      <c r="N118" s="107"/>
      <c r="O118" s="107"/>
      <c r="P118" s="107"/>
      <c r="Q118" s="100" t="s">
        <v>39</v>
      </c>
    </row>
    <row r="119" spans="2:25" s="59" customFormat="1" ht="16.5" thickBot="1" x14ac:dyDescent="0.3">
      <c r="B119" s="7"/>
      <c r="C119" s="94" t="s">
        <v>78</v>
      </c>
      <c r="D119" s="79">
        <f>SUM(D116:D118)</f>
        <v>0</v>
      </c>
      <c r="E119" s="79">
        <f t="shared" ref="E119:O119" si="18">SUM(E116:E118)</f>
        <v>0</v>
      </c>
      <c r="F119" s="79">
        <f t="shared" si="18"/>
        <v>0</v>
      </c>
      <c r="G119" s="79">
        <f t="shared" si="18"/>
        <v>0</v>
      </c>
      <c r="H119" s="79">
        <f t="shared" si="18"/>
        <v>0</v>
      </c>
      <c r="I119" s="79">
        <f t="shared" si="18"/>
        <v>0</v>
      </c>
      <c r="J119" s="79">
        <f t="shared" si="18"/>
        <v>0</v>
      </c>
      <c r="K119" s="79">
        <f t="shared" si="18"/>
        <v>0</v>
      </c>
      <c r="L119" s="79">
        <f t="shared" si="18"/>
        <v>0</v>
      </c>
      <c r="M119" s="79">
        <f t="shared" si="18"/>
        <v>0</v>
      </c>
      <c r="N119" s="79">
        <f t="shared" si="18"/>
        <v>0</v>
      </c>
      <c r="O119" s="79">
        <f t="shared" si="18"/>
        <v>0</v>
      </c>
      <c r="P119" s="70"/>
      <c r="Q119" s="110">
        <f>SUM(Q116:Q118)</f>
        <v>0</v>
      </c>
      <c r="R119" s="10"/>
      <c r="S119" s="10"/>
      <c r="T119" s="10"/>
      <c r="U119" s="10"/>
      <c r="V119" s="10"/>
      <c r="W119" s="10"/>
      <c r="X119" s="10"/>
      <c r="Y119" s="10"/>
    </row>
    <row r="120" spans="2:25" ht="15.75" thickBot="1" x14ac:dyDescent="0.25">
      <c r="D120" s="101"/>
      <c r="E120" s="101"/>
      <c r="F120" s="101"/>
      <c r="G120" s="101"/>
      <c r="H120" s="102"/>
      <c r="I120" s="102"/>
      <c r="J120" s="102"/>
      <c r="K120" s="102"/>
      <c r="L120" s="102"/>
      <c r="M120" s="102"/>
      <c r="N120" s="102"/>
      <c r="O120" s="102"/>
      <c r="P120" s="99"/>
      <c r="Q120" s="103" t="s">
        <v>39</v>
      </c>
    </row>
    <row r="121" spans="2:25" ht="15.75" hidden="1" thickBot="1" x14ac:dyDescent="0.25">
      <c r="D121" s="101"/>
      <c r="E121" s="101"/>
      <c r="F121" s="101"/>
      <c r="G121" s="101"/>
      <c r="H121" s="102"/>
      <c r="I121" s="102"/>
      <c r="J121" s="102"/>
      <c r="K121" s="102"/>
      <c r="L121" s="102"/>
      <c r="M121" s="102"/>
      <c r="N121" s="102"/>
      <c r="O121" s="102"/>
      <c r="P121" s="99"/>
      <c r="Q121" s="103" t="s">
        <v>39</v>
      </c>
    </row>
    <row r="122" spans="2:25" s="59" customFormat="1" ht="16.5" thickBot="1" x14ac:dyDescent="0.3">
      <c r="B122" s="7"/>
      <c r="C122" s="94" t="s">
        <v>79</v>
      </c>
      <c r="D122" s="79">
        <f>+D109-D114-D119</f>
        <v>0</v>
      </c>
      <c r="E122" s="79">
        <f t="shared" ref="E122:O122" si="19">+E109-E114-E119</f>
        <v>0</v>
      </c>
      <c r="F122" s="79">
        <f t="shared" si="19"/>
        <v>0</v>
      </c>
      <c r="G122" s="79">
        <f t="shared" si="19"/>
        <v>0</v>
      </c>
      <c r="H122" s="79">
        <f t="shared" si="19"/>
        <v>0</v>
      </c>
      <c r="I122" s="79">
        <f t="shared" si="19"/>
        <v>-76645.994999666</v>
      </c>
      <c r="J122" s="79">
        <f t="shared" si="19"/>
        <v>-67988.325987640157</v>
      </c>
      <c r="K122" s="79">
        <f t="shared" si="19"/>
        <v>-71616.59348591257</v>
      </c>
      <c r="L122" s="79">
        <f t="shared" si="19"/>
        <v>-63993.142400683631</v>
      </c>
      <c r="M122" s="79">
        <f t="shared" si="19"/>
        <v>-75579.204390677856</v>
      </c>
      <c r="N122" s="79">
        <f t="shared" si="19"/>
        <v>-36143.083216764819</v>
      </c>
      <c r="O122" s="79">
        <f t="shared" si="19"/>
        <v>-6610.8879976459393</v>
      </c>
      <c r="P122" s="70"/>
      <c r="Q122" s="110">
        <f>+Q109-Q114-Q119</f>
        <v>-398577.23247899098</v>
      </c>
      <c r="R122" s="10"/>
      <c r="S122" s="10"/>
      <c r="T122" s="10"/>
      <c r="U122" s="10"/>
      <c r="V122" s="10"/>
      <c r="W122" s="10"/>
      <c r="X122" s="10"/>
      <c r="Y122" s="10"/>
    </row>
    <row r="123" spans="2:25" x14ac:dyDescent="0.2">
      <c r="D123" s="101"/>
      <c r="E123" s="101"/>
      <c r="F123" s="101"/>
      <c r="G123" s="101"/>
      <c r="H123" s="102"/>
      <c r="I123" s="102"/>
      <c r="J123" s="102"/>
      <c r="K123" s="102"/>
      <c r="L123" s="102"/>
      <c r="M123" s="102"/>
      <c r="N123" s="102"/>
      <c r="O123" s="102"/>
      <c r="P123" s="99"/>
      <c r="Q123" s="103" t="s">
        <v>39</v>
      </c>
    </row>
    <row r="124" spans="2:25" x14ac:dyDescent="0.2">
      <c r="C124" s="6" t="s">
        <v>80</v>
      </c>
      <c r="D124" s="101">
        <f>+'[1]Budget 2025W'!K114</f>
        <v>0</v>
      </c>
      <c r="E124" s="101">
        <f>+'[1]Budget 2025W'!L114</f>
        <v>0</v>
      </c>
      <c r="F124" s="101">
        <f>+'[1]Budget 2025W'!M114</f>
        <v>0</v>
      </c>
      <c r="G124" s="101">
        <f>+'[1]Budget 2025W'!N114</f>
        <v>0</v>
      </c>
      <c r="H124" s="102">
        <f>+'[1]Budget 2025W'!O114</f>
        <v>0</v>
      </c>
      <c r="I124" s="102">
        <f>+'[1]Budget 2025W'!P114</f>
        <v>0</v>
      </c>
      <c r="J124" s="102">
        <f>+'[1]Budget 2025W'!Q114</f>
        <v>0</v>
      </c>
      <c r="K124" s="102">
        <f>+'[1]Budget 2025W'!R114</f>
        <v>0</v>
      </c>
      <c r="L124" s="102">
        <f>+'[1]Budget 2025W'!S114</f>
        <v>0</v>
      </c>
      <c r="M124" s="102">
        <f>+'[1]Budget 2025W'!T114</f>
        <v>0</v>
      </c>
      <c r="N124" s="102">
        <f>+'[1]Budget 2025W'!U114</f>
        <v>0</v>
      </c>
      <c r="O124" s="102">
        <f>+'[1]Budget 2025W'!V114</f>
        <v>0</v>
      </c>
      <c r="P124" s="99"/>
      <c r="Q124" s="103">
        <f>+'[1]Budget 2025W'!AP114</f>
        <v>0</v>
      </c>
    </row>
    <row r="125" spans="2:25" ht="15.75" thickBot="1" x14ac:dyDescent="0.25">
      <c r="D125" s="101"/>
      <c r="E125" s="101"/>
      <c r="F125" s="101"/>
      <c r="G125" s="101"/>
      <c r="H125" s="102"/>
      <c r="I125" s="102"/>
      <c r="J125" s="102"/>
      <c r="K125" s="102"/>
      <c r="L125" s="102"/>
      <c r="M125" s="102"/>
      <c r="N125" s="102"/>
      <c r="O125" s="102"/>
      <c r="P125" s="99"/>
      <c r="Q125" s="103" t="s">
        <v>39</v>
      </c>
    </row>
    <row r="126" spans="2:25" ht="15.75" hidden="1" thickBot="1" x14ac:dyDescent="0.25">
      <c r="D126" s="101"/>
      <c r="E126" s="101"/>
      <c r="F126" s="101"/>
      <c r="G126" s="101"/>
      <c r="H126" s="102"/>
      <c r="I126" s="102"/>
      <c r="J126" s="102"/>
      <c r="K126" s="102"/>
      <c r="L126" s="102"/>
      <c r="M126" s="102"/>
      <c r="N126" s="102"/>
      <c r="O126" s="102"/>
      <c r="P126" s="99"/>
      <c r="Q126" s="103" t="s">
        <v>39</v>
      </c>
      <c r="T126" s="112"/>
    </row>
    <row r="127" spans="2:25" s="59" customFormat="1" ht="16.5" thickBot="1" x14ac:dyDescent="0.3">
      <c r="B127" s="7"/>
      <c r="C127" s="94" t="s">
        <v>81</v>
      </c>
      <c r="D127" s="79">
        <f>+D122-D124</f>
        <v>0</v>
      </c>
      <c r="E127" s="79">
        <f t="shared" ref="E127:O127" si="20">+E122-E124</f>
        <v>0</v>
      </c>
      <c r="F127" s="79">
        <f t="shared" si="20"/>
        <v>0</v>
      </c>
      <c r="G127" s="79">
        <f t="shared" si="20"/>
        <v>0</v>
      </c>
      <c r="H127" s="79">
        <f t="shared" si="20"/>
        <v>0</v>
      </c>
      <c r="I127" s="79">
        <f t="shared" si="20"/>
        <v>-76645.994999666</v>
      </c>
      <c r="J127" s="79">
        <f t="shared" si="20"/>
        <v>-67988.325987640157</v>
      </c>
      <c r="K127" s="79">
        <f t="shared" si="20"/>
        <v>-71616.59348591257</v>
      </c>
      <c r="L127" s="79">
        <f t="shared" si="20"/>
        <v>-63993.142400683631</v>
      </c>
      <c r="M127" s="79">
        <f t="shared" si="20"/>
        <v>-75579.204390677856</v>
      </c>
      <c r="N127" s="79">
        <f t="shared" si="20"/>
        <v>-36143.083216764819</v>
      </c>
      <c r="O127" s="79">
        <f t="shared" si="20"/>
        <v>-6610.8879976459393</v>
      </c>
      <c r="P127" s="70"/>
      <c r="Q127" s="110">
        <f>+Q122-Q124</f>
        <v>-398577.23247899098</v>
      </c>
      <c r="R127" s="10"/>
      <c r="S127" s="10"/>
      <c r="T127" s="10"/>
      <c r="U127" s="10"/>
      <c r="V127" s="10"/>
      <c r="W127" s="10"/>
      <c r="X127" s="10"/>
      <c r="Y127" s="10"/>
    </row>
    <row r="128" spans="2:25" x14ac:dyDescent="0.2">
      <c r="D128" s="101"/>
      <c r="E128" s="101"/>
      <c r="F128" s="101"/>
      <c r="G128" s="101"/>
      <c r="H128" s="102"/>
      <c r="I128" s="102"/>
      <c r="J128" s="102"/>
      <c r="K128" s="102"/>
      <c r="L128" s="102"/>
      <c r="M128" s="102"/>
      <c r="N128" s="102"/>
      <c r="O128" s="102"/>
      <c r="P128" s="99"/>
      <c r="Q128" s="103" t="s">
        <v>39</v>
      </c>
    </row>
    <row r="129" spans="1:25" s="10" customFormat="1" ht="15.75" x14ac:dyDescent="0.25">
      <c r="B129" s="7"/>
      <c r="C129" s="10" t="s">
        <v>82</v>
      </c>
      <c r="D129" s="113">
        <f>+D36</f>
        <v>0</v>
      </c>
      <c r="E129" s="113">
        <f t="shared" ref="E129:O129" si="21">+E36</f>
        <v>0</v>
      </c>
      <c r="F129" s="113">
        <f t="shared" si="21"/>
        <v>0</v>
      </c>
      <c r="G129" s="113">
        <f t="shared" si="21"/>
        <v>0</v>
      </c>
      <c r="H129" s="114">
        <f t="shared" si="21"/>
        <v>0</v>
      </c>
      <c r="I129" s="114">
        <f t="shared" si="21"/>
        <v>46672</v>
      </c>
      <c r="J129" s="114">
        <f t="shared" si="21"/>
        <v>66922</v>
      </c>
      <c r="K129" s="114">
        <f t="shared" si="21"/>
        <v>66922</v>
      </c>
      <c r="L129" s="114">
        <f t="shared" si="21"/>
        <v>63822</v>
      </c>
      <c r="M129" s="114">
        <f t="shared" si="21"/>
        <v>55972</v>
      </c>
      <c r="N129" s="114">
        <f t="shared" si="21"/>
        <v>103094</v>
      </c>
      <c r="O129" s="114">
        <f t="shared" si="21"/>
        <v>151074</v>
      </c>
      <c r="P129" s="115"/>
      <c r="Q129" s="116">
        <f>+Q36</f>
        <v>554478</v>
      </c>
    </row>
    <row r="130" spans="1:25" s="10" customFormat="1" ht="20.45" customHeight="1" x14ac:dyDescent="0.25">
      <c r="B130" s="7"/>
      <c r="C130" s="10" t="s">
        <v>83</v>
      </c>
      <c r="D130" s="113">
        <f>+D50+D78</f>
        <v>0</v>
      </c>
      <c r="E130" s="113">
        <f t="shared" ref="E130:O130" si="22">+E50+E78</f>
        <v>0</v>
      </c>
      <c r="F130" s="113">
        <f t="shared" si="22"/>
        <v>0</v>
      </c>
      <c r="G130" s="113">
        <f t="shared" si="22"/>
        <v>0</v>
      </c>
      <c r="H130" s="114">
        <f t="shared" si="22"/>
        <v>0</v>
      </c>
      <c r="I130" s="114">
        <f t="shared" si="22"/>
        <v>112479.40117720223</v>
      </c>
      <c r="J130" s="114">
        <f t="shared" si="22"/>
        <v>120071.73216517639</v>
      </c>
      <c r="K130" s="114">
        <f t="shared" si="22"/>
        <v>123699.99966344881</v>
      </c>
      <c r="L130" s="114">
        <f t="shared" si="22"/>
        <v>112976.54857821987</v>
      </c>
      <c r="M130" s="114">
        <f t="shared" si="22"/>
        <v>116712.61056821409</v>
      </c>
      <c r="N130" s="114">
        <f t="shared" si="22"/>
        <v>124398.48939430105</v>
      </c>
      <c r="O130" s="114">
        <f t="shared" si="22"/>
        <v>142846.29417518218</v>
      </c>
      <c r="P130" s="115"/>
      <c r="Q130" s="116">
        <f>+Q50+Q78</f>
        <v>853185.07572174468</v>
      </c>
    </row>
    <row r="131" spans="1:25" s="10" customFormat="1" ht="16.5" thickBot="1" x14ac:dyDescent="0.3">
      <c r="B131" s="7"/>
      <c r="C131" s="10" t="s">
        <v>84</v>
      </c>
      <c r="D131" s="117">
        <f>+D98+D114+D119+D124+D107</f>
        <v>0</v>
      </c>
      <c r="E131" s="117">
        <f t="shared" ref="E131:O131" si="23">+E98+E114+E119+E124+E107</f>
        <v>0</v>
      </c>
      <c r="F131" s="117">
        <f t="shared" si="23"/>
        <v>0</v>
      </c>
      <c r="G131" s="117">
        <f t="shared" si="23"/>
        <v>0</v>
      </c>
      <c r="H131" s="115">
        <f t="shared" si="23"/>
        <v>0</v>
      </c>
      <c r="I131" s="115">
        <f t="shared" si="23"/>
        <v>10838.593822463768</v>
      </c>
      <c r="J131" s="115">
        <f t="shared" si="23"/>
        <v>14838.593822463768</v>
      </c>
      <c r="K131" s="115">
        <f t="shared" si="23"/>
        <v>14838.593822463768</v>
      </c>
      <c r="L131" s="115">
        <f t="shared" si="23"/>
        <v>14838.593822463768</v>
      </c>
      <c r="M131" s="115">
        <f t="shared" si="23"/>
        <v>14838.593822463768</v>
      </c>
      <c r="N131" s="115">
        <f t="shared" si="23"/>
        <v>14838.593822463768</v>
      </c>
      <c r="O131" s="115">
        <f t="shared" si="23"/>
        <v>14838.593822463768</v>
      </c>
      <c r="P131" s="115"/>
      <c r="Q131" s="118">
        <f>+Q98+Q114+Q119+Q124+Q107</f>
        <v>99870.156757246383</v>
      </c>
    </row>
    <row r="132" spans="1:25" s="59" customFormat="1" ht="16.5" thickBot="1" x14ac:dyDescent="0.3">
      <c r="B132" s="7"/>
      <c r="C132" s="94" t="s">
        <v>81</v>
      </c>
      <c r="D132" s="79">
        <f>+D129-D130-D131</f>
        <v>0</v>
      </c>
      <c r="E132" s="79">
        <f t="shared" ref="E132:O132" si="24">+E129-E130-E131</f>
        <v>0</v>
      </c>
      <c r="F132" s="79">
        <f t="shared" si="24"/>
        <v>0</v>
      </c>
      <c r="G132" s="79">
        <f t="shared" si="24"/>
        <v>0</v>
      </c>
      <c r="H132" s="79">
        <f t="shared" si="24"/>
        <v>0</v>
      </c>
      <c r="I132" s="79">
        <f t="shared" si="24"/>
        <v>-76645.994999666</v>
      </c>
      <c r="J132" s="79">
        <f t="shared" si="24"/>
        <v>-67988.325987640157</v>
      </c>
      <c r="K132" s="79">
        <f t="shared" si="24"/>
        <v>-71616.59348591257</v>
      </c>
      <c r="L132" s="79">
        <f t="shared" si="24"/>
        <v>-63993.142400683631</v>
      </c>
      <c r="M132" s="79">
        <f t="shared" si="24"/>
        <v>-75579.204390677856</v>
      </c>
      <c r="N132" s="79">
        <f t="shared" si="24"/>
        <v>-36143.083216764819</v>
      </c>
      <c r="O132" s="79">
        <f t="shared" si="24"/>
        <v>-6610.8879976459466</v>
      </c>
      <c r="P132" s="70"/>
      <c r="Q132" s="110">
        <f>+Q129-Q130-Q131</f>
        <v>-398577.23247899103</v>
      </c>
      <c r="R132" s="10"/>
      <c r="S132" s="10"/>
      <c r="T132" s="10"/>
      <c r="U132" s="10"/>
      <c r="V132" s="10"/>
      <c r="W132" s="10"/>
      <c r="X132" s="10"/>
      <c r="Y132" s="10"/>
    </row>
    <row r="133" spans="1:25" ht="15.75" x14ac:dyDescent="0.25">
      <c r="D133" s="113"/>
      <c r="E133" s="113"/>
      <c r="F133" s="113"/>
      <c r="G133" s="113"/>
      <c r="H133" s="114"/>
      <c r="I133" s="114"/>
      <c r="J133" s="114"/>
      <c r="K133" s="114"/>
      <c r="L133" s="114"/>
      <c r="M133" s="114"/>
      <c r="N133" s="114"/>
      <c r="O133" s="114"/>
      <c r="P133" s="115"/>
      <c r="Q133" s="116"/>
    </row>
    <row r="134" spans="1:25" ht="15.75" x14ac:dyDescent="0.25">
      <c r="D134" s="113"/>
      <c r="E134" s="113"/>
      <c r="F134" s="113"/>
      <c r="G134" s="113"/>
      <c r="H134" s="114"/>
      <c r="I134" s="114"/>
      <c r="J134" s="114"/>
      <c r="K134" s="114"/>
      <c r="L134" s="114"/>
      <c r="M134" s="114"/>
      <c r="N134" s="114"/>
      <c r="O134" s="114"/>
      <c r="P134" s="115"/>
      <c r="Q134" s="116"/>
    </row>
    <row r="135" spans="1:25" ht="16.5" thickBot="1" x14ac:dyDescent="0.3">
      <c r="C135" s="6" t="s">
        <v>85</v>
      </c>
      <c r="D135" s="113"/>
      <c r="E135" s="113"/>
      <c r="F135" s="113"/>
      <c r="G135" s="113"/>
      <c r="H135" s="114"/>
      <c r="I135" s="114"/>
      <c r="J135" s="114"/>
      <c r="K135" s="114"/>
      <c r="L135" s="114"/>
      <c r="M135" s="114"/>
      <c r="N135" s="114"/>
      <c r="O135" s="114"/>
      <c r="P135" s="115"/>
      <c r="Q135" s="116"/>
    </row>
    <row r="136" spans="1:25" s="125" customFormat="1" ht="15.75" x14ac:dyDescent="0.25">
      <c r="A136" s="6"/>
      <c r="B136" s="7"/>
      <c r="C136" s="119" t="s">
        <v>86</v>
      </c>
      <c r="D136" s="120">
        <f>+'[1]Budget 2025W'!K150</f>
        <v>0</v>
      </c>
      <c r="E136" s="120">
        <f>+'[1]Budget 2025W'!L150</f>
        <v>0</v>
      </c>
      <c r="F136" s="120">
        <f>+'[1]Budget 2025W'!M150</f>
        <v>0</v>
      </c>
      <c r="G136" s="120">
        <f>+'[1]Budget 2025W'!N150</f>
        <v>0</v>
      </c>
      <c r="H136" s="121">
        <f>+'[1]Budget 2025W'!O150</f>
        <v>0</v>
      </c>
      <c r="I136" s="121">
        <f>+'[1]Budget 2025W'!P150</f>
        <v>34204.667550698985</v>
      </c>
      <c r="J136" s="121">
        <f>+'[1]Budget 2025W'!Q150</f>
        <v>37169.522016934017</v>
      </c>
      <c r="K136" s="121">
        <f>+'[1]Budget 2025W'!R150</f>
        <v>38010.398210858606</v>
      </c>
      <c r="L136" s="121">
        <f>+'[1]Budget 2025W'!S150</f>
        <v>37169.522016934017</v>
      </c>
      <c r="M136" s="121">
        <f>+'[1]Budget 2025W'!T150</f>
        <v>36749.083919971723</v>
      </c>
      <c r="N136" s="121">
        <f>+'[1]Budget 2025W'!U150</f>
        <v>36749.083919971723</v>
      </c>
      <c r="O136" s="122">
        <f>+'[1]Budget 2025W'!V150</f>
        <v>37589.960113896312</v>
      </c>
      <c r="P136" s="123"/>
      <c r="Q136" s="124">
        <f>+'[1]Budget 2025W'!AP150</f>
        <v>257642.23774926536</v>
      </c>
      <c r="R136" s="10"/>
      <c r="S136" s="10"/>
      <c r="T136" s="10"/>
      <c r="U136" s="10"/>
      <c r="V136" s="10"/>
      <c r="W136" s="10"/>
      <c r="X136" s="10"/>
      <c r="Y136" s="10"/>
    </row>
    <row r="137" spans="1:25" s="126" customFormat="1" ht="15.75" x14ac:dyDescent="0.25">
      <c r="B137" s="127"/>
      <c r="C137" s="40" t="s">
        <v>50</v>
      </c>
      <c r="D137" s="128">
        <f>+'[1]Budget 2025W'!K179-'[1]Budget 2025W'!K769-'[1]Budget 2025W'!K770</f>
        <v>0</v>
      </c>
      <c r="E137" s="128">
        <f>+'[1]Budget 2025W'!L179-'[1]Budget 2025W'!L769-'[1]Budget 2025W'!L770</f>
        <v>0</v>
      </c>
      <c r="F137" s="128">
        <f>+'[1]Budget 2025W'!M179-'[1]Budget 2025W'!M769-'[1]Budget 2025W'!M770</f>
        <v>0</v>
      </c>
      <c r="G137" s="128">
        <f>+'[1]Budget 2025W'!N179-'[1]Budget 2025W'!N769-'[1]Budget 2025W'!N770</f>
        <v>0</v>
      </c>
      <c r="H137" s="129">
        <f>+'[1]Budget 2025W'!O179-'[1]Budget 2025W'!O769-'[1]Budget 2025W'!O770</f>
        <v>0</v>
      </c>
      <c r="I137" s="129">
        <f>+'[1]Budget 2025W'!P179-'[1]Budget 2025W'!P769-'[1]Budget 2025W'!P770</f>
        <v>76310.733626503235</v>
      </c>
      <c r="J137" s="129">
        <f>+'[1]Budget 2025W'!Q179-'[1]Budget 2025W'!Q769-'[1]Budget 2025W'!Q770</f>
        <v>80938.21014824236</v>
      </c>
      <c r="K137" s="129">
        <f>+'[1]Budget 2025W'!R179-'[1]Budget 2025W'!R769-'[1]Budget 2025W'!R770</f>
        <v>83725.60145259017</v>
      </c>
      <c r="L137" s="129">
        <f>+'[1]Budget 2025W'!S179-'[1]Budget 2025W'!S769-'[1]Budget 2025W'!S770</f>
        <v>73843.026561285849</v>
      </c>
      <c r="M137" s="129">
        <f>+'[1]Budget 2025W'!T179-'[1]Budget 2025W'!T769-'[1]Budget 2025W'!T770</f>
        <v>77999.526648242376</v>
      </c>
      <c r="N137" s="129">
        <f>+'[1]Budget 2025W'!U179-'[1]Budget 2025W'!U769-'[1]Budget 2025W'!U770</f>
        <v>83771.405474329338</v>
      </c>
      <c r="O137" s="130">
        <f>+'[1]Budget 2025W'!V179-'[1]Budget 2025W'!V769-'[1]Budget 2025W'!V770</f>
        <v>101378.33406128586</v>
      </c>
      <c r="P137" s="131"/>
      <c r="Q137" s="132">
        <f>+'[1]Budget 2025W'!AP179-SUM('[1]Budget 2025W'!K769:'[1]Budget 2025W'!V769)-SUM('[1]Budget 2025W'!K770:'[1]Budget 2025W'!V770)</f>
        <v>577966.83797247917</v>
      </c>
    </row>
    <row r="138" spans="1:25" x14ac:dyDescent="0.2">
      <c r="C138" s="40" t="s">
        <v>87</v>
      </c>
      <c r="D138" s="133">
        <f>+'[1]Budget 2025W'!K204</f>
        <v>0</v>
      </c>
      <c r="E138" s="133">
        <f>+'[1]Budget 2025W'!L204</f>
        <v>0</v>
      </c>
      <c r="F138" s="133">
        <f>+'[1]Budget 2025W'!M204</f>
        <v>0</v>
      </c>
      <c r="G138" s="133">
        <f>+'[1]Budget 2025W'!N204</f>
        <v>0</v>
      </c>
      <c r="H138" s="134">
        <f>+'[1]Budget 2025W'!O204</f>
        <v>0</v>
      </c>
      <c r="I138" s="134">
        <f>+'[1]Budget 2025W'!P204</f>
        <v>1964</v>
      </c>
      <c r="J138" s="134">
        <f>+'[1]Budget 2025W'!Q204</f>
        <v>1964</v>
      </c>
      <c r="K138" s="134">
        <f>+'[1]Budget 2025W'!R204</f>
        <v>1964</v>
      </c>
      <c r="L138" s="134">
        <f>+'[1]Budget 2025W'!S204</f>
        <v>1964</v>
      </c>
      <c r="M138" s="134">
        <f>+'[1]Budget 2025W'!T204</f>
        <v>1964</v>
      </c>
      <c r="N138" s="134">
        <f>+'[1]Budget 2025W'!U204</f>
        <v>3878</v>
      </c>
      <c r="O138" s="135">
        <f>+'[1]Budget 2025W'!V204</f>
        <v>3878</v>
      </c>
      <c r="P138" s="131"/>
      <c r="Q138" s="136">
        <f>+'[1]Budget 2025W'!AP204</f>
        <v>17576</v>
      </c>
    </row>
    <row r="139" spans="1:25" ht="15.75" thickBot="1" x14ac:dyDescent="0.25">
      <c r="C139" s="40" t="s">
        <v>88</v>
      </c>
      <c r="D139" s="133">
        <f>+D131</f>
        <v>0</v>
      </c>
      <c r="E139" s="133">
        <f t="shared" ref="E139:O139" si="25">+E131</f>
        <v>0</v>
      </c>
      <c r="F139" s="133">
        <f t="shared" si="25"/>
        <v>0</v>
      </c>
      <c r="G139" s="133">
        <f t="shared" si="25"/>
        <v>0</v>
      </c>
      <c r="H139" s="134">
        <f t="shared" si="25"/>
        <v>0</v>
      </c>
      <c r="I139" s="134">
        <f t="shared" si="25"/>
        <v>10838.593822463768</v>
      </c>
      <c r="J139" s="134">
        <f t="shared" si="25"/>
        <v>14838.593822463768</v>
      </c>
      <c r="K139" s="134">
        <f t="shared" si="25"/>
        <v>14838.593822463768</v>
      </c>
      <c r="L139" s="134">
        <f t="shared" si="25"/>
        <v>14838.593822463768</v>
      </c>
      <c r="M139" s="134">
        <f t="shared" si="25"/>
        <v>14838.593822463768</v>
      </c>
      <c r="N139" s="134">
        <f t="shared" si="25"/>
        <v>14838.593822463768</v>
      </c>
      <c r="O139" s="135">
        <f t="shared" si="25"/>
        <v>14838.593822463768</v>
      </c>
      <c r="P139" s="131"/>
      <c r="Q139" s="136">
        <f>+Q131</f>
        <v>99870.156757246383</v>
      </c>
    </row>
    <row r="140" spans="1:25" s="59" customFormat="1" ht="16.5" thickBot="1" x14ac:dyDescent="0.3">
      <c r="B140" s="7"/>
      <c r="C140" s="94" t="s">
        <v>81</v>
      </c>
      <c r="D140" s="79">
        <f>+D129-D136-D137-D138-D139</f>
        <v>0</v>
      </c>
      <c r="E140" s="79">
        <f t="shared" ref="E140:O140" si="26">+E129-E136-E137-E138-E139</f>
        <v>0</v>
      </c>
      <c r="F140" s="79">
        <f t="shared" si="26"/>
        <v>0</v>
      </c>
      <c r="G140" s="79">
        <f t="shared" si="26"/>
        <v>0</v>
      </c>
      <c r="H140" s="79">
        <f t="shared" si="26"/>
        <v>0</v>
      </c>
      <c r="I140" s="79">
        <f t="shared" si="26"/>
        <v>-76645.994999665985</v>
      </c>
      <c r="J140" s="79">
        <f t="shared" si="26"/>
        <v>-67988.325987640143</v>
      </c>
      <c r="K140" s="79">
        <f t="shared" si="26"/>
        <v>-71616.593485912541</v>
      </c>
      <c r="L140" s="79">
        <f t="shared" si="26"/>
        <v>-63993.142400683631</v>
      </c>
      <c r="M140" s="79">
        <f t="shared" si="26"/>
        <v>-75579.204390677871</v>
      </c>
      <c r="N140" s="79">
        <f t="shared" si="26"/>
        <v>-36143.083216764819</v>
      </c>
      <c r="O140" s="79">
        <f t="shared" si="26"/>
        <v>-6610.8879976459466</v>
      </c>
      <c r="P140" s="70"/>
      <c r="Q140" s="110">
        <f>+Q129-Q136-Q137-Q138-Q139</f>
        <v>-398577.23247899092</v>
      </c>
      <c r="R140" s="10"/>
      <c r="S140" s="10"/>
      <c r="T140" s="10"/>
      <c r="U140" s="10"/>
      <c r="V140" s="10"/>
      <c r="W140" s="10"/>
      <c r="X140" s="10"/>
      <c r="Y140" s="10"/>
    </row>
    <row r="141" spans="1:25" hidden="1" x14ac:dyDescent="0.2">
      <c r="C141" s="6" t="s">
        <v>89</v>
      </c>
      <c r="D141" s="137">
        <f>+D132-D140</f>
        <v>0</v>
      </c>
      <c r="E141" s="137">
        <f>+E132-E140</f>
        <v>0</v>
      </c>
      <c r="F141" s="138">
        <f t="shared" ref="F141:O141" si="27">+F132-F140</f>
        <v>0</v>
      </c>
      <c r="G141" s="138">
        <f t="shared" si="27"/>
        <v>0</v>
      </c>
      <c r="H141" s="123">
        <f t="shared" si="27"/>
        <v>0</v>
      </c>
      <c r="I141" s="123">
        <f t="shared" si="27"/>
        <v>0</v>
      </c>
      <c r="J141" s="123">
        <f t="shared" si="27"/>
        <v>0</v>
      </c>
      <c r="K141" s="123">
        <f t="shared" si="27"/>
        <v>0</v>
      </c>
      <c r="L141" s="123">
        <f t="shared" si="27"/>
        <v>0</v>
      </c>
      <c r="M141" s="123">
        <f t="shared" si="27"/>
        <v>0</v>
      </c>
      <c r="N141" s="123">
        <f t="shared" si="27"/>
        <v>0</v>
      </c>
      <c r="O141" s="123">
        <f t="shared" si="27"/>
        <v>0</v>
      </c>
      <c r="P141" s="131"/>
      <c r="Q141" s="139">
        <f>+Q132-Q140</f>
        <v>0</v>
      </c>
    </row>
    <row r="142" spans="1:25" hidden="1" x14ac:dyDescent="0.2">
      <c r="D142" s="137"/>
      <c r="E142" s="137"/>
      <c r="F142" s="138"/>
      <c r="G142" s="138"/>
      <c r="H142" s="123"/>
      <c r="I142" s="123"/>
      <c r="J142" s="123"/>
      <c r="K142" s="123"/>
      <c r="L142" s="123"/>
      <c r="M142" s="123"/>
      <c r="N142" s="123"/>
      <c r="O142" s="123"/>
      <c r="P142" s="131"/>
      <c r="Q142" s="139"/>
    </row>
    <row r="143" spans="1:25" hidden="1" x14ac:dyDescent="0.2">
      <c r="D143" s="137"/>
      <c r="E143" s="137"/>
      <c r="F143" s="138"/>
      <c r="G143" s="138"/>
      <c r="H143" s="123"/>
      <c r="I143" s="123"/>
      <c r="J143" s="123"/>
      <c r="K143" s="123"/>
      <c r="L143" s="123"/>
      <c r="M143" s="123"/>
      <c r="N143" s="123"/>
      <c r="O143" s="123"/>
      <c r="P143" s="131"/>
      <c r="Q143" s="139"/>
    </row>
    <row r="144" spans="1:25" hidden="1" x14ac:dyDescent="0.2">
      <c r="C144" s="6" t="s">
        <v>90</v>
      </c>
      <c r="D144" s="137">
        <f t="shared" ref="D144:O144" si="28">+D85+D89+D93</f>
        <v>0</v>
      </c>
      <c r="E144" s="137">
        <f t="shared" si="28"/>
        <v>0</v>
      </c>
      <c r="F144" s="138">
        <f t="shared" si="28"/>
        <v>0</v>
      </c>
      <c r="G144" s="138">
        <f t="shared" si="28"/>
        <v>0</v>
      </c>
      <c r="H144" s="123">
        <f t="shared" si="28"/>
        <v>0</v>
      </c>
      <c r="I144" s="123">
        <f t="shared" si="28"/>
        <v>5838.5938224637684</v>
      </c>
      <c r="J144" s="123">
        <f t="shared" si="28"/>
        <v>9838.5938224637684</v>
      </c>
      <c r="K144" s="123">
        <f t="shared" si="28"/>
        <v>9838.5938224637684</v>
      </c>
      <c r="L144" s="123">
        <f t="shared" si="28"/>
        <v>9838.5938224637684</v>
      </c>
      <c r="M144" s="123">
        <f t="shared" si="28"/>
        <v>9838.5938224637684</v>
      </c>
      <c r="N144" s="123">
        <f t="shared" si="28"/>
        <v>9838.5938224637684</v>
      </c>
      <c r="O144" s="123">
        <f t="shared" si="28"/>
        <v>9838.5938224637684</v>
      </c>
      <c r="P144" s="131"/>
      <c r="Q144" s="139">
        <f>SUM(D144:O144)</f>
        <v>64870.156757246368</v>
      </c>
    </row>
    <row r="145" spans="2:17" hidden="1" x14ac:dyDescent="0.2">
      <c r="C145" s="6" t="s">
        <v>91</v>
      </c>
      <c r="D145" s="137">
        <f t="shared" ref="D145:O145" si="29">+D107+D114+D119+D124</f>
        <v>0</v>
      </c>
      <c r="E145" s="137">
        <f t="shared" si="29"/>
        <v>0</v>
      </c>
      <c r="F145" s="138">
        <f t="shared" si="29"/>
        <v>0</v>
      </c>
      <c r="G145" s="138">
        <f t="shared" si="29"/>
        <v>0</v>
      </c>
      <c r="H145" s="123">
        <f t="shared" si="29"/>
        <v>0</v>
      </c>
      <c r="I145" s="123">
        <f t="shared" si="29"/>
        <v>5000</v>
      </c>
      <c r="J145" s="123">
        <f t="shared" si="29"/>
        <v>5000</v>
      </c>
      <c r="K145" s="123">
        <f t="shared" si="29"/>
        <v>5000</v>
      </c>
      <c r="L145" s="123">
        <f t="shared" si="29"/>
        <v>5000</v>
      </c>
      <c r="M145" s="123">
        <f t="shared" si="29"/>
        <v>5000</v>
      </c>
      <c r="N145" s="123">
        <f t="shared" si="29"/>
        <v>5000</v>
      </c>
      <c r="O145" s="123">
        <f t="shared" si="29"/>
        <v>5000</v>
      </c>
      <c r="P145" s="131"/>
      <c r="Q145" s="139">
        <f>SUM(D145:O145)</f>
        <v>35000</v>
      </c>
    </row>
    <row r="146" spans="2:17" hidden="1" x14ac:dyDescent="0.2">
      <c r="D146" s="137"/>
      <c r="E146" s="137"/>
      <c r="F146" s="138"/>
      <c r="G146" s="138"/>
      <c r="H146" s="123"/>
      <c r="I146" s="123"/>
      <c r="J146" s="123"/>
      <c r="K146" s="123"/>
      <c r="L146" s="123"/>
      <c r="M146" s="123"/>
      <c r="N146" s="123"/>
      <c r="O146" s="123"/>
      <c r="P146" s="131"/>
      <c r="Q146" s="139"/>
    </row>
    <row r="147" spans="2:17" hidden="1" x14ac:dyDescent="0.2">
      <c r="D147" s="137"/>
      <c r="E147" s="137"/>
      <c r="F147" s="138"/>
      <c r="G147" s="138"/>
      <c r="H147" s="123"/>
      <c r="I147" s="123"/>
      <c r="J147" s="123"/>
      <c r="K147" s="123"/>
      <c r="L147" s="123"/>
      <c r="M147" s="123"/>
      <c r="N147" s="123"/>
      <c r="O147" s="123"/>
      <c r="P147" s="131"/>
      <c r="Q147" s="139"/>
    </row>
    <row r="148" spans="2:17" x14ac:dyDescent="0.2">
      <c r="D148" s="137"/>
      <c r="E148" s="137"/>
      <c r="F148" s="138"/>
      <c r="G148" s="138"/>
      <c r="H148" s="123"/>
      <c r="I148" s="123"/>
      <c r="J148" s="123"/>
      <c r="K148" s="123"/>
      <c r="L148" s="123"/>
      <c r="M148" s="123"/>
      <c r="N148" s="123"/>
      <c r="O148" s="123"/>
      <c r="P148" s="131"/>
      <c r="Q148" s="139"/>
    </row>
    <row r="149" spans="2:17" hidden="1" x14ac:dyDescent="0.2">
      <c r="D149" s="137"/>
      <c r="E149" s="137"/>
      <c r="F149" s="138"/>
      <c r="G149" s="138"/>
      <c r="H149" s="123"/>
      <c r="I149" s="123"/>
      <c r="J149" s="123"/>
      <c r="K149" s="123"/>
      <c r="L149" s="123"/>
      <c r="M149" s="123"/>
      <c r="N149" s="123"/>
      <c r="O149" s="123"/>
      <c r="P149" s="131"/>
      <c r="Q149" s="139"/>
    </row>
    <row r="150" spans="2:17" hidden="1" x14ac:dyDescent="0.2">
      <c r="D150" s="137"/>
      <c r="E150" s="137"/>
      <c r="F150" s="138"/>
      <c r="G150" s="138"/>
      <c r="H150" s="123"/>
      <c r="I150" s="123"/>
      <c r="J150" s="123"/>
      <c r="K150" s="123"/>
      <c r="L150" s="123"/>
      <c r="M150" s="123"/>
      <c r="N150" s="123"/>
      <c r="O150" s="123"/>
      <c r="P150" s="131"/>
      <c r="Q150" s="139"/>
    </row>
    <row r="151" spans="2:17" hidden="1" x14ac:dyDescent="0.2">
      <c r="D151" s="137"/>
      <c r="E151" s="137"/>
      <c r="F151" s="138"/>
      <c r="G151" s="138"/>
      <c r="H151" s="123"/>
      <c r="I151" s="123"/>
      <c r="J151" s="123"/>
      <c r="K151" s="123"/>
      <c r="L151" s="123"/>
      <c r="M151" s="123"/>
      <c r="N151" s="123"/>
      <c r="O151" s="123"/>
      <c r="P151" s="131"/>
      <c r="Q151" s="139"/>
    </row>
    <row r="152" spans="2:17" hidden="1" x14ac:dyDescent="0.2">
      <c r="D152" s="137"/>
      <c r="E152" s="137"/>
      <c r="F152" s="138"/>
      <c r="G152" s="138"/>
      <c r="H152" s="123"/>
      <c r="I152" s="123"/>
      <c r="J152" s="123"/>
      <c r="K152" s="123"/>
      <c r="L152" s="123"/>
      <c r="M152" s="123"/>
      <c r="N152" s="123"/>
      <c r="O152" s="123"/>
      <c r="P152" s="131"/>
      <c r="Q152" s="139"/>
    </row>
    <row r="153" spans="2:17" ht="15.75" thickBot="1" x14ac:dyDescent="0.25">
      <c r="D153" s="137"/>
      <c r="E153" s="137"/>
      <c r="F153" s="133"/>
      <c r="G153" s="133"/>
      <c r="H153" s="134"/>
      <c r="I153" s="134"/>
      <c r="J153" s="134"/>
      <c r="K153" s="134"/>
      <c r="L153" s="134"/>
      <c r="M153" s="134"/>
      <c r="N153" s="134"/>
      <c r="O153" s="134"/>
      <c r="P153" s="129"/>
      <c r="Q153" s="140"/>
    </row>
    <row r="154" spans="2:17" ht="16.5" thickBot="1" x14ac:dyDescent="0.3">
      <c r="B154" s="141"/>
      <c r="C154" s="142" t="s">
        <v>92</v>
      </c>
      <c r="D154" s="143"/>
      <c r="E154" s="144"/>
      <c r="F154" s="145"/>
      <c r="G154" s="145"/>
      <c r="H154" s="146"/>
      <c r="I154" s="146"/>
      <c r="J154" s="146"/>
      <c r="K154" s="146"/>
      <c r="L154" s="146"/>
      <c r="M154" s="146"/>
      <c r="N154" s="146"/>
      <c r="O154" s="146"/>
      <c r="P154" s="129"/>
      <c r="Q154" s="145"/>
    </row>
    <row r="155" spans="2:17" ht="3.95" customHeight="1" thickBot="1" x14ac:dyDescent="0.25">
      <c r="C155" s="147"/>
      <c r="D155" s="148"/>
      <c r="E155" s="149"/>
      <c r="F155" s="150"/>
      <c r="G155" s="150"/>
      <c r="H155" s="151"/>
      <c r="I155" s="151"/>
      <c r="J155" s="151"/>
      <c r="K155" s="151"/>
      <c r="L155" s="151"/>
      <c r="M155" s="151"/>
      <c r="N155" s="151"/>
      <c r="O155" s="151"/>
      <c r="P155" s="131"/>
      <c r="Q155" s="152"/>
    </row>
    <row r="156" spans="2:17" x14ac:dyDescent="0.2">
      <c r="C156" s="153"/>
      <c r="D156" s="100" t="s">
        <v>39</v>
      </c>
      <c r="E156" s="75"/>
      <c r="F156" s="154"/>
      <c r="G156" s="154"/>
      <c r="H156" s="155"/>
      <c r="I156" s="155"/>
      <c r="J156" s="155"/>
      <c r="K156" s="155"/>
      <c r="L156" s="155"/>
      <c r="M156" s="155"/>
      <c r="N156" s="155"/>
      <c r="O156" s="155"/>
      <c r="P156" s="131"/>
      <c r="Q156" s="156"/>
    </row>
    <row r="157" spans="2:17" ht="15.75" thickBot="1" x14ac:dyDescent="0.25">
      <c r="C157" s="153"/>
      <c r="D157" s="100" t="s">
        <v>39</v>
      </c>
      <c r="E157" s="75"/>
      <c r="F157" s="154"/>
      <c r="G157" s="154"/>
      <c r="H157" s="155"/>
      <c r="I157" s="155"/>
      <c r="J157" s="155"/>
      <c r="K157" s="155"/>
      <c r="L157" s="155"/>
      <c r="M157" s="155"/>
      <c r="N157" s="155"/>
      <c r="O157" s="155"/>
      <c r="P157" s="131"/>
      <c r="Q157" s="156"/>
    </row>
    <row r="158" spans="2:17" ht="15.75" x14ac:dyDescent="0.25">
      <c r="C158" s="157" t="s">
        <v>93</v>
      </c>
      <c r="D158" s="158" t="s">
        <v>39</v>
      </c>
      <c r="E158" s="158"/>
      <c r="F158" s="159"/>
      <c r="G158" s="159"/>
      <c r="H158" s="160"/>
      <c r="I158" s="160"/>
      <c r="J158" s="160"/>
      <c r="K158" s="160"/>
      <c r="L158" s="160"/>
      <c r="M158" s="160"/>
      <c r="N158" s="160"/>
      <c r="O158" s="160"/>
      <c r="P158" s="131"/>
      <c r="Q158" s="161"/>
    </row>
    <row r="159" spans="2:17" x14ac:dyDescent="0.2">
      <c r="C159" s="153" t="s">
        <v>94</v>
      </c>
      <c r="D159" s="100">
        <f>+'[1]Budget 2025W'!K216</f>
        <v>0</v>
      </c>
      <c r="E159" s="100">
        <f>+'[1]Budget 2025W'!L216</f>
        <v>0</v>
      </c>
      <c r="F159" s="100">
        <f>+'[1]Budget 2025W'!M216</f>
        <v>0</v>
      </c>
      <c r="G159" s="100">
        <f>+'[1]Budget 2025W'!N216</f>
        <v>0</v>
      </c>
      <c r="H159" s="100">
        <f>+'[1]Budget 2025W'!O216</f>
        <v>0</v>
      </c>
      <c r="I159" s="100">
        <f>+'[1]Budget 2025W'!P216</f>
        <v>0</v>
      </c>
      <c r="J159" s="100">
        <f>+'[1]Budget 2025W'!Q216</f>
        <v>0</v>
      </c>
      <c r="K159" s="100">
        <f>+'[1]Budget 2025W'!R216</f>
        <v>0</v>
      </c>
      <c r="L159" s="100">
        <f>+'[1]Budget 2025W'!S216</f>
        <v>0</v>
      </c>
      <c r="M159" s="100">
        <f>+'[1]Budget 2025W'!T216</f>
        <v>0</v>
      </c>
      <c r="N159" s="100">
        <f>+'[1]Budget 2025W'!U216</f>
        <v>0</v>
      </c>
      <c r="O159" s="100">
        <f>+'[1]Budget 2025W'!V216</f>
        <v>0</v>
      </c>
      <c r="P159" s="131"/>
      <c r="Q159" s="156">
        <f>SUM(D159:O159)</f>
        <v>0</v>
      </c>
    </row>
    <row r="160" spans="2:17" x14ac:dyDescent="0.2">
      <c r="C160" s="153" t="s">
        <v>95</v>
      </c>
      <c r="D160" s="100">
        <f>+'[1]Budget 2025W'!K217</f>
        <v>0</v>
      </c>
      <c r="E160" s="100">
        <f>+'[1]Budget 2025W'!L217</f>
        <v>0</v>
      </c>
      <c r="F160" s="100">
        <f>+'[1]Budget 2025W'!M217</f>
        <v>0</v>
      </c>
      <c r="G160" s="100">
        <f>+'[1]Budget 2025W'!N217</f>
        <v>0</v>
      </c>
      <c r="H160" s="100">
        <f>+'[1]Budget 2025W'!O217</f>
        <v>0</v>
      </c>
      <c r="I160" s="100">
        <f>+'[1]Budget 2025W'!P217</f>
        <v>0</v>
      </c>
      <c r="J160" s="100">
        <f>+'[1]Budget 2025W'!Q217</f>
        <v>0</v>
      </c>
      <c r="K160" s="100">
        <f>+'[1]Budget 2025W'!R217</f>
        <v>0</v>
      </c>
      <c r="L160" s="100">
        <f>+'[1]Budget 2025W'!S217</f>
        <v>0</v>
      </c>
      <c r="M160" s="100">
        <f>+'[1]Budget 2025W'!T217</f>
        <v>0</v>
      </c>
      <c r="N160" s="100">
        <f>+'[1]Budget 2025W'!U217</f>
        <v>0</v>
      </c>
      <c r="O160" s="100">
        <f>+'[1]Budget 2025W'!V217</f>
        <v>0</v>
      </c>
      <c r="P160" s="131"/>
      <c r="Q160" s="156">
        <f>SUM(D160:O160)</f>
        <v>0</v>
      </c>
    </row>
    <row r="161" spans="3:17" x14ac:dyDescent="0.2">
      <c r="C161" s="153" t="s">
        <v>27</v>
      </c>
      <c r="D161" s="100">
        <f>+'[1]Budget 2025W'!K218</f>
        <v>0</v>
      </c>
      <c r="E161" s="100">
        <f>+'[1]Budget 2025W'!L218</f>
        <v>0</v>
      </c>
      <c r="F161" s="100">
        <f>+'[1]Budget 2025W'!M218</f>
        <v>0</v>
      </c>
      <c r="G161" s="100">
        <f>+'[1]Budget 2025W'!N218</f>
        <v>0</v>
      </c>
      <c r="H161" s="100">
        <f>+'[1]Budget 2025W'!O218</f>
        <v>0</v>
      </c>
      <c r="I161" s="100">
        <f>+'[1]Budget 2025W'!P218</f>
        <v>27000</v>
      </c>
      <c r="J161" s="100">
        <f>+'[1]Budget 2025W'!Q218</f>
        <v>46500</v>
      </c>
      <c r="K161" s="100">
        <f>+'[1]Budget 2025W'!R218</f>
        <v>46500</v>
      </c>
      <c r="L161" s="100">
        <f>+'[1]Budget 2025W'!S218</f>
        <v>36000</v>
      </c>
      <c r="M161" s="100">
        <f>+'[1]Budget 2025W'!T218</f>
        <v>27750</v>
      </c>
      <c r="N161" s="100">
        <f>+'[1]Budget 2025W'!U218</f>
        <v>72000</v>
      </c>
      <c r="O161" s="100">
        <f>+'[1]Budget 2025W'!V218</f>
        <v>119039.99999999999</v>
      </c>
      <c r="P161" s="131"/>
      <c r="Q161" s="156">
        <f>SUM(D161:O161)</f>
        <v>374790</v>
      </c>
    </row>
    <row r="162" spans="3:17" x14ac:dyDescent="0.2">
      <c r="C162" s="153"/>
      <c r="D162" s="100" t="s">
        <v>39</v>
      </c>
      <c r="E162" s="75"/>
      <c r="F162" s="154"/>
      <c r="G162" s="154"/>
      <c r="H162" s="155"/>
      <c r="I162" s="155"/>
      <c r="J162" s="155"/>
      <c r="K162" s="155"/>
      <c r="L162" s="155"/>
      <c r="M162" s="155"/>
      <c r="N162" s="155"/>
      <c r="O162" s="155"/>
      <c r="P162" s="131"/>
      <c r="Q162" s="156"/>
    </row>
    <row r="163" spans="3:17" x14ac:dyDescent="0.2">
      <c r="C163" s="153"/>
      <c r="D163" s="100" t="s">
        <v>39</v>
      </c>
      <c r="E163" s="75"/>
      <c r="F163" s="154"/>
      <c r="G163" s="154"/>
      <c r="H163" s="155"/>
      <c r="I163" s="155"/>
      <c r="J163" s="155"/>
      <c r="K163" s="155"/>
      <c r="L163" s="155"/>
      <c r="M163" s="155"/>
      <c r="N163" s="155"/>
      <c r="O163" s="155"/>
      <c r="P163" s="131"/>
      <c r="Q163" s="156"/>
    </row>
    <row r="164" spans="3:17" ht="15.75" thickBot="1" x14ac:dyDescent="0.25">
      <c r="C164" s="153"/>
      <c r="D164" s="100" t="s">
        <v>39</v>
      </c>
      <c r="E164" s="75"/>
      <c r="F164" s="154"/>
      <c r="G164" s="154"/>
      <c r="H164" s="155"/>
      <c r="I164" s="155"/>
      <c r="J164" s="155"/>
      <c r="K164" s="155"/>
      <c r="L164" s="155"/>
      <c r="M164" s="155"/>
      <c r="N164" s="155"/>
      <c r="O164" s="155"/>
      <c r="P164" s="131"/>
      <c r="Q164" s="156"/>
    </row>
    <row r="165" spans="3:17" ht="17.25" thickTop="1" thickBot="1" x14ac:dyDescent="0.3">
      <c r="C165" s="162" t="s">
        <v>96</v>
      </c>
      <c r="D165" s="163">
        <f>+'[1]Budget 2025W'!K222</f>
        <v>0</v>
      </c>
      <c r="E165" s="163">
        <f>+'[1]Budget 2025W'!L222</f>
        <v>0</v>
      </c>
      <c r="F165" s="163">
        <f>+'[1]Budget 2025W'!M222</f>
        <v>0</v>
      </c>
      <c r="G165" s="163">
        <f>+'[1]Budget 2025W'!N222</f>
        <v>0</v>
      </c>
      <c r="H165" s="164">
        <f>+'[1]Budget 2025W'!O222</f>
        <v>0</v>
      </c>
      <c r="I165" s="164">
        <f>+'[1]Budget 2025W'!P222</f>
        <v>27000</v>
      </c>
      <c r="J165" s="164">
        <f>+'[1]Budget 2025W'!Q222</f>
        <v>46500</v>
      </c>
      <c r="K165" s="164">
        <f>+'[1]Budget 2025W'!R222</f>
        <v>46500</v>
      </c>
      <c r="L165" s="164">
        <f>+'[1]Budget 2025W'!S222</f>
        <v>36000</v>
      </c>
      <c r="M165" s="164">
        <f>+'[1]Budget 2025W'!T222</f>
        <v>27750</v>
      </c>
      <c r="N165" s="164">
        <f>+'[1]Budget 2025W'!U222</f>
        <v>72000</v>
      </c>
      <c r="O165" s="164">
        <f>+'[1]Budget 2025W'!V222</f>
        <v>119039.99999999999</v>
      </c>
      <c r="P165" s="131"/>
      <c r="Q165" s="165">
        <f>SUM(D165:O165)</f>
        <v>374790</v>
      </c>
    </row>
    <row r="166" spans="3:17" ht="15.75" thickTop="1" x14ac:dyDescent="0.2">
      <c r="C166" s="153"/>
      <c r="D166" s="100" t="s">
        <v>39</v>
      </c>
      <c r="E166" s="75"/>
      <c r="F166" s="154"/>
      <c r="G166" s="154"/>
      <c r="H166" s="155"/>
      <c r="I166" s="155"/>
      <c r="J166" s="155"/>
      <c r="K166" s="155"/>
      <c r="L166" s="155"/>
      <c r="M166" s="155"/>
      <c r="N166" s="155"/>
      <c r="O166" s="155"/>
      <c r="P166" s="131"/>
      <c r="Q166" s="156"/>
    </row>
    <row r="167" spans="3:17" ht="15.75" thickBot="1" x14ac:dyDescent="0.25">
      <c r="C167" s="153"/>
      <c r="D167" s="100" t="s">
        <v>39</v>
      </c>
      <c r="E167" s="75"/>
      <c r="F167" s="154"/>
      <c r="G167" s="154"/>
      <c r="H167" s="155"/>
      <c r="I167" s="155"/>
      <c r="J167" s="155"/>
      <c r="K167" s="155"/>
      <c r="L167" s="155"/>
      <c r="M167" s="155"/>
      <c r="N167" s="155"/>
      <c r="O167" s="155"/>
      <c r="P167" s="131"/>
      <c r="Q167" s="156"/>
    </row>
    <row r="168" spans="3:17" ht="15.75" x14ac:dyDescent="0.25">
      <c r="C168" s="157" t="s">
        <v>97</v>
      </c>
      <c r="D168" s="158" t="s">
        <v>39</v>
      </c>
      <c r="E168" s="158"/>
      <c r="F168" s="159"/>
      <c r="G168" s="159"/>
      <c r="H168" s="160"/>
      <c r="I168" s="160"/>
      <c r="J168" s="160"/>
      <c r="K168" s="160"/>
      <c r="L168" s="160"/>
      <c r="M168" s="160"/>
      <c r="N168" s="160"/>
      <c r="O168" s="160"/>
      <c r="P168" s="131"/>
      <c r="Q168" s="161"/>
    </row>
    <row r="169" spans="3:17" x14ac:dyDescent="0.2">
      <c r="C169" s="153" t="s">
        <v>98</v>
      </c>
      <c r="D169" s="100">
        <f>+'[1]Budget 2025W'!K226</f>
        <v>0</v>
      </c>
      <c r="E169" s="100">
        <f>+'[1]Budget 2025W'!L226</f>
        <v>0</v>
      </c>
      <c r="F169" s="100">
        <f>+'[1]Budget 2025W'!M226</f>
        <v>0</v>
      </c>
      <c r="G169" s="100">
        <f>+'[1]Budget 2025W'!N226</f>
        <v>0</v>
      </c>
      <c r="H169" s="100">
        <f>+'[1]Budget 2025W'!O226</f>
        <v>0</v>
      </c>
      <c r="I169" s="100">
        <f>+'[1]Budget 2025W'!P226</f>
        <v>11508.695652173912</v>
      </c>
      <c r="J169" s="100">
        <f>+'[1]Budget 2025W'!Q226</f>
        <v>11508.695652173912</v>
      </c>
      <c r="K169" s="100">
        <f>+'[1]Budget 2025W'!R226</f>
        <v>11508.695652173912</v>
      </c>
      <c r="L169" s="100">
        <f>+'[1]Budget 2025W'!S226</f>
        <v>11508.695652173912</v>
      </c>
      <c r="M169" s="100">
        <f>+'[1]Budget 2025W'!T226</f>
        <v>11508.695652173912</v>
      </c>
      <c r="N169" s="100">
        <f>+'[1]Budget 2025W'!U226</f>
        <v>11508.695652173912</v>
      </c>
      <c r="O169" s="100">
        <f>+'[1]Budget 2025W'!V226</f>
        <v>11508.695652173912</v>
      </c>
      <c r="P169" s="131"/>
      <c r="Q169" s="156">
        <f t="shared" ref="Q169:Q184" si="30">SUM(D169:O169)</f>
        <v>80560.869565217377</v>
      </c>
    </row>
    <row r="170" spans="3:17" x14ac:dyDescent="0.2">
      <c r="C170" s="153" t="s">
        <v>99</v>
      </c>
      <c r="D170" s="100">
        <f>+'[1]Budget 2025W'!K227</f>
        <v>0</v>
      </c>
      <c r="E170" s="100">
        <f>+'[1]Budget 2025W'!L227</f>
        <v>0</v>
      </c>
      <c r="F170" s="100">
        <f>+'[1]Budget 2025W'!M227</f>
        <v>0</v>
      </c>
      <c r="G170" s="100">
        <f>+'[1]Budget 2025W'!N227</f>
        <v>0</v>
      </c>
      <c r="H170" s="100">
        <f>+'[1]Budget 2025W'!O227</f>
        <v>0</v>
      </c>
      <c r="I170" s="100">
        <f>+'[1]Budget 2025W'!P227</f>
        <v>0</v>
      </c>
      <c r="J170" s="100">
        <f>+'[1]Budget 2025W'!Q227</f>
        <v>0</v>
      </c>
      <c r="K170" s="100">
        <f>+'[1]Budget 2025W'!R227</f>
        <v>0</v>
      </c>
      <c r="L170" s="100">
        <f>+'[1]Budget 2025W'!S227</f>
        <v>0</v>
      </c>
      <c r="M170" s="100">
        <f>+'[1]Budget 2025W'!T227</f>
        <v>0</v>
      </c>
      <c r="N170" s="100">
        <f>+'[1]Budget 2025W'!U227</f>
        <v>0</v>
      </c>
      <c r="O170" s="100">
        <f>+'[1]Budget 2025W'!V227</f>
        <v>0</v>
      </c>
      <c r="P170" s="131"/>
      <c r="Q170" s="156">
        <f t="shared" si="30"/>
        <v>0</v>
      </c>
    </row>
    <row r="171" spans="3:17" x14ac:dyDescent="0.2">
      <c r="C171" s="153" t="s">
        <v>100</v>
      </c>
      <c r="D171" s="100">
        <f>+'[1]Budget 2025W'!K228</f>
        <v>0</v>
      </c>
      <c r="E171" s="100">
        <f>+'[1]Budget 2025W'!L228</f>
        <v>0</v>
      </c>
      <c r="F171" s="100">
        <f>+'[1]Budget 2025W'!M228</f>
        <v>0</v>
      </c>
      <c r="G171" s="100">
        <f>+'[1]Budget 2025W'!N228</f>
        <v>0</v>
      </c>
      <c r="H171" s="100">
        <f>+'[1]Budget 2025W'!O228</f>
        <v>0</v>
      </c>
      <c r="I171" s="100">
        <f>+'[1]Budget 2025W'!P228</f>
        <v>0</v>
      </c>
      <c r="J171" s="100">
        <f>+'[1]Budget 2025W'!Q228</f>
        <v>0</v>
      </c>
      <c r="K171" s="100">
        <f>+'[1]Budget 2025W'!R228</f>
        <v>0</v>
      </c>
      <c r="L171" s="100">
        <f>+'[1]Budget 2025W'!S228</f>
        <v>0</v>
      </c>
      <c r="M171" s="100">
        <f>+'[1]Budget 2025W'!T228</f>
        <v>0</v>
      </c>
      <c r="N171" s="100">
        <f>+'[1]Budget 2025W'!U228</f>
        <v>0</v>
      </c>
      <c r="O171" s="100">
        <f>+'[1]Budget 2025W'!V228</f>
        <v>0</v>
      </c>
      <c r="P171" s="131"/>
      <c r="Q171" s="156">
        <f t="shared" si="30"/>
        <v>0</v>
      </c>
    </row>
    <row r="172" spans="3:17" x14ac:dyDescent="0.2">
      <c r="C172" s="153" t="s">
        <v>101</v>
      </c>
      <c r="D172" s="100">
        <f>+'[1]Budget 2025W'!K229</f>
        <v>0</v>
      </c>
      <c r="E172" s="100">
        <f>+'[1]Budget 2025W'!L229</f>
        <v>0</v>
      </c>
      <c r="F172" s="100">
        <f>+'[1]Budget 2025W'!M229</f>
        <v>0</v>
      </c>
      <c r="G172" s="100">
        <f>+'[1]Budget 2025W'!N229</f>
        <v>0</v>
      </c>
      <c r="H172" s="100">
        <f>+'[1]Budget 2025W'!O229</f>
        <v>0</v>
      </c>
      <c r="I172" s="100">
        <f>+'[1]Budget 2025W'!P229</f>
        <v>0</v>
      </c>
      <c r="J172" s="100">
        <f>+'[1]Budget 2025W'!Q229</f>
        <v>118.9936523986069</v>
      </c>
      <c r="K172" s="100">
        <f>+'[1]Budget 2025W'!R229</f>
        <v>356.98095719582068</v>
      </c>
      <c r="L172" s="100">
        <f>+'[1]Budget 2025W'!S229</f>
        <v>118.9936523986069</v>
      </c>
      <c r="M172" s="100">
        <f>+'[1]Budget 2025W'!T229</f>
        <v>0</v>
      </c>
      <c r="N172" s="100">
        <f>+'[1]Budget 2025W'!U229</f>
        <v>0</v>
      </c>
      <c r="O172" s="100">
        <f>+'[1]Budget 2025W'!V229</f>
        <v>237.9873047972138</v>
      </c>
      <c r="P172" s="131"/>
      <c r="Q172" s="156">
        <f t="shared" si="30"/>
        <v>832.95556679024833</v>
      </c>
    </row>
    <row r="173" spans="3:17" x14ac:dyDescent="0.2">
      <c r="C173" s="153" t="s">
        <v>102</v>
      </c>
      <c r="D173" s="100">
        <f>+'[1]Budget 2025W'!K230</f>
        <v>0</v>
      </c>
      <c r="E173" s="100">
        <f>+'[1]Budget 2025W'!L230</f>
        <v>0</v>
      </c>
      <c r="F173" s="100">
        <f>+'[1]Budget 2025W'!M230</f>
        <v>0</v>
      </c>
      <c r="G173" s="100">
        <f>+'[1]Budget 2025W'!N230</f>
        <v>0</v>
      </c>
      <c r="H173" s="100">
        <f>+'[1]Budget 2025W'!O230</f>
        <v>0</v>
      </c>
      <c r="I173" s="100">
        <f>+'[1]Budget 2025W'!P230</f>
        <v>500</v>
      </c>
      <c r="J173" s="100">
        <f>+'[1]Budget 2025W'!Q230</f>
        <v>500</v>
      </c>
      <c r="K173" s="100">
        <f>+'[1]Budget 2025W'!R230</f>
        <v>500</v>
      </c>
      <c r="L173" s="100">
        <f>+'[1]Budget 2025W'!S230</f>
        <v>500</v>
      </c>
      <c r="M173" s="100">
        <f>+'[1]Budget 2025W'!T230</f>
        <v>500</v>
      </c>
      <c r="N173" s="100">
        <f>+'[1]Budget 2025W'!U230</f>
        <v>500</v>
      </c>
      <c r="O173" s="100">
        <f>+'[1]Budget 2025W'!V230</f>
        <v>500</v>
      </c>
      <c r="P173" s="131"/>
      <c r="Q173" s="156">
        <f t="shared" si="30"/>
        <v>3500</v>
      </c>
    </row>
    <row r="174" spans="3:17" x14ac:dyDescent="0.2">
      <c r="C174" s="153" t="s">
        <v>103</v>
      </c>
      <c r="D174" s="100">
        <f>+'[1]Budget 2025W'!K231</f>
        <v>0</v>
      </c>
      <c r="E174" s="100">
        <f>+'[1]Budget 2025W'!L231</f>
        <v>0</v>
      </c>
      <c r="F174" s="100">
        <f>+'[1]Budget 2025W'!M231</f>
        <v>0</v>
      </c>
      <c r="G174" s="100">
        <f>+'[1]Budget 2025W'!N231</f>
        <v>0</v>
      </c>
      <c r="H174" s="100">
        <f>+'[1]Budget 2025W'!O231</f>
        <v>0</v>
      </c>
      <c r="I174" s="100">
        <f>+'[1]Budget 2025W'!P231</f>
        <v>3345.4443652173909</v>
      </c>
      <c r="J174" s="100">
        <f>+'[1]Budget 2025W'!Q231</f>
        <v>3377.3703621559371</v>
      </c>
      <c r="K174" s="100">
        <f>+'[1]Budget 2025W'!R231</f>
        <v>3441.2223560330299</v>
      </c>
      <c r="L174" s="100">
        <f>+'[1]Budget 2025W'!S231</f>
        <v>3377.3703621559371</v>
      </c>
      <c r="M174" s="100">
        <f>+'[1]Budget 2025W'!T231</f>
        <v>3345.4443652173909</v>
      </c>
      <c r="N174" s="100">
        <f>+'[1]Budget 2025W'!U231</f>
        <v>3345.4443652173909</v>
      </c>
      <c r="O174" s="100">
        <f>+'[1]Budget 2025W'!V231</f>
        <v>3409.2963590944837</v>
      </c>
      <c r="P174" s="131"/>
      <c r="Q174" s="156">
        <f t="shared" si="30"/>
        <v>23641.592535091557</v>
      </c>
    </row>
    <row r="175" spans="3:17" x14ac:dyDescent="0.2">
      <c r="C175" s="153" t="s">
        <v>104</v>
      </c>
      <c r="D175" s="100">
        <f>+'[1]Budget 2025W'!K232</f>
        <v>0</v>
      </c>
      <c r="E175" s="100">
        <f>+'[1]Budget 2025W'!L232</f>
        <v>0</v>
      </c>
      <c r="F175" s="100">
        <f>+'[1]Budget 2025W'!M232</f>
        <v>0</v>
      </c>
      <c r="G175" s="100">
        <f>+'[1]Budget 2025W'!N232</f>
        <v>0</v>
      </c>
      <c r="H175" s="100">
        <f>+'[1]Budget 2025W'!O232</f>
        <v>0</v>
      </c>
      <c r="I175" s="100">
        <f>+'[1]Budget 2025W'!P232</f>
        <v>1039.086956521739</v>
      </c>
      <c r="J175" s="100">
        <f>+'[1]Budget 2025W'!Q232</f>
        <v>1049.0030942216231</v>
      </c>
      <c r="K175" s="100">
        <f>+'[1]Budget 2025W'!R232</f>
        <v>1068.8353696213908</v>
      </c>
      <c r="L175" s="100">
        <f>+'[1]Budget 2025W'!S232</f>
        <v>1049.0030942216231</v>
      </c>
      <c r="M175" s="100">
        <f>+'[1]Budget 2025W'!T232</f>
        <v>1039.086956521739</v>
      </c>
      <c r="N175" s="100">
        <f>+'[1]Budget 2025W'!U232</f>
        <v>1039.086956521739</v>
      </c>
      <c r="O175" s="100">
        <f>+'[1]Budget 2025W'!V232</f>
        <v>1058.9192319215069</v>
      </c>
      <c r="P175" s="131"/>
      <c r="Q175" s="156">
        <f t="shared" si="30"/>
        <v>7343.0216595513612</v>
      </c>
    </row>
    <row r="176" spans="3:17" x14ac:dyDescent="0.2">
      <c r="C176" s="153" t="s">
        <v>105</v>
      </c>
      <c r="D176" s="100">
        <f>+'[1]Budget 2025W'!K233</f>
        <v>0</v>
      </c>
      <c r="E176" s="100">
        <f>+'[1]Budget 2025W'!L233</f>
        <v>0</v>
      </c>
      <c r="F176" s="100">
        <f>+'[1]Budget 2025W'!M233</f>
        <v>0</v>
      </c>
      <c r="G176" s="100">
        <f>+'[1]Budget 2025W'!N233</f>
        <v>0</v>
      </c>
      <c r="H176" s="100">
        <f>+'[1]Budget 2025W'!O233</f>
        <v>0</v>
      </c>
      <c r="I176" s="100">
        <f>+'[1]Budget 2025W'!P233</f>
        <v>155.86304347826089</v>
      </c>
      <c r="J176" s="100">
        <f>+'[1]Budget 2025W'!Q233</f>
        <v>157.35046413324346</v>
      </c>
      <c r="K176" s="100">
        <f>+'[1]Budget 2025W'!R233</f>
        <v>160.32530544320861</v>
      </c>
      <c r="L176" s="100">
        <f>+'[1]Budget 2025W'!S233</f>
        <v>157.35046413324346</v>
      </c>
      <c r="M176" s="100">
        <f>+'[1]Budget 2025W'!T233</f>
        <v>155.86304347826089</v>
      </c>
      <c r="N176" s="100">
        <f>+'[1]Budget 2025W'!U233</f>
        <v>155.86304347826089</v>
      </c>
      <c r="O176" s="100">
        <f>+'[1]Budget 2025W'!V233</f>
        <v>158.83788478822603</v>
      </c>
      <c r="P176" s="131"/>
      <c r="Q176" s="156">
        <f t="shared" si="30"/>
        <v>1101.4532489327044</v>
      </c>
    </row>
    <row r="177" spans="3:17" x14ac:dyDescent="0.2">
      <c r="C177" s="153" t="s">
        <v>106</v>
      </c>
      <c r="D177" s="100">
        <f>+'[1]Budget 2025W'!K234</f>
        <v>0</v>
      </c>
      <c r="E177" s="100">
        <f>+'[1]Budget 2025W'!L234</f>
        <v>0</v>
      </c>
      <c r="F177" s="100">
        <f>+'[1]Budget 2025W'!M234</f>
        <v>0</v>
      </c>
      <c r="G177" s="100">
        <f>+'[1]Budget 2025W'!N234</f>
        <v>0</v>
      </c>
      <c r="H177" s="100">
        <f>+'[1]Budget 2025W'!O234</f>
        <v>0</v>
      </c>
      <c r="I177" s="100">
        <f>+'[1]Budget 2025W'!P234</f>
        <v>0</v>
      </c>
      <c r="J177" s="100">
        <f>+'[1]Budget 2025W'!Q234</f>
        <v>0</v>
      </c>
      <c r="K177" s="100">
        <f>+'[1]Budget 2025W'!R234</f>
        <v>0</v>
      </c>
      <c r="L177" s="100">
        <f>+'[1]Budget 2025W'!S234</f>
        <v>0</v>
      </c>
      <c r="M177" s="100">
        <f>+'[1]Budget 2025W'!T234</f>
        <v>0</v>
      </c>
      <c r="N177" s="100">
        <f>+'[1]Budget 2025W'!U234</f>
        <v>0</v>
      </c>
      <c r="O177" s="100">
        <f>+'[1]Budget 2025W'!V234</f>
        <v>0</v>
      </c>
      <c r="P177" s="131"/>
      <c r="Q177" s="156">
        <f t="shared" si="30"/>
        <v>0</v>
      </c>
    </row>
    <row r="178" spans="3:17" x14ac:dyDescent="0.2">
      <c r="C178" s="153" t="s">
        <v>107</v>
      </c>
      <c r="D178" s="100">
        <f>+'[1]Budget 2025W'!K235</f>
        <v>0</v>
      </c>
      <c r="E178" s="100">
        <f>+'[1]Budget 2025W'!L235</f>
        <v>0</v>
      </c>
      <c r="F178" s="100">
        <f>+'[1]Budget 2025W'!M235</f>
        <v>0</v>
      </c>
      <c r="G178" s="100">
        <f>+'[1]Budget 2025W'!N235</f>
        <v>0</v>
      </c>
      <c r="H178" s="100">
        <f>+'[1]Budget 2025W'!O235</f>
        <v>0</v>
      </c>
      <c r="I178" s="100">
        <f>+'[1]Budget 2025W'!P235</f>
        <v>460.3478260869565</v>
      </c>
      <c r="J178" s="100">
        <f>+'[1]Budget 2025W'!Q235</f>
        <v>460.3478260869565</v>
      </c>
      <c r="K178" s="100">
        <f>+'[1]Budget 2025W'!R235</f>
        <v>460.3478260869565</v>
      </c>
      <c r="L178" s="100">
        <f>+'[1]Budget 2025W'!S235</f>
        <v>460.3478260869565</v>
      </c>
      <c r="M178" s="100">
        <f>+'[1]Budget 2025W'!T235</f>
        <v>460.3478260869565</v>
      </c>
      <c r="N178" s="100">
        <f>+'[1]Budget 2025W'!U235</f>
        <v>460.3478260869565</v>
      </c>
      <c r="O178" s="100">
        <f>+'[1]Budget 2025W'!V235</f>
        <v>460.3478260869565</v>
      </c>
      <c r="P178" s="131"/>
      <c r="Q178" s="156">
        <f t="shared" si="30"/>
        <v>3222.4347826086955</v>
      </c>
    </row>
    <row r="179" spans="3:17" x14ac:dyDescent="0.2">
      <c r="C179" s="153" t="s">
        <v>108</v>
      </c>
      <c r="D179" s="100">
        <f>+'[1]Budget 2025W'!K236</f>
        <v>0</v>
      </c>
      <c r="E179" s="100">
        <f>+'[1]Budget 2025W'!L236</f>
        <v>0</v>
      </c>
      <c r="F179" s="100">
        <f>+'[1]Budget 2025W'!M236</f>
        <v>0</v>
      </c>
      <c r="G179" s="100">
        <f>+'[1]Budget 2025W'!N236</f>
        <v>0</v>
      </c>
      <c r="H179" s="100">
        <f>+'[1]Budget 2025W'!O236</f>
        <v>0</v>
      </c>
      <c r="I179" s="100">
        <f>+'[1]Budget 2025W'!P236</f>
        <v>0</v>
      </c>
      <c r="J179" s="100">
        <f>+'[1]Budget 2025W'!Q236</f>
        <v>0</v>
      </c>
      <c r="K179" s="100">
        <f>+'[1]Budget 2025W'!R236</f>
        <v>0</v>
      </c>
      <c r="L179" s="100">
        <f>+'[1]Budget 2025W'!S236</f>
        <v>0</v>
      </c>
      <c r="M179" s="100">
        <f>+'[1]Budget 2025W'!T236</f>
        <v>0</v>
      </c>
      <c r="N179" s="100">
        <f>+'[1]Budget 2025W'!U236</f>
        <v>0</v>
      </c>
      <c r="O179" s="100">
        <f>+'[1]Budget 2025W'!V236</f>
        <v>0</v>
      </c>
      <c r="P179" s="131"/>
      <c r="Q179" s="156">
        <f t="shared" si="30"/>
        <v>0</v>
      </c>
    </row>
    <row r="180" spans="3:17" x14ac:dyDescent="0.2">
      <c r="C180" s="153" t="s">
        <v>109</v>
      </c>
      <c r="D180" s="100">
        <f>+'[1]Budget 2025W'!K237</f>
        <v>0</v>
      </c>
      <c r="E180" s="100">
        <f>+'[1]Budget 2025W'!L237</f>
        <v>0</v>
      </c>
      <c r="F180" s="100">
        <f>+'[1]Budget 2025W'!M237</f>
        <v>0</v>
      </c>
      <c r="G180" s="100">
        <f>+'[1]Budget 2025W'!N237</f>
        <v>0</v>
      </c>
      <c r="H180" s="100">
        <f>+'[1]Budget 2025W'!O237</f>
        <v>0</v>
      </c>
      <c r="I180" s="100">
        <f>+'[1]Budget 2025W'!P237</f>
        <v>0</v>
      </c>
      <c r="J180" s="100">
        <f>+'[1]Budget 2025W'!Q237</f>
        <v>0</v>
      </c>
      <c r="K180" s="100">
        <f>+'[1]Budget 2025W'!R237</f>
        <v>0</v>
      </c>
      <c r="L180" s="100">
        <f>+'[1]Budget 2025W'!S237</f>
        <v>0</v>
      </c>
      <c r="M180" s="100">
        <f>+'[1]Budget 2025W'!T237</f>
        <v>0</v>
      </c>
      <c r="N180" s="100">
        <f>+'[1]Budget 2025W'!U237</f>
        <v>0</v>
      </c>
      <c r="O180" s="100">
        <f>+'[1]Budget 2025W'!V237</f>
        <v>0</v>
      </c>
      <c r="P180" s="131"/>
      <c r="Q180" s="156">
        <f t="shared" si="30"/>
        <v>0</v>
      </c>
    </row>
    <row r="181" spans="3:17" x14ac:dyDescent="0.2">
      <c r="C181" s="153" t="s">
        <v>110</v>
      </c>
      <c r="D181" s="100">
        <f>+'[1]Budget 2025W'!K238</f>
        <v>0</v>
      </c>
      <c r="E181" s="100">
        <f>+'[1]Budget 2025W'!L238</f>
        <v>0</v>
      </c>
      <c r="F181" s="100">
        <f>+'[1]Budget 2025W'!M238</f>
        <v>0</v>
      </c>
      <c r="G181" s="100">
        <f>+'[1]Budget 2025W'!N238</f>
        <v>0</v>
      </c>
      <c r="H181" s="100">
        <f>+'[1]Budget 2025W'!O238</f>
        <v>0</v>
      </c>
      <c r="I181" s="100">
        <f>+'[1]Budget 2025W'!P238</f>
        <v>0</v>
      </c>
      <c r="J181" s="100">
        <f>+'[1]Budget 2025W'!Q238</f>
        <v>0</v>
      </c>
      <c r="K181" s="100">
        <f>+'[1]Budget 2025W'!R238</f>
        <v>0</v>
      </c>
      <c r="L181" s="100">
        <f>+'[1]Budget 2025W'!S238</f>
        <v>0</v>
      </c>
      <c r="M181" s="100">
        <f>+'[1]Budget 2025W'!T238</f>
        <v>0</v>
      </c>
      <c r="N181" s="100">
        <f>+'[1]Budget 2025W'!U238</f>
        <v>0</v>
      </c>
      <c r="O181" s="100">
        <f>+'[1]Budget 2025W'!V238</f>
        <v>0</v>
      </c>
      <c r="P181" s="131"/>
      <c r="Q181" s="156">
        <f t="shared" si="30"/>
        <v>0</v>
      </c>
    </row>
    <row r="182" spans="3:17" x14ac:dyDescent="0.2">
      <c r="C182" s="153" t="s">
        <v>111</v>
      </c>
      <c r="D182" s="100">
        <f>+'[1]Budget 2025W'!K239</f>
        <v>0</v>
      </c>
      <c r="E182" s="100">
        <f>+'[1]Budget 2025W'!L239</f>
        <v>0</v>
      </c>
      <c r="F182" s="100">
        <f>+'[1]Budget 2025W'!M239</f>
        <v>0</v>
      </c>
      <c r="G182" s="100">
        <f>+'[1]Budget 2025W'!N239</f>
        <v>0</v>
      </c>
      <c r="H182" s="100">
        <f>+'[1]Budget 2025W'!O239</f>
        <v>0</v>
      </c>
      <c r="I182" s="100">
        <f>+'[1]Budget 2025W'!P239</f>
        <v>0</v>
      </c>
      <c r="J182" s="100">
        <f>+'[1]Budget 2025W'!Q239</f>
        <v>0</v>
      </c>
      <c r="K182" s="100">
        <f>+'[1]Budget 2025W'!R239</f>
        <v>0</v>
      </c>
      <c r="L182" s="100">
        <f>+'[1]Budget 2025W'!S239</f>
        <v>0</v>
      </c>
      <c r="M182" s="100">
        <f>+'[1]Budget 2025W'!T239</f>
        <v>0</v>
      </c>
      <c r="N182" s="100">
        <f>+'[1]Budget 2025W'!U239</f>
        <v>0</v>
      </c>
      <c r="O182" s="100">
        <f>+'[1]Budget 2025W'!V239</f>
        <v>0</v>
      </c>
      <c r="P182" s="131"/>
      <c r="Q182" s="156">
        <f t="shared" si="30"/>
        <v>0</v>
      </c>
    </row>
    <row r="183" spans="3:17" x14ac:dyDescent="0.2">
      <c r="C183" s="153" t="s">
        <v>112</v>
      </c>
      <c r="D183" s="100">
        <f>+'[1]Budget 2025W'!K240</f>
        <v>0</v>
      </c>
      <c r="E183" s="100">
        <f>+'[1]Budget 2025W'!L240</f>
        <v>0</v>
      </c>
      <c r="F183" s="100">
        <f>+'[1]Budget 2025W'!M240</f>
        <v>0</v>
      </c>
      <c r="G183" s="100">
        <f>+'[1]Budget 2025W'!N240</f>
        <v>0</v>
      </c>
      <c r="H183" s="100">
        <f>+'[1]Budget 2025W'!O240</f>
        <v>0</v>
      </c>
      <c r="I183" s="100">
        <f>+'[1]Budget 2025W'!P240</f>
        <v>0</v>
      </c>
      <c r="J183" s="100">
        <f>+'[1]Budget 2025W'!Q240</f>
        <v>0</v>
      </c>
      <c r="K183" s="100">
        <f>+'[1]Budget 2025W'!R240</f>
        <v>0</v>
      </c>
      <c r="L183" s="100">
        <f>+'[1]Budget 2025W'!S240</f>
        <v>0</v>
      </c>
      <c r="M183" s="100">
        <f>+'[1]Budget 2025W'!T240</f>
        <v>0</v>
      </c>
      <c r="N183" s="100">
        <f>+'[1]Budget 2025W'!U240</f>
        <v>0</v>
      </c>
      <c r="O183" s="100">
        <f>+'[1]Budget 2025W'!V240</f>
        <v>0</v>
      </c>
      <c r="P183" s="131"/>
      <c r="Q183" s="156">
        <f t="shared" si="30"/>
        <v>0</v>
      </c>
    </row>
    <row r="184" spans="3:17" x14ac:dyDescent="0.2">
      <c r="C184" s="153" t="s">
        <v>113</v>
      </c>
      <c r="D184" s="100">
        <f>+'[1]Budget 2025W'!K241</f>
        <v>0</v>
      </c>
      <c r="E184" s="100">
        <f>+'[1]Budget 2025W'!L241</f>
        <v>0</v>
      </c>
      <c r="F184" s="100">
        <f>+'[1]Budget 2025W'!M241</f>
        <v>0</v>
      </c>
      <c r="G184" s="100">
        <f>+'[1]Budget 2025W'!N241</f>
        <v>0</v>
      </c>
      <c r="H184" s="100">
        <f>+'[1]Budget 2025W'!O241</f>
        <v>0</v>
      </c>
      <c r="I184" s="100">
        <f>+'[1]Budget 2025W'!P241</f>
        <v>0.44690265486725661</v>
      </c>
      <c r="J184" s="100">
        <f>+'[1]Budget 2025W'!Q241</f>
        <v>0.41056910569105687</v>
      </c>
      <c r="K184" s="100">
        <f>+'[1]Budget 2025W'!R241</f>
        <v>0.41056910569105687</v>
      </c>
      <c r="L184" s="100">
        <f>+'[1]Budget 2025W'!S241</f>
        <v>0.41056910569105687</v>
      </c>
      <c r="M184" s="100">
        <f>+'[1]Budget 2025W'!T241</f>
        <v>0.41056910569105687</v>
      </c>
      <c r="N184" s="100">
        <f>+'[1]Budget 2025W'!U241</f>
        <v>0.41056910569105687</v>
      </c>
      <c r="O184" s="100">
        <f>+'[1]Budget 2025W'!V241</f>
        <v>0.41056910569105687</v>
      </c>
      <c r="P184" s="131"/>
      <c r="Q184" s="156">
        <f t="shared" si="30"/>
        <v>2.9103172890135984</v>
      </c>
    </row>
    <row r="185" spans="3:17" ht="15.75" thickBot="1" x14ac:dyDescent="0.25">
      <c r="C185" s="153"/>
      <c r="D185" s="100" t="s">
        <v>39</v>
      </c>
      <c r="E185" s="75"/>
      <c r="F185" s="154"/>
      <c r="G185" s="154"/>
      <c r="H185" s="155"/>
      <c r="I185" s="155"/>
      <c r="J185" s="155"/>
      <c r="K185" s="155"/>
      <c r="L185" s="155"/>
      <c r="M185" s="155"/>
      <c r="N185" s="155"/>
      <c r="O185" s="155"/>
      <c r="P185" s="131"/>
      <c r="Q185" s="156"/>
    </row>
    <row r="186" spans="3:17" ht="17.25" thickTop="1" thickBot="1" x14ac:dyDescent="0.3">
      <c r="C186" s="162" t="s">
        <v>114</v>
      </c>
      <c r="D186" s="163">
        <f>+'[1]Budget 2025W'!K245</f>
        <v>0</v>
      </c>
      <c r="E186" s="163">
        <f>+'[1]Budget 2025W'!L245</f>
        <v>0</v>
      </c>
      <c r="F186" s="163">
        <f>+'[1]Budget 2025W'!M245</f>
        <v>0</v>
      </c>
      <c r="G186" s="163">
        <f>+'[1]Budget 2025W'!N245</f>
        <v>0</v>
      </c>
      <c r="H186" s="164">
        <f>+'[1]Budget 2025W'!O245</f>
        <v>0</v>
      </c>
      <c r="I186" s="164">
        <f>+'[1]Budget 2025W'!P245</f>
        <v>17009.884746133128</v>
      </c>
      <c r="J186" s="164">
        <f>+'[1]Budget 2025W'!Q245</f>
        <v>17172.171620275967</v>
      </c>
      <c r="K186" s="164">
        <f>+'[1]Budget 2025W'!R245</f>
        <v>17496.81803566001</v>
      </c>
      <c r="L186" s="164">
        <f>+'[1]Budget 2025W'!S245</f>
        <v>17172.171620275967</v>
      </c>
      <c r="M186" s="164">
        <f>+'[1]Budget 2025W'!T245</f>
        <v>17009.84841258395</v>
      </c>
      <c r="N186" s="164">
        <f>+'[1]Budget 2025W'!U245</f>
        <v>17009.84841258395</v>
      </c>
      <c r="O186" s="164">
        <f>+'[1]Budget 2025W'!V245</f>
        <v>17334.494827967988</v>
      </c>
      <c r="P186" s="131"/>
      <c r="Q186" s="165">
        <f>SUM(D186:O186)</f>
        <v>120205.23767548095</v>
      </c>
    </row>
    <row r="187" spans="3:17" ht="16.5" thickTop="1" thickBot="1" x14ac:dyDescent="0.25">
      <c r="C187" s="166"/>
      <c r="D187" s="167"/>
      <c r="E187" s="168"/>
      <c r="F187" s="169"/>
      <c r="G187" s="169"/>
      <c r="H187" s="170"/>
      <c r="I187" s="170"/>
      <c r="J187" s="170"/>
      <c r="K187" s="170"/>
      <c r="L187" s="170"/>
      <c r="M187" s="170"/>
      <c r="N187" s="170"/>
      <c r="O187" s="170"/>
      <c r="P187" s="131"/>
      <c r="Q187" s="171"/>
    </row>
    <row r="188" spans="3:17" ht="3.95" customHeight="1" x14ac:dyDescent="0.2">
      <c r="C188" s="172"/>
      <c r="D188" s="173"/>
      <c r="E188" s="173"/>
      <c r="F188" s="174"/>
      <c r="G188" s="174"/>
      <c r="H188" s="175"/>
      <c r="I188" s="175"/>
      <c r="J188" s="175"/>
      <c r="K188" s="175"/>
      <c r="L188" s="175"/>
      <c r="M188" s="175"/>
      <c r="N188" s="175"/>
      <c r="O188" s="175"/>
      <c r="P188" s="131"/>
      <c r="Q188" s="176"/>
    </row>
    <row r="189" spans="3:17" ht="3.95" customHeight="1" x14ac:dyDescent="0.2">
      <c r="C189" s="172"/>
      <c r="D189" s="173"/>
      <c r="E189" s="173"/>
      <c r="F189" s="174"/>
      <c r="G189" s="174"/>
      <c r="H189" s="175"/>
      <c r="I189" s="175"/>
      <c r="J189" s="175"/>
      <c r="K189" s="175"/>
      <c r="L189" s="175"/>
      <c r="M189" s="175"/>
      <c r="N189" s="175"/>
      <c r="O189" s="175"/>
      <c r="P189" s="131"/>
      <c r="Q189" s="176"/>
    </row>
    <row r="190" spans="3:17" x14ac:dyDescent="0.2">
      <c r="C190" s="153"/>
      <c r="D190" s="100" t="s">
        <v>39</v>
      </c>
      <c r="E190" s="75"/>
      <c r="F190" s="154"/>
      <c r="G190" s="154"/>
      <c r="H190" s="155"/>
      <c r="I190" s="155"/>
      <c r="J190" s="155"/>
      <c r="K190" s="155"/>
      <c r="L190" s="155"/>
      <c r="M190" s="155"/>
      <c r="N190" s="155"/>
      <c r="O190" s="155"/>
      <c r="P190" s="131"/>
      <c r="Q190" s="156"/>
    </row>
    <row r="191" spans="3:17" ht="15.75" thickBot="1" x14ac:dyDescent="0.25">
      <c r="C191" s="153"/>
      <c r="D191" s="100" t="s">
        <v>39</v>
      </c>
      <c r="E191" s="75"/>
      <c r="F191" s="154"/>
      <c r="G191" s="154"/>
      <c r="H191" s="155"/>
      <c r="I191" s="155"/>
      <c r="J191" s="155"/>
      <c r="K191" s="155"/>
      <c r="L191" s="155"/>
      <c r="M191" s="155"/>
      <c r="N191" s="155"/>
      <c r="O191" s="155"/>
      <c r="P191" s="131"/>
      <c r="Q191" s="156"/>
    </row>
    <row r="192" spans="3:17" ht="15.75" x14ac:dyDescent="0.25">
      <c r="C192" s="157" t="s">
        <v>44</v>
      </c>
      <c r="D192" s="158" t="s">
        <v>39</v>
      </c>
      <c r="E192" s="158"/>
      <c r="F192" s="159"/>
      <c r="G192" s="159"/>
      <c r="H192" s="160"/>
      <c r="I192" s="160"/>
      <c r="J192" s="160"/>
      <c r="K192" s="160"/>
      <c r="L192" s="160"/>
      <c r="M192" s="160"/>
      <c r="N192" s="160"/>
      <c r="O192" s="160"/>
      <c r="P192" s="131"/>
      <c r="Q192" s="161"/>
    </row>
    <row r="193" spans="3:17" x14ac:dyDescent="0.2">
      <c r="C193" s="153" t="s">
        <v>115</v>
      </c>
      <c r="D193" s="100">
        <f>+'[1]Budget 2025W'!K249</f>
        <v>0</v>
      </c>
      <c r="E193" s="100">
        <f>+'[1]Budget 2025W'!L249</f>
        <v>0</v>
      </c>
      <c r="F193" s="100">
        <f>+'[1]Budget 2025W'!M249</f>
        <v>0</v>
      </c>
      <c r="G193" s="100">
        <f>+'[1]Budget 2025W'!N249</f>
        <v>0</v>
      </c>
      <c r="H193" s="100">
        <f>+'[1]Budget 2025W'!O249</f>
        <v>0</v>
      </c>
      <c r="I193" s="100">
        <f>+'[1]Budget 2025W'!P249</f>
        <v>800</v>
      </c>
      <c r="J193" s="100">
        <f>+'[1]Budget 2025W'!Q249</f>
        <v>800</v>
      </c>
      <c r="K193" s="100">
        <f>+'[1]Budget 2025W'!R249</f>
        <v>800</v>
      </c>
      <c r="L193" s="100">
        <f>+'[1]Budget 2025W'!S249</f>
        <v>800</v>
      </c>
      <c r="M193" s="100">
        <f>+'[1]Budget 2025W'!T249</f>
        <v>800</v>
      </c>
      <c r="N193" s="100">
        <f>+'[1]Budget 2025W'!U249</f>
        <v>800</v>
      </c>
      <c r="O193" s="100">
        <f>+'[1]Budget 2025W'!V249</f>
        <v>800</v>
      </c>
      <c r="P193" s="131"/>
      <c r="Q193" s="156">
        <f t="shared" ref="Q193:Q222" si="31">SUM(D193:O193)</f>
        <v>5600</v>
      </c>
    </row>
    <row r="194" spans="3:17" x14ac:dyDescent="0.2">
      <c r="C194" s="153" t="s">
        <v>116</v>
      </c>
      <c r="D194" s="100">
        <f>+'[1]Budget 2025W'!K250</f>
        <v>0</v>
      </c>
      <c r="E194" s="100">
        <f>+'[1]Budget 2025W'!L250</f>
        <v>0</v>
      </c>
      <c r="F194" s="100">
        <f>+'[1]Budget 2025W'!M250</f>
        <v>0</v>
      </c>
      <c r="G194" s="100">
        <f>+'[1]Budget 2025W'!N250</f>
        <v>0</v>
      </c>
      <c r="H194" s="100">
        <f>+'[1]Budget 2025W'!O250</f>
        <v>0</v>
      </c>
      <c r="I194" s="100">
        <f>+'[1]Budget 2025W'!P250</f>
        <v>0</v>
      </c>
      <c r="J194" s="100">
        <f>+'[1]Budget 2025W'!Q250</f>
        <v>0</v>
      </c>
      <c r="K194" s="100">
        <f>+'[1]Budget 2025W'!R250</f>
        <v>0</v>
      </c>
      <c r="L194" s="100">
        <f>+'[1]Budget 2025W'!S250</f>
        <v>0</v>
      </c>
      <c r="M194" s="100">
        <f>+'[1]Budget 2025W'!T250</f>
        <v>0</v>
      </c>
      <c r="N194" s="100">
        <f>+'[1]Budget 2025W'!U250</f>
        <v>0</v>
      </c>
      <c r="O194" s="100">
        <f>+'[1]Budget 2025W'!V250</f>
        <v>0</v>
      </c>
      <c r="P194" s="131"/>
      <c r="Q194" s="156">
        <f t="shared" si="31"/>
        <v>0</v>
      </c>
    </row>
    <row r="195" spans="3:17" x14ac:dyDescent="0.2">
      <c r="C195" s="153" t="s">
        <v>102</v>
      </c>
      <c r="D195" s="100">
        <f>+'[1]Budget 2025W'!K251</f>
        <v>0</v>
      </c>
      <c r="E195" s="100">
        <f>+'[1]Budget 2025W'!L251</f>
        <v>0</v>
      </c>
      <c r="F195" s="100">
        <f>+'[1]Budget 2025W'!M251</f>
        <v>0</v>
      </c>
      <c r="G195" s="100">
        <f>+'[1]Budget 2025W'!N251</f>
        <v>0</v>
      </c>
      <c r="H195" s="100">
        <f>+'[1]Budget 2025W'!O251</f>
        <v>0</v>
      </c>
      <c r="I195" s="100">
        <f>+'[1]Budget 2025W'!P251</f>
        <v>5400</v>
      </c>
      <c r="J195" s="100">
        <f>+'[1]Budget 2025W'!Q251</f>
        <v>9300</v>
      </c>
      <c r="K195" s="100">
        <f>+'[1]Budget 2025W'!R251</f>
        <v>9300</v>
      </c>
      <c r="L195" s="100">
        <f>+'[1]Budget 2025W'!S251</f>
        <v>7200</v>
      </c>
      <c r="M195" s="100">
        <f>+'[1]Budget 2025W'!T251</f>
        <v>5550</v>
      </c>
      <c r="N195" s="100">
        <f>+'[1]Budget 2025W'!U251</f>
        <v>14400</v>
      </c>
      <c r="O195" s="100">
        <f>+'[1]Budget 2025W'!V251</f>
        <v>23808</v>
      </c>
      <c r="P195" s="131"/>
      <c r="Q195" s="156">
        <f t="shared" si="31"/>
        <v>74958</v>
      </c>
    </row>
    <row r="196" spans="3:17" x14ac:dyDescent="0.2">
      <c r="C196" s="153" t="s">
        <v>117</v>
      </c>
      <c r="D196" s="100">
        <f>+'[1]Budget 2025W'!K252</f>
        <v>0</v>
      </c>
      <c r="E196" s="100">
        <f>+'[1]Budget 2025W'!L252</f>
        <v>0</v>
      </c>
      <c r="F196" s="100">
        <f>+'[1]Budget 2025W'!M252</f>
        <v>0</v>
      </c>
      <c r="G196" s="100">
        <f>+'[1]Budget 2025W'!N252</f>
        <v>0</v>
      </c>
      <c r="H196" s="100">
        <f>+'[1]Budget 2025W'!O252</f>
        <v>0</v>
      </c>
      <c r="I196" s="100">
        <f>+'[1]Budget 2025W'!P252</f>
        <v>0</v>
      </c>
      <c r="J196" s="100">
        <f>+'[1]Budget 2025W'!Q252</f>
        <v>0</v>
      </c>
      <c r="K196" s="100">
        <f>+'[1]Budget 2025W'!R252</f>
        <v>0</v>
      </c>
      <c r="L196" s="100">
        <f>+'[1]Budget 2025W'!S252</f>
        <v>0</v>
      </c>
      <c r="M196" s="100">
        <f>+'[1]Budget 2025W'!T252</f>
        <v>0</v>
      </c>
      <c r="N196" s="100">
        <f>+'[1]Budget 2025W'!U252</f>
        <v>0</v>
      </c>
      <c r="O196" s="100">
        <f>+'[1]Budget 2025W'!V252</f>
        <v>0</v>
      </c>
      <c r="P196" s="131"/>
      <c r="Q196" s="156">
        <f t="shared" si="31"/>
        <v>0</v>
      </c>
    </row>
    <row r="197" spans="3:17" x14ac:dyDescent="0.2">
      <c r="C197" s="153" t="s">
        <v>118</v>
      </c>
      <c r="D197" s="100">
        <f>+'[1]Budget 2025W'!K253</f>
        <v>0</v>
      </c>
      <c r="E197" s="100">
        <f>+'[1]Budget 2025W'!L253</f>
        <v>0</v>
      </c>
      <c r="F197" s="100">
        <f>+'[1]Budget 2025W'!M253</f>
        <v>0</v>
      </c>
      <c r="G197" s="100">
        <f>+'[1]Budget 2025W'!N253</f>
        <v>0</v>
      </c>
      <c r="H197" s="100">
        <f>+'[1]Budget 2025W'!O253</f>
        <v>0</v>
      </c>
      <c r="I197" s="100">
        <f>+'[1]Budget 2025W'!P253</f>
        <v>0</v>
      </c>
      <c r="J197" s="100">
        <f>+'[1]Budget 2025W'!Q253</f>
        <v>0</v>
      </c>
      <c r="K197" s="100">
        <f>+'[1]Budget 2025W'!R253</f>
        <v>0</v>
      </c>
      <c r="L197" s="100">
        <f>+'[1]Budget 2025W'!S253</f>
        <v>0</v>
      </c>
      <c r="M197" s="100">
        <f>+'[1]Budget 2025W'!T253</f>
        <v>0</v>
      </c>
      <c r="N197" s="100">
        <f>+'[1]Budget 2025W'!U253</f>
        <v>0</v>
      </c>
      <c r="O197" s="100">
        <f>+'[1]Budget 2025W'!V253</f>
        <v>0</v>
      </c>
      <c r="P197" s="131"/>
      <c r="Q197" s="156">
        <f t="shared" si="31"/>
        <v>0</v>
      </c>
    </row>
    <row r="198" spans="3:17" x14ac:dyDescent="0.2">
      <c r="C198" s="153" t="s">
        <v>119</v>
      </c>
      <c r="D198" s="100">
        <f>+'[1]Budget 2025W'!K254</f>
        <v>0</v>
      </c>
      <c r="E198" s="100">
        <f>+'[1]Budget 2025W'!L254</f>
        <v>0</v>
      </c>
      <c r="F198" s="100">
        <f>+'[1]Budget 2025W'!M254</f>
        <v>0</v>
      </c>
      <c r="G198" s="100">
        <f>+'[1]Budget 2025W'!N254</f>
        <v>0</v>
      </c>
      <c r="H198" s="100">
        <f>+'[1]Budget 2025W'!O254</f>
        <v>0</v>
      </c>
      <c r="I198" s="100">
        <f>+'[1]Budget 2025W'!P254</f>
        <v>0</v>
      </c>
      <c r="J198" s="100">
        <f>+'[1]Budget 2025W'!Q254</f>
        <v>0</v>
      </c>
      <c r="K198" s="100">
        <f>+'[1]Budget 2025W'!R254</f>
        <v>0</v>
      </c>
      <c r="L198" s="100">
        <f>+'[1]Budget 2025W'!S254</f>
        <v>0</v>
      </c>
      <c r="M198" s="100">
        <f>+'[1]Budget 2025W'!T254</f>
        <v>0</v>
      </c>
      <c r="N198" s="100">
        <f>+'[1]Budget 2025W'!U254</f>
        <v>0</v>
      </c>
      <c r="O198" s="100">
        <f>+'[1]Budget 2025W'!V254</f>
        <v>0</v>
      </c>
      <c r="P198" s="131"/>
      <c r="Q198" s="156">
        <f t="shared" si="31"/>
        <v>0</v>
      </c>
    </row>
    <row r="199" spans="3:17" x14ac:dyDescent="0.2">
      <c r="C199" s="153" t="s">
        <v>120</v>
      </c>
      <c r="D199" s="100">
        <f>+'[1]Budget 2025W'!K255</f>
        <v>0</v>
      </c>
      <c r="E199" s="100">
        <f>+'[1]Budget 2025W'!L255</f>
        <v>0</v>
      </c>
      <c r="F199" s="100">
        <f>+'[1]Budget 2025W'!M255</f>
        <v>0</v>
      </c>
      <c r="G199" s="100">
        <f>+'[1]Budget 2025W'!N255</f>
        <v>0</v>
      </c>
      <c r="H199" s="100">
        <f>+'[1]Budget 2025W'!O255</f>
        <v>0</v>
      </c>
      <c r="I199" s="100">
        <f>+'[1]Budget 2025W'!P255</f>
        <v>0</v>
      </c>
      <c r="J199" s="100">
        <f>+'[1]Budget 2025W'!Q255</f>
        <v>0</v>
      </c>
      <c r="K199" s="100">
        <f>+'[1]Budget 2025W'!R255</f>
        <v>0</v>
      </c>
      <c r="L199" s="100">
        <f>+'[1]Budget 2025W'!S255</f>
        <v>0</v>
      </c>
      <c r="M199" s="100">
        <f>+'[1]Budget 2025W'!T255</f>
        <v>0</v>
      </c>
      <c r="N199" s="100">
        <f>+'[1]Budget 2025W'!U255</f>
        <v>0</v>
      </c>
      <c r="O199" s="100">
        <f>+'[1]Budget 2025W'!V255</f>
        <v>0</v>
      </c>
      <c r="P199" s="131"/>
      <c r="Q199" s="156">
        <f t="shared" si="31"/>
        <v>0</v>
      </c>
    </row>
    <row r="200" spans="3:17" x14ac:dyDescent="0.2">
      <c r="C200" s="153" t="s">
        <v>121</v>
      </c>
      <c r="D200" s="100">
        <f>+'[1]Budget 2025W'!K256</f>
        <v>0</v>
      </c>
      <c r="E200" s="100">
        <f>+'[1]Budget 2025W'!L256</f>
        <v>0</v>
      </c>
      <c r="F200" s="100">
        <f>+'[1]Budget 2025W'!M256</f>
        <v>0</v>
      </c>
      <c r="G200" s="100">
        <f>+'[1]Budget 2025W'!N256</f>
        <v>0</v>
      </c>
      <c r="H200" s="100">
        <f>+'[1]Budget 2025W'!O256</f>
        <v>0</v>
      </c>
      <c r="I200" s="100">
        <f>+'[1]Budget 2025W'!P256</f>
        <v>1447.8260869565217</v>
      </c>
      <c r="J200" s="100">
        <f>+'[1]Budget 2025W'!Q256</f>
        <v>2600</v>
      </c>
      <c r="K200" s="100">
        <f>+'[1]Budget 2025W'!R256</f>
        <v>2600</v>
      </c>
      <c r="L200" s="100">
        <f>+'[1]Budget 2025W'!S256</f>
        <v>3447.826086956522</v>
      </c>
      <c r="M200" s="100">
        <f>+'[1]Budget 2025W'!T256</f>
        <v>2600</v>
      </c>
      <c r="N200" s="100">
        <f>+'[1]Budget 2025W'!U256</f>
        <v>2600</v>
      </c>
      <c r="O200" s="100">
        <f>+'[1]Budget 2025W'!V256</f>
        <v>3447.826086956522</v>
      </c>
      <c r="P200" s="131"/>
      <c r="Q200" s="156">
        <f t="shared" si="31"/>
        <v>18743.478260869568</v>
      </c>
    </row>
    <row r="201" spans="3:17" x14ac:dyDescent="0.2">
      <c r="C201" s="153" t="s">
        <v>122</v>
      </c>
      <c r="D201" s="100">
        <f>+'[1]Budget 2025W'!K257</f>
        <v>0</v>
      </c>
      <c r="E201" s="100">
        <f>+'[1]Budget 2025W'!L257</f>
        <v>0</v>
      </c>
      <c r="F201" s="100">
        <f>+'[1]Budget 2025W'!M257</f>
        <v>0</v>
      </c>
      <c r="G201" s="100">
        <f>+'[1]Budget 2025W'!N257</f>
        <v>0</v>
      </c>
      <c r="H201" s="100">
        <f>+'[1]Budget 2025W'!O257</f>
        <v>0</v>
      </c>
      <c r="I201" s="100">
        <f>+'[1]Budget 2025W'!P257</f>
        <v>0</v>
      </c>
      <c r="J201" s="100">
        <f>+'[1]Budget 2025W'!Q257</f>
        <v>0</v>
      </c>
      <c r="K201" s="100">
        <f>+'[1]Budget 2025W'!R257</f>
        <v>0</v>
      </c>
      <c r="L201" s="100">
        <f>+'[1]Budget 2025W'!S257</f>
        <v>0</v>
      </c>
      <c r="M201" s="100">
        <f>+'[1]Budget 2025W'!T257</f>
        <v>0</v>
      </c>
      <c r="N201" s="100">
        <f>+'[1]Budget 2025W'!U257</f>
        <v>0</v>
      </c>
      <c r="O201" s="100">
        <f>+'[1]Budget 2025W'!V257</f>
        <v>0</v>
      </c>
      <c r="P201" s="131"/>
      <c r="Q201" s="156">
        <f t="shared" si="31"/>
        <v>0</v>
      </c>
    </row>
    <row r="202" spans="3:17" x14ac:dyDescent="0.2">
      <c r="C202" s="153" t="s">
        <v>123</v>
      </c>
      <c r="D202" s="100">
        <f>+'[1]Budget 2025W'!K258</f>
        <v>0</v>
      </c>
      <c r="E202" s="100">
        <f>+'[1]Budget 2025W'!L258</f>
        <v>0</v>
      </c>
      <c r="F202" s="100">
        <f>+'[1]Budget 2025W'!M258</f>
        <v>0</v>
      </c>
      <c r="G202" s="100">
        <f>+'[1]Budget 2025W'!N258</f>
        <v>0</v>
      </c>
      <c r="H202" s="100">
        <f>+'[1]Budget 2025W'!O258</f>
        <v>0</v>
      </c>
      <c r="I202" s="100">
        <f>+'[1]Budget 2025W'!P258</f>
        <v>0</v>
      </c>
      <c r="J202" s="100">
        <f>+'[1]Budget 2025W'!Q258</f>
        <v>0</v>
      </c>
      <c r="K202" s="100">
        <f>+'[1]Budget 2025W'!R258</f>
        <v>0</v>
      </c>
      <c r="L202" s="100">
        <f>+'[1]Budget 2025W'!S258</f>
        <v>0</v>
      </c>
      <c r="M202" s="100">
        <f>+'[1]Budget 2025W'!T258</f>
        <v>0</v>
      </c>
      <c r="N202" s="100">
        <f>+'[1]Budget 2025W'!U258</f>
        <v>0</v>
      </c>
      <c r="O202" s="100">
        <f>+'[1]Budget 2025W'!V258</f>
        <v>800</v>
      </c>
      <c r="P202" s="131"/>
      <c r="Q202" s="156">
        <f t="shared" si="31"/>
        <v>800</v>
      </c>
    </row>
    <row r="203" spans="3:17" x14ac:dyDescent="0.2">
      <c r="C203" s="153" t="s">
        <v>124</v>
      </c>
      <c r="D203" s="100">
        <f>+'[1]Budget 2025W'!K259</f>
        <v>0</v>
      </c>
      <c r="E203" s="100">
        <f>+'[1]Budget 2025W'!L259</f>
        <v>0</v>
      </c>
      <c r="F203" s="100">
        <f>+'[1]Budget 2025W'!M259</f>
        <v>0</v>
      </c>
      <c r="G203" s="100">
        <f>+'[1]Budget 2025W'!N259</f>
        <v>0</v>
      </c>
      <c r="H203" s="100">
        <f>+'[1]Budget 2025W'!O259</f>
        <v>0</v>
      </c>
      <c r="I203" s="100">
        <f>+'[1]Budget 2025W'!P259</f>
        <v>55.934782608695649</v>
      </c>
      <c r="J203" s="100">
        <f>+'[1]Budget 2025W'!Q259</f>
        <v>55.934782608695649</v>
      </c>
      <c r="K203" s="100">
        <f>+'[1]Budget 2025W'!R259</f>
        <v>55.934782608695649</v>
      </c>
      <c r="L203" s="100">
        <f>+'[1]Budget 2025W'!S259</f>
        <v>55.934782608695649</v>
      </c>
      <c r="M203" s="100">
        <f>+'[1]Budget 2025W'!T259</f>
        <v>55.934782608695649</v>
      </c>
      <c r="N203" s="100">
        <f>+'[1]Budget 2025W'!U259</f>
        <v>55.934782608695649</v>
      </c>
      <c r="O203" s="100">
        <f>+'[1]Budget 2025W'!V259</f>
        <v>55.934782608695649</v>
      </c>
      <c r="P203" s="131"/>
      <c r="Q203" s="156">
        <f t="shared" si="31"/>
        <v>391.54347826086951</v>
      </c>
    </row>
    <row r="204" spans="3:17" x14ac:dyDescent="0.2">
      <c r="C204" s="153" t="s">
        <v>125</v>
      </c>
      <c r="D204" s="100">
        <f>+'[1]Budget 2025W'!K260</f>
        <v>0</v>
      </c>
      <c r="E204" s="100">
        <f>+'[1]Budget 2025W'!L260</f>
        <v>0</v>
      </c>
      <c r="F204" s="100">
        <f>+'[1]Budget 2025W'!M260</f>
        <v>0</v>
      </c>
      <c r="G204" s="100">
        <f>+'[1]Budget 2025W'!N260</f>
        <v>0</v>
      </c>
      <c r="H204" s="100">
        <f>+'[1]Budget 2025W'!O260</f>
        <v>0</v>
      </c>
      <c r="I204" s="100">
        <f>+'[1]Budget 2025W'!P260</f>
        <v>0</v>
      </c>
      <c r="J204" s="100">
        <f>+'[1]Budget 2025W'!Q260</f>
        <v>0</v>
      </c>
      <c r="K204" s="100">
        <f>+'[1]Budget 2025W'!R260</f>
        <v>0</v>
      </c>
      <c r="L204" s="100">
        <f>+'[1]Budget 2025W'!S260</f>
        <v>0</v>
      </c>
      <c r="M204" s="100">
        <f>+'[1]Budget 2025W'!T260</f>
        <v>0</v>
      </c>
      <c r="N204" s="100">
        <f>+'[1]Budget 2025W'!U260</f>
        <v>0</v>
      </c>
      <c r="O204" s="100">
        <f>+'[1]Budget 2025W'!V260</f>
        <v>0</v>
      </c>
      <c r="P204" s="131"/>
      <c r="Q204" s="156">
        <f t="shared" si="31"/>
        <v>0</v>
      </c>
    </row>
    <row r="205" spans="3:17" x14ac:dyDescent="0.2">
      <c r="C205" s="153" t="s">
        <v>126</v>
      </c>
      <c r="D205" s="100">
        <f>+'[1]Budget 2025W'!K261</f>
        <v>0</v>
      </c>
      <c r="E205" s="100">
        <f>+'[1]Budget 2025W'!L261</f>
        <v>0</v>
      </c>
      <c r="F205" s="100">
        <f>+'[1]Budget 2025W'!M261</f>
        <v>0</v>
      </c>
      <c r="G205" s="100">
        <f>+'[1]Budget 2025W'!N261</f>
        <v>0</v>
      </c>
      <c r="H205" s="100">
        <f>+'[1]Budget 2025W'!O261</f>
        <v>0</v>
      </c>
      <c r="I205" s="100">
        <f>+'[1]Budget 2025W'!P261</f>
        <v>0</v>
      </c>
      <c r="J205" s="100">
        <f>+'[1]Budget 2025W'!Q261</f>
        <v>0</v>
      </c>
      <c r="K205" s="100">
        <f>+'[1]Budget 2025W'!R261</f>
        <v>0</v>
      </c>
      <c r="L205" s="100">
        <f>+'[1]Budget 2025W'!S261</f>
        <v>0</v>
      </c>
      <c r="M205" s="100">
        <f>+'[1]Budget 2025W'!T261</f>
        <v>0</v>
      </c>
      <c r="N205" s="100">
        <f>+'[1]Budget 2025W'!U261</f>
        <v>0</v>
      </c>
      <c r="O205" s="100">
        <f>+'[1]Budget 2025W'!V261</f>
        <v>0</v>
      </c>
      <c r="P205" s="131"/>
      <c r="Q205" s="156">
        <f t="shared" si="31"/>
        <v>0</v>
      </c>
    </row>
    <row r="206" spans="3:17" x14ac:dyDescent="0.2">
      <c r="C206" s="153" t="s">
        <v>127</v>
      </c>
      <c r="D206" s="100">
        <f>+'[1]Budget 2025W'!K262</f>
        <v>0</v>
      </c>
      <c r="E206" s="100">
        <f>+'[1]Budget 2025W'!L262</f>
        <v>0</v>
      </c>
      <c r="F206" s="100">
        <f>+'[1]Budget 2025W'!M262</f>
        <v>0</v>
      </c>
      <c r="G206" s="100">
        <f>+'[1]Budget 2025W'!N262</f>
        <v>0</v>
      </c>
      <c r="H206" s="100">
        <f>+'[1]Budget 2025W'!O262</f>
        <v>0</v>
      </c>
      <c r="I206" s="100">
        <f>+'[1]Budget 2025W'!P262</f>
        <v>0</v>
      </c>
      <c r="J206" s="100">
        <f>+'[1]Budget 2025W'!Q262</f>
        <v>0</v>
      </c>
      <c r="K206" s="100">
        <f>+'[1]Budget 2025W'!R262</f>
        <v>0</v>
      </c>
      <c r="L206" s="100">
        <f>+'[1]Budget 2025W'!S262</f>
        <v>0</v>
      </c>
      <c r="M206" s="100">
        <f>+'[1]Budget 2025W'!T262</f>
        <v>0</v>
      </c>
      <c r="N206" s="100">
        <f>+'[1]Budget 2025W'!U262</f>
        <v>0</v>
      </c>
      <c r="O206" s="100">
        <f>+'[1]Budget 2025W'!V262</f>
        <v>0</v>
      </c>
      <c r="P206" s="131"/>
      <c r="Q206" s="156">
        <f t="shared" si="31"/>
        <v>0</v>
      </c>
    </row>
    <row r="207" spans="3:17" x14ac:dyDescent="0.2">
      <c r="C207" s="153" t="s">
        <v>128</v>
      </c>
      <c r="D207" s="100">
        <f>+'[1]Budget 2025W'!K263</f>
        <v>0</v>
      </c>
      <c r="E207" s="100">
        <f>+'[1]Budget 2025W'!L263</f>
        <v>0</v>
      </c>
      <c r="F207" s="100">
        <f>+'[1]Budget 2025W'!M263</f>
        <v>0</v>
      </c>
      <c r="G207" s="100">
        <f>+'[1]Budget 2025W'!N263</f>
        <v>0</v>
      </c>
      <c r="H207" s="100">
        <f>+'[1]Budget 2025W'!O263</f>
        <v>0</v>
      </c>
      <c r="I207" s="100">
        <f>+'[1]Budget 2025W'!P263</f>
        <v>1254</v>
      </c>
      <c r="J207" s="100">
        <f>+'[1]Budget 2025W'!Q263</f>
        <v>1814.12</v>
      </c>
      <c r="K207" s="100">
        <f>+'[1]Budget 2025W'!R263</f>
        <v>1814.12</v>
      </c>
      <c r="L207" s="100">
        <f>+'[1]Budget 2025W'!S263</f>
        <v>1504.8</v>
      </c>
      <c r="M207" s="100">
        <f>+'[1]Budget 2025W'!T263</f>
        <v>1658.6239999999998</v>
      </c>
      <c r="N207" s="100">
        <f>+'[1]Budget 2025W'!U263</f>
        <v>2006.3999999999999</v>
      </c>
      <c r="O207" s="100">
        <f>+'[1]Budget 2025W'!V263</f>
        <v>3109.9199999999996</v>
      </c>
      <c r="P207" s="131"/>
      <c r="Q207" s="156">
        <f t="shared" si="31"/>
        <v>13161.984</v>
      </c>
    </row>
    <row r="208" spans="3:17" x14ac:dyDescent="0.2">
      <c r="C208" s="153" t="s">
        <v>129</v>
      </c>
      <c r="D208" s="100">
        <f>+'[1]Budget 2025W'!K264</f>
        <v>0</v>
      </c>
      <c r="E208" s="100">
        <f>+'[1]Budget 2025W'!L264</f>
        <v>0</v>
      </c>
      <c r="F208" s="100">
        <f>+'[1]Budget 2025W'!M264</f>
        <v>0</v>
      </c>
      <c r="G208" s="100">
        <f>+'[1]Budget 2025W'!N264</f>
        <v>0</v>
      </c>
      <c r="H208" s="100">
        <f>+'[1]Budget 2025W'!O264</f>
        <v>0</v>
      </c>
      <c r="I208" s="100">
        <f>+'[1]Budget 2025W'!P264</f>
        <v>0</v>
      </c>
      <c r="J208" s="100">
        <f>+'[1]Budget 2025W'!Q264</f>
        <v>0</v>
      </c>
      <c r="K208" s="100">
        <f>+'[1]Budget 2025W'!R264</f>
        <v>0</v>
      </c>
      <c r="L208" s="100">
        <f>+'[1]Budget 2025W'!S264</f>
        <v>0</v>
      </c>
      <c r="M208" s="100">
        <f>+'[1]Budget 2025W'!T264</f>
        <v>0</v>
      </c>
      <c r="N208" s="100">
        <f>+'[1]Budget 2025W'!U264</f>
        <v>0</v>
      </c>
      <c r="O208" s="100">
        <f>+'[1]Budget 2025W'!V264</f>
        <v>0</v>
      </c>
      <c r="P208" s="131"/>
      <c r="Q208" s="156">
        <f t="shared" si="31"/>
        <v>0</v>
      </c>
    </row>
    <row r="209" spans="3:17" x14ac:dyDescent="0.2">
      <c r="C209" s="153" t="s">
        <v>130</v>
      </c>
      <c r="D209" s="100">
        <f>+'[1]Budget 2025W'!K265</f>
        <v>0</v>
      </c>
      <c r="E209" s="100">
        <f>+'[1]Budget 2025W'!L265</f>
        <v>0</v>
      </c>
      <c r="F209" s="100">
        <f>+'[1]Budget 2025W'!M265</f>
        <v>0</v>
      </c>
      <c r="G209" s="100">
        <f>+'[1]Budget 2025W'!N265</f>
        <v>0</v>
      </c>
      <c r="H209" s="100">
        <f>+'[1]Budget 2025W'!O265</f>
        <v>0</v>
      </c>
      <c r="I209" s="100">
        <f>+'[1]Budget 2025W'!P265</f>
        <v>700</v>
      </c>
      <c r="J209" s="100">
        <f>+'[1]Budget 2025W'!Q265</f>
        <v>700</v>
      </c>
      <c r="K209" s="100">
        <f>+'[1]Budget 2025W'!R265</f>
        <v>700</v>
      </c>
      <c r="L209" s="100">
        <f>+'[1]Budget 2025W'!S265</f>
        <v>700</v>
      </c>
      <c r="M209" s="100">
        <f>+'[1]Budget 2025W'!T265</f>
        <v>700</v>
      </c>
      <c r="N209" s="100">
        <f>+'[1]Budget 2025W'!U265</f>
        <v>700</v>
      </c>
      <c r="O209" s="100">
        <f>+'[1]Budget 2025W'!V265</f>
        <v>700</v>
      </c>
      <c r="P209" s="131"/>
      <c r="Q209" s="156">
        <f t="shared" si="31"/>
        <v>4900</v>
      </c>
    </row>
    <row r="210" spans="3:17" x14ac:dyDescent="0.2">
      <c r="C210" s="153" t="s">
        <v>131</v>
      </c>
      <c r="D210" s="100">
        <f>+'[1]Budget 2025W'!K266</f>
        <v>0</v>
      </c>
      <c r="E210" s="100">
        <f>+'[1]Budget 2025W'!L266</f>
        <v>0</v>
      </c>
      <c r="F210" s="100">
        <f>+'[1]Budget 2025W'!M266</f>
        <v>0</v>
      </c>
      <c r="G210" s="100">
        <f>+'[1]Budget 2025W'!N266</f>
        <v>0</v>
      </c>
      <c r="H210" s="100">
        <f>+'[1]Budget 2025W'!O266</f>
        <v>0</v>
      </c>
      <c r="I210" s="100">
        <f>+'[1]Budget 2025W'!P266</f>
        <v>0</v>
      </c>
      <c r="J210" s="100">
        <f>+'[1]Budget 2025W'!Q266</f>
        <v>0</v>
      </c>
      <c r="K210" s="100">
        <f>+'[1]Budget 2025W'!R266</f>
        <v>0</v>
      </c>
      <c r="L210" s="100">
        <f>+'[1]Budget 2025W'!S266</f>
        <v>0</v>
      </c>
      <c r="M210" s="100">
        <f>+'[1]Budget 2025W'!T266</f>
        <v>0</v>
      </c>
      <c r="N210" s="100">
        <f>+'[1]Budget 2025W'!U266</f>
        <v>0</v>
      </c>
      <c r="O210" s="100">
        <f>+'[1]Budget 2025W'!V266</f>
        <v>0</v>
      </c>
      <c r="P210" s="131"/>
      <c r="Q210" s="156">
        <f t="shared" si="31"/>
        <v>0</v>
      </c>
    </row>
    <row r="211" spans="3:17" x14ac:dyDescent="0.2">
      <c r="C211" s="153" t="s">
        <v>132</v>
      </c>
      <c r="D211" s="100">
        <f>+'[1]Budget 2025W'!K267</f>
        <v>0</v>
      </c>
      <c r="E211" s="100">
        <f>+'[1]Budget 2025W'!L267</f>
        <v>0</v>
      </c>
      <c r="F211" s="100">
        <f>+'[1]Budget 2025W'!M267</f>
        <v>0</v>
      </c>
      <c r="G211" s="100">
        <f>+'[1]Budget 2025W'!N267</f>
        <v>0</v>
      </c>
      <c r="H211" s="100">
        <f>+'[1]Budget 2025W'!O267</f>
        <v>0</v>
      </c>
      <c r="I211" s="100">
        <f>+'[1]Budget 2025W'!P267</f>
        <v>0</v>
      </c>
      <c r="J211" s="100">
        <f>+'[1]Budget 2025W'!Q267</f>
        <v>0</v>
      </c>
      <c r="K211" s="100">
        <f>+'[1]Budget 2025W'!R267</f>
        <v>0</v>
      </c>
      <c r="L211" s="100">
        <f>+'[1]Budget 2025W'!S267</f>
        <v>0</v>
      </c>
      <c r="M211" s="100">
        <f>+'[1]Budget 2025W'!T267</f>
        <v>8000</v>
      </c>
      <c r="N211" s="100">
        <f>+'[1]Budget 2025W'!U267</f>
        <v>0</v>
      </c>
      <c r="O211" s="100">
        <f>+'[1]Budget 2025W'!V267</f>
        <v>0</v>
      </c>
      <c r="P211" s="131"/>
      <c r="Q211" s="156">
        <f t="shared" si="31"/>
        <v>8000</v>
      </c>
    </row>
    <row r="212" spans="3:17" x14ac:dyDescent="0.2">
      <c r="C212" s="153" t="s">
        <v>133</v>
      </c>
      <c r="D212" s="100">
        <f>+'[1]Budget 2025W'!K268</f>
        <v>0</v>
      </c>
      <c r="E212" s="100">
        <f>+'[1]Budget 2025W'!L268</f>
        <v>0</v>
      </c>
      <c r="F212" s="100">
        <f>+'[1]Budget 2025W'!M268</f>
        <v>0</v>
      </c>
      <c r="G212" s="100">
        <f>+'[1]Budget 2025W'!N268</f>
        <v>0</v>
      </c>
      <c r="H212" s="100">
        <f>+'[1]Budget 2025W'!O268</f>
        <v>0</v>
      </c>
      <c r="I212" s="100">
        <f>+'[1]Budget 2025W'!P268</f>
        <v>0</v>
      </c>
      <c r="J212" s="100">
        <f>+'[1]Budget 2025W'!Q268</f>
        <v>0</v>
      </c>
      <c r="K212" s="100">
        <f>+'[1]Budget 2025W'!R268</f>
        <v>0</v>
      </c>
      <c r="L212" s="100">
        <f>+'[1]Budget 2025W'!S268</f>
        <v>0</v>
      </c>
      <c r="M212" s="100">
        <f>+'[1]Budget 2025W'!T268</f>
        <v>0</v>
      </c>
      <c r="N212" s="100">
        <f>+'[1]Budget 2025W'!U268</f>
        <v>0</v>
      </c>
      <c r="O212" s="100">
        <f>+'[1]Budget 2025W'!V268</f>
        <v>0</v>
      </c>
      <c r="P212" s="131"/>
      <c r="Q212" s="156">
        <f t="shared" si="31"/>
        <v>0</v>
      </c>
    </row>
    <row r="213" spans="3:17" x14ac:dyDescent="0.2">
      <c r="C213" s="153" t="s">
        <v>134</v>
      </c>
      <c r="D213" s="100">
        <f>+'[1]Budget 2025W'!K269</f>
        <v>0</v>
      </c>
      <c r="E213" s="100">
        <f>+'[1]Budget 2025W'!L269</f>
        <v>0</v>
      </c>
      <c r="F213" s="100">
        <f>+'[1]Budget 2025W'!M269</f>
        <v>0</v>
      </c>
      <c r="G213" s="100">
        <f>+'[1]Budget 2025W'!N269</f>
        <v>0</v>
      </c>
      <c r="H213" s="100">
        <f>+'[1]Budget 2025W'!O269</f>
        <v>0</v>
      </c>
      <c r="I213" s="100">
        <f>+'[1]Budget 2025W'!P269</f>
        <v>350</v>
      </c>
      <c r="J213" s="100">
        <f>+'[1]Budget 2025W'!Q269</f>
        <v>350</v>
      </c>
      <c r="K213" s="100">
        <f>+'[1]Budget 2025W'!R269</f>
        <v>350</v>
      </c>
      <c r="L213" s="100">
        <f>+'[1]Budget 2025W'!S269</f>
        <v>350</v>
      </c>
      <c r="M213" s="100">
        <f>+'[1]Budget 2025W'!T269</f>
        <v>350</v>
      </c>
      <c r="N213" s="100">
        <f>+'[1]Budget 2025W'!U269</f>
        <v>350</v>
      </c>
      <c r="O213" s="100">
        <f>+'[1]Budget 2025W'!V269</f>
        <v>350</v>
      </c>
      <c r="P213" s="131"/>
      <c r="Q213" s="156">
        <f t="shared" si="31"/>
        <v>2450</v>
      </c>
    </row>
    <row r="214" spans="3:17" x14ac:dyDescent="0.2">
      <c r="C214" s="153" t="s">
        <v>135</v>
      </c>
      <c r="D214" s="100">
        <f>+'[1]Budget 2025W'!K270</f>
        <v>0</v>
      </c>
      <c r="E214" s="100">
        <f>+'[1]Budget 2025W'!L270</f>
        <v>0</v>
      </c>
      <c r="F214" s="100">
        <f>+'[1]Budget 2025W'!M270</f>
        <v>0</v>
      </c>
      <c r="G214" s="100">
        <f>+'[1]Budget 2025W'!N270</f>
        <v>0</v>
      </c>
      <c r="H214" s="100">
        <f>+'[1]Budget 2025W'!O270</f>
        <v>0</v>
      </c>
      <c r="I214" s="100">
        <f>+'[1]Budget 2025W'!P270</f>
        <v>0</v>
      </c>
      <c r="J214" s="100">
        <f>+'[1]Budget 2025W'!Q270</f>
        <v>0</v>
      </c>
      <c r="K214" s="100">
        <f>+'[1]Budget 2025W'!R270</f>
        <v>0</v>
      </c>
      <c r="L214" s="100">
        <f>+'[1]Budget 2025W'!S270</f>
        <v>0</v>
      </c>
      <c r="M214" s="100">
        <f>+'[1]Budget 2025W'!T270</f>
        <v>0</v>
      </c>
      <c r="N214" s="100">
        <f>+'[1]Budget 2025W'!U270</f>
        <v>0</v>
      </c>
      <c r="O214" s="100">
        <f>+'[1]Budget 2025W'!V270</f>
        <v>0</v>
      </c>
      <c r="P214" s="131"/>
      <c r="Q214" s="156">
        <f t="shared" si="31"/>
        <v>0</v>
      </c>
    </row>
    <row r="215" spans="3:17" x14ac:dyDescent="0.2">
      <c r="C215" s="153" t="s">
        <v>136</v>
      </c>
      <c r="D215" s="100">
        <f>+'[1]Budget 2025W'!K271</f>
        <v>0</v>
      </c>
      <c r="E215" s="100">
        <f>+'[1]Budget 2025W'!L271</f>
        <v>0</v>
      </c>
      <c r="F215" s="100">
        <f>+'[1]Budget 2025W'!M271</f>
        <v>0</v>
      </c>
      <c r="G215" s="100">
        <f>+'[1]Budget 2025W'!N271</f>
        <v>0</v>
      </c>
      <c r="H215" s="100">
        <f>+'[1]Budget 2025W'!O271</f>
        <v>0</v>
      </c>
      <c r="I215" s="100">
        <f>+'[1]Budget 2025W'!P271</f>
        <v>70</v>
      </c>
      <c r="J215" s="100">
        <f>+'[1]Budget 2025W'!Q271</f>
        <v>0</v>
      </c>
      <c r="K215" s="100">
        <f>+'[1]Budget 2025W'!R271</f>
        <v>70</v>
      </c>
      <c r="L215" s="100">
        <f>+'[1]Budget 2025W'!S271</f>
        <v>0</v>
      </c>
      <c r="M215" s="100">
        <f>+'[1]Budget 2025W'!T271</f>
        <v>70</v>
      </c>
      <c r="N215" s="100">
        <f>+'[1]Budget 2025W'!U271</f>
        <v>0</v>
      </c>
      <c r="O215" s="100">
        <f>+'[1]Budget 2025W'!V271</f>
        <v>70</v>
      </c>
      <c r="P215" s="131"/>
      <c r="Q215" s="156">
        <f t="shared" si="31"/>
        <v>280</v>
      </c>
    </row>
    <row r="216" spans="3:17" x14ac:dyDescent="0.2">
      <c r="C216" s="153" t="s">
        <v>137</v>
      </c>
      <c r="D216" s="100">
        <f>+'[1]Budget 2025W'!K272</f>
        <v>0</v>
      </c>
      <c r="E216" s="100">
        <f>+'[1]Budget 2025W'!L272</f>
        <v>0</v>
      </c>
      <c r="F216" s="100">
        <f>+'[1]Budget 2025W'!M272</f>
        <v>0</v>
      </c>
      <c r="G216" s="100">
        <f>+'[1]Budget 2025W'!N272</f>
        <v>0</v>
      </c>
      <c r="H216" s="100">
        <f>+'[1]Budget 2025W'!O272</f>
        <v>0</v>
      </c>
      <c r="I216" s="100">
        <f>+'[1]Budget 2025W'!P272</f>
        <v>375</v>
      </c>
      <c r="J216" s="100">
        <f>+'[1]Budget 2025W'!Q272</f>
        <v>375</v>
      </c>
      <c r="K216" s="100">
        <f>+'[1]Budget 2025W'!R272</f>
        <v>375</v>
      </c>
      <c r="L216" s="100">
        <f>+'[1]Budget 2025W'!S272</f>
        <v>375</v>
      </c>
      <c r="M216" s="100">
        <f>+'[1]Budget 2025W'!T272</f>
        <v>375</v>
      </c>
      <c r="N216" s="100">
        <f>+'[1]Budget 2025W'!U272</f>
        <v>375</v>
      </c>
      <c r="O216" s="100">
        <f>+'[1]Budget 2025W'!V272</f>
        <v>375</v>
      </c>
      <c r="P216" s="131"/>
      <c r="Q216" s="156">
        <f t="shared" si="31"/>
        <v>2625</v>
      </c>
    </row>
    <row r="217" spans="3:17" x14ac:dyDescent="0.2">
      <c r="C217" s="153" t="s">
        <v>138</v>
      </c>
      <c r="D217" s="100">
        <f>+'[1]Budget 2025W'!K273</f>
        <v>0</v>
      </c>
      <c r="E217" s="100">
        <f>+'[1]Budget 2025W'!L273</f>
        <v>0</v>
      </c>
      <c r="F217" s="100">
        <f>+'[1]Budget 2025W'!M273</f>
        <v>0</v>
      </c>
      <c r="G217" s="100">
        <f>+'[1]Budget 2025W'!N273</f>
        <v>0</v>
      </c>
      <c r="H217" s="100">
        <f>+'[1]Budget 2025W'!O273</f>
        <v>0</v>
      </c>
      <c r="I217" s="100">
        <f>+'[1]Budget 2025W'!P273</f>
        <v>0</v>
      </c>
      <c r="J217" s="100">
        <f>+'[1]Budget 2025W'!Q273</f>
        <v>0</v>
      </c>
      <c r="K217" s="100">
        <f>+'[1]Budget 2025W'!R273</f>
        <v>0</v>
      </c>
      <c r="L217" s="100">
        <f>+'[1]Budget 2025W'!S273</f>
        <v>0</v>
      </c>
      <c r="M217" s="100">
        <f>+'[1]Budget 2025W'!T273</f>
        <v>0</v>
      </c>
      <c r="N217" s="100">
        <f>+'[1]Budget 2025W'!U273</f>
        <v>0</v>
      </c>
      <c r="O217" s="100">
        <f>+'[1]Budget 2025W'!V273</f>
        <v>0</v>
      </c>
      <c r="P217" s="131"/>
      <c r="Q217" s="156">
        <f t="shared" si="31"/>
        <v>0</v>
      </c>
    </row>
    <row r="218" spans="3:17" x14ac:dyDescent="0.2">
      <c r="C218" s="153" t="s">
        <v>139</v>
      </c>
      <c r="D218" s="100">
        <f>+'[1]Budget 2025W'!K274</f>
        <v>0</v>
      </c>
      <c r="E218" s="100">
        <f>+'[1]Budget 2025W'!L274</f>
        <v>0</v>
      </c>
      <c r="F218" s="100">
        <f>+'[1]Budget 2025W'!M274</f>
        <v>0</v>
      </c>
      <c r="G218" s="100">
        <f>+'[1]Budget 2025W'!N274</f>
        <v>0</v>
      </c>
      <c r="H218" s="100">
        <f>+'[1]Budget 2025W'!O274</f>
        <v>0</v>
      </c>
      <c r="I218" s="100">
        <f>+'[1]Budget 2025W'!P274</f>
        <v>0</v>
      </c>
      <c r="J218" s="100">
        <f>+'[1]Budget 2025W'!Q274</f>
        <v>0</v>
      </c>
      <c r="K218" s="100">
        <f>+'[1]Budget 2025W'!R274</f>
        <v>0</v>
      </c>
      <c r="L218" s="100">
        <f>+'[1]Budget 2025W'!S274</f>
        <v>0</v>
      </c>
      <c r="M218" s="100">
        <f>+'[1]Budget 2025W'!T274</f>
        <v>700</v>
      </c>
      <c r="N218" s="100">
        <f>+'[1]Budget 2025W'!U274</f>
        <v>0</v>
      </c>
      <c r="O218" s="100">
        <f>+'[1]Budget 2025W'!V274</f>
        <v>0</v>
      </c>
      <c r="P218" s="131"/>
      <c r="Q218" s="156">
        <f t="shared" si="31"/>
        <v>700</v>
      </c>
    </row>
    <row r="219" spans="3:17" x14ac:dyDescent="0.2">
      <c r="C219" s="153" t="s">
        <v>140</v>
      </c>
      <c r="D219" s="100">
        <f>+'[1]Budget 2025W'!K275</f>
        <v>0</v>
      </c>
      <c r="E219" s="100">
        <f>+'[1]Budget 2025W'!L275</f>
        <v>0</v>
      </c>
      <c r="F219" s="100">
        <f>+'[1]Budget 2025W'!M275</f>
        <v>0</v>
      </c>
      <c r="G219" s="100">
        <f>+'[1]Budget 2025W'!N275</f>
        <v>0</v>
      </c>
      <c r="H219" s="100">
        <f>+'[1]Budget 2025W'!O275</f>
        <v>0</v>
      </c>
      <c r="I219" s="100">
        <f>+'[1]Budget 2025W'!P275</f>
        <v>120</v>
      </c>
      <c r="J219" s="100">
        <f>+'[1]Budget 2025W'!Q275</f>
        <v>120</v>
      </c>
      <c r="K219" s="100">
        <f>+'[1]Budget 2025W'!R275</f>
        <v>120</v>
      </c>
      <c r="L219" s="100">
        <f>+'[1]Budget 2025W'!S275</f>
        <v>120</v>
      </c>
      <c r="M219" s="100">
        <f>+'[1]Budget 2025W'!T275</f>
        <v>120</v>
      </c>
      <c r="N219" s="100">
        <f>+'[1]Budget 2025W'!U275</f>
        <v>120</v>
      </c>
      <c r="O219" s="100">
        <f>+'[1]Budget 2025W'!V275</f>
        <v>120</v>
      </c>
      <c r="P219" s="131"/>
      <c r="Q219" s="156">
        <f t="shared" si="31"/>
        <v>840</v>
      </c>
    </row>
    <row r="220" spans="3:17" x14ac:dyDescent="0.2">
      <c r="C220" s="153" t="s">
        <v>141</v>
      </c>
      <c r="D220" s="100">
        <f>+'[1]Budget 2025W'!K276</f>
        <v>0</v>
      </c>
      <c r="E220" s="100">
        <f>+'[1]Budget 2025W'!L276</f>
        <v>0</v>
      </c>
      <c r="F220" s="100">
        <f>+'[1]Budget 2025W'!M276</f>
        <v>0</v>
      </c>
      <c r="G220" s="100">
        <f>+'[1]Budget 2025W'!N276</f>
        <v>0</v>
      </c>
      <c r="H220" s="100">
        <f>+'[1]Budget 2025W'!O276</f>
        <v>0</v>
      </c>
      <c r="I220" s="100">
        <f>+'[1]Budget 2025W'!P276</f>
        <v>78.400000000000006</v>
      </c>
      <c r="J220" s="100">
        <f>+'[1]Budget 2025W'!Q276</f>
        <v>78.400000000000006</v>
      </c>
      <c r="K220" s="100">
        <f>+'[1]Budget 2025W'!R276</f>
        <v>78.400000000000006</v>
      </c>
      <c r="L220" s="100">
        <f>+'[1]Budget 2025W'!S276</f>
        <v>78.400000000000006</v>
      </c>
      <c r="M220" s="100">
        <f>+'[1]Budget 2025W'!T276</f>
        <v>78.400000000000006</v>
      </c>
      <c r="N220" s="100">
        <f>+'[1]Budget 2025W'!U276</f>
        <v>78.400000000000006</v>
      </c>
      <c r="O220" s="100">
        <f>+'[1]Budget 2025W'!V276</f>
        <v>78.400000000000006</v>
      </c>
      <c r="P220" s="131"/>
      <c r="Q220" s="156">
        <f t="shared" si="31"/>
        <v>548.79999999999995</v>
      </c>
    </row>
    <row r="221" spans="3:17" x14ac:dyDescent="0.2">
      <c r="C221" s="153" t="s">
        <v>142</v>
      </c>
      <c r="D221" s="100">
        <f>+'[1]Budget 2025W'!K277</f>
        <v>0</v>
      </c>
      <c r="E221" s="100">
        <f>+'[1]Budget 2025W'!L277</f>
        <v>0</v>
      </c>
      <c r="F221" s="100">
        <f>+'[1]Budget 2025W'!M277</f>
        <v>0</v>
      </c>
      <c r="G221" s="100">
        <f>+'[1]Budget 2025W'!N277</f>
        <v>0</v>
      </c>
      <c r="H221" s="100">
        <f>+'[1]Budget 2025W'!O277</f>
        <v>0</v>
      </c>
      <c r="I221" s="100">
        <f>+'[1]Budget 2025W'!P277</f>
        <v>0</v>
      </c>
      <c r="J221" s="100">
        <f>+'[1]Budget 2025W'!Q277</f>
        <v>300</v>
      </c>
      <c r="K221" s="100">
        <f>+'[1]Budget 2025W'!R277</f>
        <v>300</v>
      </c>
      <c r="L221" s="100">
        <f>+'[1]Budget 2025W'!S277</f>
        <v>300</v>
      </c>
      <c r="M221" s="100">
        <f>+'[1]Budget 2025W'!T277</f>
        <v>300</v>
      </c>
      <c r="N221" s="100">
        <f>+'[1]Budget 2025W'!U277</f>
        <v>300</v>
      </c>
      <c r="O221" s="100">
        <f>+'[1]Budget 2025W'!V277</f>
        <v>300</v>
      </c>
      <c r="P221" s="131"/>
      <c r="Q221" s="156">
        <f t="shared" si="31"/>
        <v>1800</v>
      </c>
    </row>
    <row r="222" spans="3:17" x14ac:dyDescent="0.2">
      <c r="C222" s="153" t="s">
        <v>143</v>
      </c>
      <c r="D222" s="100">
        <f>+'[1]Budget 2025W'!K278</f>
        <v>0</v>
      </c>
      <c r="E222" s="100">
        <f>+'[1]Budget 2025W'!L278</f>
        <v>0</v>
      </c>
      <c r="F222" s="100">
        <f>+'[1]Budget 2025W'!M278</f>
        <v>0</v>
      </c>
      <c r="G222" s="100">
        <f>+'[1]Budget 2025W'!N278</f>
        <v>0</v>
      </c>
      <c r="H222" s="100">
        <f>+'[1]Budget 2025W'!O278</f>
        <v>0</v>
      </c>
      <c r="I222" s="100">
        <f>+'[1]Budget 2025W'!P278</f>
        <v>0</v>
      </c>
      <c r="J222" s="100">
        <f>+'[1]Budget 2025W'!Q278</f>
        <v>0</v>
      </c>
      <c r="K222" s="100">
        <f>+'[1]Budget 2025W'!R278</f>
        <v>0</v>
      </c>
      <c r="L222" s="100">
        <f>+'[1]Budget 2025W'!S278</f>
        <v>0</v>
      </c>
      <c r="M222" s="100">
        <f>+'[1]Budget 2025W'!T278</f>
        <v>0</v>
      </c>
      <c r="N222" s="100">
        <f>+'[1]Budget 2025W'!U278</f>
        <v>0</v>
      </c>
      <c r="O222" s="100">
        <f>+'[1]Budget 2025W'!V278</f>
        <v>0</v>
      </c>
      <c r="P222" s="131"/>
      <c r="Q222" s="156">
        <f t="shared" si="31"/>
        <v>0</v>
      </c>
    </row>
    <row r="223" spans="3:17" x14ac:dyDescent="0.2">
      <c r="C223" s="153"/>
      <c r="D223" s="100" t="s">
        <v>39</v>
      </c>
      <c r="E223" s="75"/>
      <c r="F223" s="154"/>
      <c r="G223" s="154"/>
      <c r="H223" s="155"/>
      <c r="I223" s="155"/>
      <c r="J223" s="155"/>
      <c r="K223" s="155"/>
      <c r="L223" s="155"/>
      <c r="M223" s="155"/>
      <c r="N223" s="155"/>
      <c r="O223" s="155"/>
      <c r="P223" s="131"/>
      <c r="Q223" s="156"/>
    </row>
    <row r="224" spans="3:17" x14ac:dyDescent="0.2">
      <c r="C224" s="153"/>
      <c r="D224" s="100" t="s">
        <v>39</v>
      </c>
      <c r="E224" s="75"/>
      <c r="F224" s="154"/>
      <c r="G224" s="154"/>
      <c r="H224" s="155"/>
      <c r="I224" s="155"/>
      <c r="J224" s="155"/>
      <c r="K224" s="155"/>
      <c r="L224" s="155"/>
      <c r="M224" s="155"/>
      <c r="N224" s="155"/>
      <c r="O224" s="155"/>
      <c r="P224" s="131"/>
      <c r="Q224" s="156"/>
    </row>
    <row r="225" spans="2:17" x14ac:dyDescent="0.2">
      <c r="C225" s="153"/>
      <c r="D225" s="100" t="s">
        <v>39</v>
      </c>
      <c r="E225" s="75"/>
      <c r="F225" s="154"/>
      <c r="G225" s="154"/>
      <c r="H225" s="155"/>
      <c r="I225" s="155"/>
      <c r="J225" s="155"/>
      <c r="K225" s="155"/>
      <c r="L225" s="155"/>
      <c r="M225" s="155"/>
      <c r="N225" s="155"/>
      <c r="O225" s="155"/>
      <c r="P225" s="131"/>
      <c r="Q225" s="156"/>
    </row>
    <row r="226" spans="2:17" ht="15.75" thickBot="1" x14ac:dyDescent="0.25">
      <c r="C226" s="153"/>
      <c r="D226" s="100" t="s">
        <v>39</v>
      </c>
      <c r="E226" s="75"/>
      <c r="F226" s="154"/>
      <c r="G226" s="154"/>
      <c r="H226" s="155"/>
      <c r="I226" s="155"/>
      <c r="J226" s="155"/>
      <c r="K226" s="155"/>
      <c r="L226" s="155"/>
      <c r="M226" s="155"/>
      <c r="N226" s="155"/>
      <c r="O226" s="155"/>
      <c r="P226" s="131"/>
      <c r="Q226" s="156"/>
    </row>
    <row r="227" spans="2:17" ht="17.25" thickTop="1" thickBot="1" x14ac:dyDescent="0.3">
      <c r="C227" s="162" t="s">
        <v>144</v>
      </c>
      <c r="D227" s="163">
        <f>+'[1]Budget 2025W'!K283</f>
        <v>0</v>
      </c>
      <c r="E227" s="163">
        <f>+'[1]Budget 2025W'!L283</f>
        <v>0</v>
      </c>
      <c r="F227" s="163">
        <f>+'[1]Budget 2025W'!M283</f>
        <v>0</v>
      </c>
      <c r="G227" s="163">
        <f>+'[1]Budget 2025W'!N283</f>
        <v>0</v>
      </c>
      <c r="H227" s="164">
        <f>+'[1]Budget 2025W'!O283</f>
        <v>0</v>
      </c>
      <c r="I227" s="164">
        <f>+'[1]Budget 2025W'!P283</f>
        <v>10651.160869565218</v>
      </c>
      <c r="J227" s="164">
        <f>+'[1]Budget 2025W'!Q283</f>
        <v>16493.454782608693</v>
      </c>
      <c r="K227" s="164">
        <f>+'[1]Budget 2025W'!R283</f>
        <v>16563.454782608693</v>
      </c>
      <c r="L227" s="164">
        <f>+'[1]Budget 2025W'!S283</f>
        <v>14931.960869565217</v>
      </c>
      <c r="M227" s="164">
        <f>+'[1]Budget 2025W'!T283</f>
        <v>21357.958782608697</v>
      </c>
      <c r="N227" s="164">
        <f>+'[1]Budget 2025W'!U283</f>
        <v>21785.734782608699</v>
      </c>
      <c r="O227" s="164">
        <f>+'[1]Budget 2025W'!V283</f>
        <v>34015.080869565216</v>
      </c>
      <c r="P227" s="131"/>
      <c r="Q227" s="165">
        <f>SUM(D227:O227)</f>
        <v>135798.80573913045</v>
      </c>
    </row>
    <row r="228" spans="2:17" ht="15.75" thickTop="1" x14ac:dyDescent="0.2">
      <c r="C228" s="153"/>
      <c r="D228" s="100" t="s">
        <v>39</v>
      </c>
      <c r="E228" s="75"/>
      <c r="F228" s="154"/>
      <c r="G228" s="154"/>
      <c r="H228" s="155"/>
      <c r="I228" s="155"/>
      <c r="J228" s="155"/>
      <c r="K228" s="155"/>
      <c r="L228" s="155"/>
      <c r="M228" s="155"/>
      <c r="N228" s="155"/>
      <c r="O228" s="155"/>
      <c r="P228" s="131"/>
      <c r="Q228" s="156"/>
    </row>
    <row r="229" spans="2:17" ht="3.95" customHeight="1" thickBot="1" x14ac:dyDescent="0.25">
      <c r="C229" s="172"/>
      <c r="D229" s="177"/>
      <c r="E229" s="173"/>
      <c r="F229" s="174"/>
      <c r="G229" s="174"/>
      <c r="H229" s="175"/>
      <c r="I229" s="175"/>
      <c r="J229" s="175"/>
      <c r="K229" s="175"/>
      <c r="L229" s="175"/>
      <c r="M229" s="175"/>
      <c r="N229" s="175"/>
      <c r="O229" s="175"/>
      <c r="P229" s="131"/>
      <c r="Q229" s="176"/>
    </row>
    <row r="230" spans="2:17" ht="17.25" thickTop="1" thickBot="1" x14ac:dyDescent="0.3">
      <c r="B230" s="141"/>
      <c r="C230" s="178" t="s">
        <v>145</v>
      </c>
      <c r="D230" s="179">
        <f t="shared" ref="D230:O230" si="32">D165-D186-D227</f>
        <v>0</v>
      </c>
      <c r="E230" s="180">
        <f t="shared" si="32"/>
        <v>0</v>
      </c>
      <c r="F230" s="181">
        <f t="shared" si="32"/>
        <v>0</v>
      </c>
      <c r="G230" s="181">
        <f t="shared" si="32"/>
        <v>0</v>
      </c>
      <c r="H230" s="182">
        <f t="shared" si="32"/>
        <v>0</v>
      </c>
      <c r="I230" s="182">
        <f t="shared" si="32"/>
        <v>-661.0456156983455</v>
      </c>
      <c r="J230" s="182">
        <f t="shared" si="32"/>
        <v>12834.37359711534</v>
      </c>
      <c r="K230" s="182">
        <f t="shared" si="32"/>
        <v>12439.727181731298</v>
      </c>
      <c r="L230" s="182">
        <f t="shared" si="32"/>
        <v>3895.867510158816</v>
      </c>
      <c r="M230" s="182">
        <f t="shared" si="32"/>
        <v>-10617.807195192647</v>
      </c>
      <c r="N230" s="182">
        <f t="shared" si="32"/>
        <v>33204.416804807355</v>
      </c>
      <c r="O230" s="182">
        <f t="shared" si="32"/>
        <v>67690.424302466767</v>
      </c>
      <c r="P230" s="131"/>
      <c r="Q230" s="183">
        <f>SUM(D230:O230)</f>
        <v>118785.95658538859</v>
      </c>
    </row>
    <row r="231" spans="2:17" ht="16.5" thickTop="1" thickBot="1" x14ac:dyDescent="0.25">
      <c r="C231" s="184"/>
      <c r="D231" s="185"/>
      <c r="E231" s="186"/>
      <c r="F231" s="187"/>
      <c r="G231" s="187"/>
      <c r="H231" s="188"/>
      <c r="I231" s="188"/>
      <c r="J231" s="188"/>
      <c r="K231" s="188"/>
      <c r="L231" s="188"/>
      <c r="M231" s="188"/>
      <c r="N231" s="188"/>
      <c r="O231" s="188"/>
      <c r="P231" s="131"/>
      <c r="Q231" s="171"/>
    </row>
    <row r="232" spans="2:17" ht="3.95" customHeight="1" thickBot="1" x14ac:dyDescent="0.25">
      <c r="C232" s="172"/>
      <c r="D232" s="173"/>
      <c r="E232" s="173"/>
      <c r="F232" s="174"/>
      <c r="G232" s="174"/>
      <c r="H232" s="175"/>
      <c r="I232" s="175"/>
      <c r="J232" s="175"/>
      <c r="K232" s="175"/>
      <c r="L232" s="175"/>
      <c r="M232" s="175"/>
      <c r="N232" s="175"/>
      <c r="O232" s="175"/>
      <c r="P232" s="131"/>
      <c r="Q232" s="176"/>
    </row>
    <row r="233" spans="2:17" ht="17.25" thickTop="1" thickBot="1" x14ac:dyDescent="0.3">
      <c r="B233" s="141"/>
      <c r="C233" s="142" t="s">
        <v>146</v>
      </c>
      <c r="D233" s="189"/>
      <c r="E233" s="189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31"/>
      <c r="Q233" s="191"/>
    </row>
    <row r="234" spans="2:17" ht="15.75" hidden="1" x14ac:dyDescent="0.25">
      <c r="C234" s="157" t="s">
        <v>26</v>
      </c>
      <c r="D234" s="158"/>
      <c r="E234" s="158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31"/>
      <c r="Q234" s="161"/>
    </row>
    <row r="235" spans="2:17" hidden="1" x14ac:dyDescent="0.2">
      <c r="C235" s="153" t="s">
        <v>147</v>
      </c>
      <c r="D235" s="75">
        <f>+'[1]Budget 2025W'!K289</f>
        <v>0</v>
      </c>
      <c r="E235" s="75">
        <f>+'[1]Budget 2025W'!L289</f>
        <v>0</v>
      </c>
      <c r="F235" s="154">
        <f>+'[1]Budget 2025W'!M289</f>
        <v>0</v>
      </c>
      <c r="G235" s="154">
        <f>+'[1]Budget 2025W'!N289</f>
        <v>0</v>
      </c>
      <c r="H235" s="154">
        <f>+'[1]Budget 2025W'!O289</f>
        <v>0</v>
      </c>
      <c r="I235" s="154">
        <f>+'[1]Budget 2025W'!P289</f>
        <v>0</v>
      </c>
      <c r="J235" s="154">
        <f>+'[1]Budget 2025W'!Q289</f>
        <v>0</v>
      </c>
      <c r="K235" s="154">
        <f>+'[1]Budget 2025W'!R289</f>
        <v>0</v>
      </c>
      <c r="L235" s="154">
        <f>+'[1]Budget 2025W'!S289</f>
        <v>0</v>
      </c>
      <c r="M235" s="154">
        <f>+'[1]Budget 2025W'!T289</f>
        <v>0</v>
      </c>
      <c r="N235" s="154">
        <f>+'[1]Budget 2025W'!U289</f>
        <v>0</v>
      </c>
      <c r="O235" s="154">
        <f>+'[1]Budget 2025W'!V289</f>
        <v>0</v>
      </c>
      <c r="P235" s="131"/>
      <c r="Q235" s="156">
        <f t="shared" ref="Q235:Q259" si="33">SUM(D235:O235)</f>
        <v>0</v>
      </c>
    </row>
    <row r="236" spans="2:17" hidden="1" x14ac:dyDescent="0.2">
      <c r="C236" s="153" t="s">
        <v>147</v>
      </c>
      <c r="D236" s="75">
        <f>+'[1]Budget 2025W'!K290</f>
        <v>0</v>
      </c>
      <c r="E236" s="75">
        <f>+'[1]Budget 2025W'!L290</f>
        <v>0</v>
      </c>
      <c r="F236" s="154">
        <f>+'[1]Budget 2025W'!M290</f>
        <v>0</v>
      </c>
      <c r="G236" s="154">
        <f>+'[1]Budget 2025W'!N290</f>
        <v>0</v>
      </c>
      <c r="H236" s="154">
        <f>+'[1]Budget 2025W'!O290</f>
        <v>0</v>
      </c>
      <c r="I236" s="154">
        <f>+'[1]Budget 2025W'!P290</f>
        <v>0</v>
      </c>
      <c r="J236" s="154">
        <f>+'[1]Budget 2025W'!Q290</f>
        <v>0</v>
      </c>
      <c r="K236" s="154">
        <f>+'[1]Budget 2025W'!R290</f>
        <v>0</v>
      </c>
      <c r="L236" s="154">
        <f>+'[1]Budget 2025W'!S290</f>
        <v>0</v>
      </c>
      <c r="M236" s="154">
        <f>+'[1]Budget 2025W'!T290</f>
        <v>0</v>
      </c>
      <c r="N236" s="154">
        <f>+'[1]Budget 2025W'!U290</f>
        <v>0</v>
      </c>
      <c r="O236" s="154">
        <f>+'[1]Budget 2025W'!V290</f>
        <v>0</v>
      </c>
      <c r="P236" s="131"/>
      <c r="Q236" s="156">
        <f t="shared" si="33"/>
        <v>0</v>
      </c>
    </row>
    <row r="237" spans="2:17" hidden="1" x14ac:dyDescent="0.2">
      <c r="C237" s="153" t="s">
        <v>147</v>
      </c>
      <c r="D237" s="75">
        <f>+'[1]Budget 2025W'!K291</f>
        <v>0</v>
      </c>
      <c r="E237" s="75">
        <f>+'[1]Budget 2025W'!L291</f>
        <v>0</v>
      </c>
      <c r="F237" s="154">
        <f>+'[1]Budget 2025W'!M291</f>
        <v>0</v>
      </c>
      <c r="G237" s="154">
        <f>+'[1]Budget 2025W'!N291</f>
        <v>0</v>
      </c>
      <c r="H237" s="154">
        <f>+'[1]Budget 2025W'!O291</f>
        <v>0</v>
      </c>
      <c r="I237" s="154">
        <f>+'[1]Budget 2025W'!P291</f>
        <v>0</v>
      </c>
      <c r="J237" s="154">
        <f>+'[1]Budget 2025W'!Q291</f>
        <v>0</v>
      </c>
      <c r="K237" s="154">
        <f>+'[1]Budget 2025W'!R291</f>
        <v>0</v>
      </c>
      <c r="L237" s="154">
        <f>+'[1]Budget 2025W'!S291</f>
        <v>0</v>
      </c>
      <c r="M237" s="154">
        <f>+'[1]Budget 2025W'!T291</f>
        <v>0</v>
      </c>
      <c r="N237" s="154">
        <f>+'[1]Budget 2025W'!U291</f>
        <v>0</v>
      </c>
      <c r="O237" s="154">
        <f>+'[1]Budget 2025W'!V291</f>
        <v>0</v>
      </c>
      <c r="P237" s="131"/>
      <c r="Q237" s="156">
        <f t="shared" si="33"/>
        <v>0</v>
      </c>
    </row>
    <row r="238" spans="2:17" hidden="1" x14ac:dyDescent="0.2">
      <c r="C238" s="153" t="s">
        <v>147</v>
      </c>
      <c r="D238" s="75">
        <f>+'[1]Budget 2025W'!K292</f>
        <v>0</v>
      </c>
      <c r="E238" s="75">
        <f>+'[1]Budget 2025W'!L292</f>
        <v>0</v>
      </c>
      <c r="F238" s="154">
        <f>+'[1]Budget 2025W'!M292</f>
        <v>0</v>
      </c>
      <c r="G238" s="154">
        <f>+'[1]Budget 2025W'!N292</f>
        <v>0</v>
      </c>
      <c r="H238" s="154">
        <f>+'[1]Budget 2025W'!O292</f>
        <v>0</v>
      </c>
      <c r="I238" s="154">
        <f>+'[1]Budget 2025W'!P292</f>
        <v>0</v>
      </c>
      <c r="J238" s="154">
        <f>+'[1]Budget 2025W'!Q292</f>
        <v>0</v>
      </c>
      <c r="K238" s="154">
        <f>+'[1]Budget 2025W'!R292</f>
        <v>0</v>
      </c>
      <c r="L238" s="154">
        <f>+'[1]Budget 2025W'!S292</f>
        <v>0</v>
      </c>
      <c r="M238" s="154">
        <f>+'[1]Budget 2025W'!T292</f>
        <v>0</v>
      </c>
      <c r="N238" s="154">
        <f>+'[1]Budget 2025W'!U292</f>
        <v>0</v>
      </c>
      <c r="O238" s="154">
        <f>+'[1]Budget 2025W'!V292</f>
        <v>0</v>
      </c>
      <c r="P238" s="131"/>
      <c r="Q238" s="156">
        <f t="shared" si="33"/>
        <v>0</v>
      </c>
    </row>
    <row r="239" spans="2:17" hidden="1" x14ac:dyDescent="0.2">
      <c r="C239" s="153" t="s">
        <v>148</v>
      </c>
      <c r="D239" s="75">
        <f>+'[1]Budget 2025W'!K293</f>
        <v>0</v>
      </c>
      <c r="E239" s="75">
        <f>+'[1]Budget 2025W'!L293</f>
        <v>0</v>
      </c>
      <c r="F239" s="154">
        <f>+'[1]Budget 2025W'!M293</f>
        <v>0</v>
      </c>
      <c r="G239" s="154">
        <f>+'[1]Budget 2025W'!N293</f>
        <v>0</v>
      </c>
      <c r="H239" s="154">
        <f>+'[1]Budget 2025W'!O293</f>
        <v>0</v>
      </c>
      <c r="I239" s="154">
        <f>+'[1]Budget 2025W'!P293</f>
        <v>0</v>
      </c>
      <c r="J239" s="154">
        <f>+'[1]Budget 2025W'!Q293</f>
        <v>0</v>
      </c>
      <c r="K239" s="154">
        <f>+'[1]Budget 2025W'!R293</f>
        <v>0</v>
      </c>
      <c r="L239" s="154">
        <f>+'[1]Budget 2025W'!S293</f>
        <v>0</v>
      </c>
      <c r="M239" s="154">
        <f>+'[1]Budget 2025W'!T293</f>
        <v>0</v>
      </c>
      <c r="N239" s="154">
        <f>+'[1]Budget 2025W'!U293</f>
        <v>0</v>
      </c>
      <c r="O239" s="154">
        <f>+'[1]Budget 2025W'!V293</f>
        <v>0</v>
      </c>
      <c r="P239" s="131"/>
      <c r="Q239" s="156">
        <f t="shared" si="33"/>
        <v>0</v>
      </c>
    </row>
    <row r="240" spans="2:17" hidden="1" x14ac:dyDescent="0.2">
      <c r="C240" s="153" t="s">
        <v>148</v>
      </c>
      <c r="D240" s="75">
        <f>+'[1]Budget 2025W'!K294</f>
        <v>0</v>
      </c>
      <c r="E240" s="75">
        <f>+'[1]Budget 2025W'!L294</f>
        <v>0</v>
      </c>
      <c r="F240" s="154">
        <f>+'[1]Budget 2025W'!M294</f>
        <v>0</v>
      </c>
      <c r="G240" s="154">
        <f>+'[1]Budget 2025W'!N294</f>
        <v>0</v>
      </c>
      <c r="H240" s="154">
        <f>+'[1]Budget 2025W'!O294</f>
        <v>0</v>
      </c>
      <c r="I240" s="154">
        <f>+'[1]Budget 2025W'!P294</f>
        <v>0</v>
      </c>
      <c r="J240" s="154">
        <f>+'[1]Budget 2025W'!Q294</f>
        <v>0</v>
      </c>
      <c r="K240" s="154">
        <f>+'[1]Budget 2025W'!R294</f>
        <v>0</v>
      </c>
      <c r="L240" s="154">
        <f>+'[1]Budget 2025W'!S294</f>
        <v>0</v>
      </c>
      <c r="M240" s="154">
        <f>+'[1]Budget 2025W'!T294</f>
        <v>0</v>
      </c>
      <c r="N240" s="154">
        <f>+'[1]Budget 2025W'!U294</f>
        <v>0</v>
      </c>
      <c r="O240" s="154">
        <f>+'[1]Budget 2025W'!V294</f>
        <v>0</v>
      </c>
      <c r="P240" s="131"/>
      <c r="Q240" s="156">
        <f t="shared" si="33"/>
        <v>0</v>
      </c>
    </row>
    <row r="241" spans="3:17" hidden="1" x14ac:dyDescent="0.2">
      <c r="C241" s="153" t="s">
        <v>148</v>
      </c>
      <c r="D241" s="75">
        <f>+'[1]Budget 2025W'!K295</f>
        <v>0</v>
      </c>
      <c r="E241" s="75">
        <f>+'[1]Budget 2025W'!L295</f>
        <v>0</v>
      </c>
      <c r="F241" s="154">
        <f>+'[1]Budget 2025W'!M295</f>
        <v>0</v>
      </c>
      <c r="G241" s="154">
        <f>+'[1]Budget 2025W'!N295</f>
        <v>0</v>
      </c>
      <c r="H241" s="154">
        <f>+'[1]Budget 2025W'!O295</f>
        <v>0</v>
      </c>
      <c r="I241" s="154">
        <f>+'[1]Budget 2025W'!P295</f>
        <v>0</v>
      </c>
      <c r="J241" s="154">
        <f>+'[1]Budget 2025W'!Q295</f>
        <v>0</v>
      </c>
      <c r="K241" s="154">
        <f>+'[1]Budget 2025W'!R295</f>
        <v>0</v>
      </c>
      <c r="L241" s="154">
        <f>+'[1]Budget 2025W'!S295</f>
        <v>0</v>
      </c>
      <c r="M241" s="154">
        <f>+'[1]Budget 2025W'!T295</f>
        <v>0</v>
      </c>
      <c r="N241" s="154">
        <f>+'[1]Budget 2025W'!U295</f>
        <v>0</v>
      </c>
      <c r="O241" s="154">
        <f>+'[1]Budget 2025W'!V295</f>
        <v>0</v>
      </c>
      <c r="P241" s="131"/>
      <c r="Q241" s="156">
        <f t="shared" si="33"/>
        <v>0</v>
      </c>
    </row>
    <row r="242" spans="3:17" hidden="1" x14ac:dyDescent="0.2">
      <c r="C242" s="153" t="s">
        <v>148</v>
      </c>
      <c r="D242" s="75">
        <f>+'[1]Budget 2025W'!K296</f>
        <v>0</v>
      </c>
      <c r="E242" s="75">
        <f>+'[1]Budget 2025W'!L296</f>
        <v>0</v>
      </c>
      <c r="F242" s="154">
        <f>+'[1]Budget 2025W'!M296</f>
        <v>0</v>
      </c>
      <c r="G242" s="154">
        <f>+'[1]Budget 2025W'!N296</f>
        <v>0</v>
      </c>
      <c r="H242" s="154">
        <f>+'[1]Budget 2025W'!O296</f>
        <v>0</v>
      </c>
      <c r="I242" s="154">
        <f>+'[1]Budget 2025W'!P296</f>
        <v>0</v>
      </c>
      <c r="J242" s="154">
        <f>+'[1]Budget 2025W'!Q296</f>
        <v>0</v>
      </c>
      <c r="K242" s="154">
        <f>+'[1]Budget 2025W'!R296</f>
        <v>0</v>
      </c>
      <c r="L242" s="154">
        <f>+'[1]Budget 2025W'!S296</f>
        <v>0</v>
      </c>
      <c r="M242" s="154">
        <f>+'[1]Budget 2025W'!T296</f>
        <v>0</v>
      </c>
      <c r="N242" s="154">
        <f>+'[1]Budget 2025W'!U296</f>
        <v>0</v>
      </c>
      <c r="O242" s="154">
        <f>+'[1]Budget 2025W'!V296</f>
        <v>0</v>
      </c>
      <c r="P242" s="131"/>
      <c r="Q242" s="156">
        <f t="shared" si="33"/>
        <v>0</v>
      </c>
    </row>
    <row r="243" spans="3:17" hidden="1" x14ac:dyDescent="0.2">
      <c r="C243" s="153" t="s">
        <v>149</v>
      </c>
      <c r="D243" s="75">
        <f>+'[1]Budget 2025W'!K297</f>
        <v>0</v>
      </c>
      <c r="E243" s="75">
        <f>+'[1]Budget 2025W'!L297</f>
        <v>0</v>
      </c>
      <c r="F243" s="154">
        <f>+'[1]Budget 2025W'!M297</f>
        <v>0</v>
      </c>
      <c r="G243" s="154">
        <f>+'[1]Budget 2025W'!N297</f>
        <v>0</v>
      </c>
      <c r="H243" s="154">
        <f>+'[1]Budget 2025W'!O297</f>
        <v>0</v>
      </c>
      <c r="I243" s="154">
        <f>+'[1]Budget 2025W'!P297</f>
        <v>0</v>
      </c>
      <c r="J243" s="154">
        <f>+'[1]Budget 2025W'!Q297</f>
        <v>0</v>
      </c>
      <c r="K243" s="154">
        <f>+'[1]Budget 2025W'!R297</f>
        <v>0</v>
      </c>
      <c r="L243" s="154">
        <f>+'[1]Budget 2025W'!S297</f>
        <v>0</v>
      </c>
      <c r="M243" s="154">
        <f>+'[1]Budget 2025W'!T297</f>
        <v>0</v>
      </c>
      <c r="N243" s="154">
        <f>+'[1]Budget 2025W'!U297</f>
        <v>0</v>
      </c>
      <c r="O243" s="154">
        <f>+'[1]Budget 2025W'!V297</f>
        <v>0</v>
      </c>
      <c r="P243" s="131"/>
      <c r="Q243" s="156">
        <f t="shared" si="33"/>
        <v>0</v>
      </c>
    </row>
    <row r="244" spans="3:17" hidden="1" x14ac:dyDescent="0.2">
      <c r="C244" s="153" t="s">
        <v>149</v>
      </c>
      <c r="D244" s="75">
        <f>+'[1]Budget 2025W'!K298</f>
        <v>0</v>
      </c>
      <c r="E244" s="75">
        <f>+'[1]Budget 2025W'!L298</f>
        <v>0</v>
      </c>
      <c r="F244" s="154">
        <f>+'[1]Budget 2025W'!M298</f>
        <v>0</v>
      </c>
      <c r="G244" s="154">
        <f>+'[1]Budget 2025W'!N298</f>
        <v>0</v>
      </c>
      <c r="H244" s="154">
        <f>+'[1]Budget 2025W'!O298</f>
        <v>0</v>
      </c>
      <c r="I244" s="154">
        <f>+'[1]Budget 2025W'!P298</f>
        <v>0</v>
      </c>
      <c r="J244" s="154">
        <f>+'[1]Budget 2025W'!Q298</f>
        <v>0</v>
      </c>
      <c r="K244" s="154">
        <f>+'[1]Budget 2025W'!R298</f>
        <v>0</v>
      </c>
      <c r="L244" s="154">
        <f>+'[1]Budget 2025W'!S298</f>
        <v>0</v>
      </c>
      <c r="M244" s="154">
        <f>+'[1]Budget 2025W'!T298</f>
        <v>0</v>
      </c>
      <c r="N244" s="154">
        <f>+'[1]Budget 2025W'!U298</f>
        <v>0</v>
      </c>
      <c r="O244" s="154">
        <f>+'[1]Budget 2025W'!V298</f>
        <v>0</v>
      </c>
      <c r="P244" s="131"/>
      <c r="Q244" s="156">
        <f t="shared" si="33"/>
        <v>0</v>
      </c>
    </row>
    <row r="245" spans="3:17" hidden="1" x14ac:dyDescent="0.2">
      <c r="C245" s="153" t="s">
        <v>149</v>
      </c>
      <c r="D245" s="75">
        <f>+'[1]Budget 2025W'!K299</f>
        <v>0</v>
      </c>
      <c r="E245" s="75">
        <f>+'[1]Budget 2025W'!L299</f>
        <v>0</v>
      </c>
      <c r="F245" s="154">
        <f>+'[1]Budget 2025W'!M299</f>
        <v>0</v>
      </c>
      <c r="G245" s="154">
        <f>+'[1]Budget 2025W'!N299</f>
        <v>0</v>
      </c>
      <c r="H245" s="154">
        <f>+'[1]Budget 2025W'!O299</f>
        <v>0</v>
      </c>
      <c r="I245" s="154">
        <f>+'[1]Budget 2025W'!P299</f>
        <v>0</v>
      </c>
      <c r="J245" s="154">
        <f>+'[1]Budget 2025W'!Q299</f>
        <v>0</v>
      </c>
      <c r="K245" s="154">
        <f>+'[1]Budget 2025W'!R299</f>
        <v>0</v>
      </c>
      <c r="L245" s="154">
        <f>+'[1]Budget 2025W'!S299</f>
        <v>0</v>
      </c>
      <c r="M245" s="154">
        <f>+'[1]Budget 2025W'!T299</f>
        <v>0</v>
      </c>
      <c r="N245" s="154">
        <f>+'[1]Budget 2025W'!U299</f>
        <v>0</v>
      </c>
      <c r="O245" s="154">
        <f>+'[1]Budget 2025W'!V299</f>
        <v>0</v>
      </c>
      <c r="P245" s="131"/>
      <c r="Q245" s="156">
        <f t="shared" si="33"/>
        <v>0</v>
      </c>
    </row>
    <row r="246" spans="3:17" hidden="1" x14ac:dyDescent="0.2">
      <c r="C246" s="153" t="s">
        <v>149</v>
      </c>
      <c r="D246" s="75">
        <f>+'[1]Budget 2025W'!K300</f>
        <v>0</v>
      </c>
      <c r="E246" s="75">
        <f>+'[1]Budget 2025W'!L300</f>
        <v>0</v>
      </c>
      <c r="F246" s="154">
        <f>+'[1]Budget 2025W'!M300</f>
        <v>0</v>
      </c>
      <c r="G246" s="154">
        <f>+'[1]Budget 2025W'!N300</f>
        <v>0</v>
      </c>
      <c r="H246" s="154">
        <f>+'[1]Budget 2025W'!O300</f>
        <v>0</v>
      </c>
      <c r="I246" s="154">
        <f>+'[1]Budget 2025W'!P300</f>
        <v>0</v>
      </c>
      <c r="J246" s="154">
        <f>+'[1]Budget 2025W'!Q300</f>
        <v>0</v>
      </c>
      <c r="K246" s="154">
        <f>+'[1]Budget 2025W'!R300</f>
        <v>0</v>
      </c>
      <c r="L246" s="154">
        <f>+'[1]Budget 2025W'!S300</f>
        <v>0</v>
      </c>
      <c r="M246" s="154">
        <f>+'[1]Budget 2025W'!T300</f>
        <v>0</v>
      </c>
      <c r="N246" s="154">
        <f>+'[1]Budget 2025W'!U300</f>
        <v>0</v>
      </c>
      <c r="O246" s="154">
        <f>+'[1]Budget 2025W'!V300</f>
        <v>0</v>
      </c>
      <c r="P246" s="131"/>
      <c r="Q246" s="156">
        <f t="shared" si="33"/>
        <v>0</v>
      </c>
    </row>
    <row r="247" spans="3:17" hidden="1" x14ac:dyDescent="0.2">
      <c r="C247" s="153" t="s">
        <v>150</v>
      </c>
      <c r="D247" s="75">
        <f>+'[1]Budget 2025W'!K301</f>
        <v>0</v>
      </c>
      <c r="E247" s="75">
        <f>+'[1]Budget 2025W'!L301</f>
        <v>0</v>
      </c>
      <c r="F247" s="154">
        <f>+'[1]Budget 2025W'!M301</f>
        <v>0</v>
      </c>
      <c r="G247" s="154">
        <f>+'[1]Budget 2025W'!N301</f>
        <v>0</v>
      </c>
      <c r="H247" s="154">
        <f>+'[1]Budget 2025W'!O301</f>
        <v>0</v>
      </c>
      <c r="I247" s="154">
        <f>+'[1]Budget 2025W'!P301</f>
        <v>0</v>
      </c>
      <c r="J247" s="154">
        <f>+'[1]Budget 2025W'!Q301</f>
        <v>0</v>
      </c>
      <c r="K247" s="154">
        <f>+'[1]Budget 2025W'!R301</f>
        <v>0</v>
      </c>
      <c r="L247" s="154">
        <f>+'[1]Budget 2025W'!S301</f>
        <v>0</v>
      </c>
      <c r="M247" s="154">
        <f>+'[1]Budget 2025W'!T301</f>
        <v>0</v>
      </c>
      <c r="N247" s="154">
        <f>+'[1]Budget 2025W'!U301</f>
        <v>0</v>
      </c>
      <c r="O247" s="154">
        <f>+'[1]Budget 2025W'!V301</f>
        <v>0</v>
      </c>
      <c r="P247" s="131"/>
      <c r="Q247" s="156">
        <f t="shared" si="33"/>
        <v>0</v>
      </c>
    </row>
    <row r="248" spans="3:17" hidden="1" x14ac:dyDescent="0.2">
      <c r="C248" s="153" t="s">
        <v>150</v>
      </c>
      <c r="D248" s="75">
        <f>+'[1]Budget 2025W'!K302</f>
        <v>0</v>
      </c>
      <c r="E248" s="75">
        <f>+'[1]Budget 2025W'!L302</f>
        <v>0</v>
      </c>
      <c r="F248" s="154">
        <f>+'[1]Budget 2025W'!M302</f>
        <v>0</v>
      </c>
      <c r="G248" s="154">
        <f>+'[1]Budget 2025W'!N302</f>
        <v>0</v>
      </c>
      <c r="H248" s="154">
        <f>+'[1]Budget 2025W'!O302</f>
        <v>0</v>
      </c>
      <c r="I248" s="154">
        <f>+'[1]Budget 2025W'!P302</f>
        <v>0</v>
      </c>
      <c r="J248" s="154">
        <f>+'[1]Budget 2025W'!Q302</f>
        <v>0</v>
      </c>
      <c r="K248" s="154">
        <f>+'[1]Budget 2025W'!R302</f>
        <v>0</v>
      </c>
      <c r="L248" s="154">
        <f>+'[1]Budget 2025W'!S302</f>
        <v>0</v>
      </c>
      <c r="M248" s="154">
        <f>+'[1]Budget 2025W'!T302</f>
        <v>0</v>
      </c>
      <c r="N248" s="154">
        <f>+'[1]Budget 2025W'!U302</f>
        <v>0</v>
      </c>
      <c r="O248" s="154">
        <f>+'[1]Budget 2025W'!V302</f>
        <v>0</v>
      </c>
      <c r="P248" s="131"/>
      <c r="Q248" s="156">
        <f t="shared" si="33"/>
        <v>0</v>
      </c>
    </row>
    <row r="249" spans="3:17" hidden="1" x14ac:dyDescent="0.2">
      <c r="C249" s="153" t="s">
        <v>150</v>
      </c>
      <c r="D249" s="75">
        <f>+'[1]Budget 2025W'!K303</f>
        <v>0</v>
      </c>
      <c r="E249" s="75">
        <f>+'[1]Budget 2025W'!L303</f>
        <v>0</v>
      </c>
      <c r="F249" s="154">
        <f>+'[1]Budget 2025W'!M303</f>
        <v>0</v>
      </c>
      <c r="G249" s="154">
        <f>+'[1]Budget 2025W'!N303</f>
        <v>0</v>
      </c>
      <c r="H249" s="154">
        <f>+'[1]Budget 2025W'!O303</f>
        <v>0</v>
      </c>
      <c r="I249" s="154">
        <f>+'[1]Budget 2025W'!P303</f>
        <v>0</v>
      </c>
      <c r="J249" s="154">
        <f>+'[1]Budget 2025W'!Q303</f>
        <v>0</v>
      </c>
      <c r="K249" s="154">
        <f>+'[1]Budget 2025W'!R303</f>
        <v>0</v>
      </c>
      <c r="L249" s="154">
        <f>+'[1]Budget 2025W'!S303</f>
        <v>0</v>
      </c>
      <c r="M249" s="154">
        <f>+'[1]Budget 2025W'!T303</f>
        <v>0</v>
      </c>
      <c r="N249" s="154">
        <f>+'[1]Budget 2025W'!U303</f>
        <v>0</v>
      </c>
      <c r="O249" s="154">
        <f>+'[1]Budget 2025W'!V303</f>
        <v>0</v>
      </c>
      <c r="P249" s="131"/>
      <c r="Q249" s="156">
        <f t="shared" si="33"/>
        <v>0</v>
      </c>
    </row>
    <row r="250" spans="3:17" hidden="1" x14ac:dyDescent="0.2">
      <c r="C250" s="153" t="s">
        <v>150</v>
      </c>
      <c r="D250" s="75">
        <f>+'[1]Budget 2025W'!K304</f>
        <v>0</v>
      </c>
      <c r="E250" s="75">
        <f>+'[1]Budget 2025W'!L304</f>
        <v>0</v>
      </c>
      <c r="F250" s="154">
        <f>+'[1]Budget 2025W'!M304</f>
        <v>0</v>
      </c>
      <c r="G250" s="154">
        <f>+'[1]Budget 2025W'!N304</f>
        <v>0</v>
      </c>
      <c r="H250" s="154">
        <f>+'[1]Budget 2025W'!O304</f>
        <v>0</v>
      </c>
      <c r="I250" s="154">
        <f>+'[1]Budget 2025W'!P304</f>
        <v>0</v>
      </c>
      <c r="J250" s="154">
        <f>+'[1]Budget 2025W'!Q304</f>
        <v>0</v>
      </c>
      <c r="K250" s="154">
        <f>+'[1]Budget 2025W'!R304</f>
        <v>0</v>
      </c>
      <c r="L250" s="154">
        <f>+'[1]Budget 2025W'!S304</f>
        <v>0</v>
      </c>
      <c r="M250" s="154">
        <f>+'[1]Budget 2025W'!T304</f>
        <v>0</v>
      </c>
      <c r="N250" s="154">
        <f>+'[1]Budget 2025W'!U304</f>
        <v>0</v>
      </c>
      <c r="O250" s="154">
        <f>+'[1]Budget 2025W'!V304</f>
        <v>0</v>
      </c>
      <c r="P250" s="131"/>
      <c r="Q250" s="156">
        <f t="shared" si="33"/>
        <v>0</v>
      </c>
    </row>
    <row r="251" spans="3:17" hidden="1" x14ac:dyDescent="0.2">
      <c r="C251" s="153" t="s">
        <v>151</v>
      </c>
      <c r="D251" s="75">
        <f>+'[1]Budget 2025W'!K305</f>
        <v>0</v>
      </c>
      <c r="E251" s="75">
        <f>+'[1]Budget 2025W'!L305</f>
        <v>0</v>
      </c>
      <c r="F251" s="154">
        <f>+'[1]Budget 2025W'!M305</f>
        <v>0</v>
      </c>
      <c r="G251" s="154">
        <f>+'[1]Budget 2025W'!N305</f>
        <v>0</v>
      </c>
      <c r="H251" s="154">
        <f>+'[1]Budget 2025W'!O305</f>
        <v>0</v>
      </c>
      <c r="I251" s="154">
        <f>+'[1]Budget 2025W'!P305</f>
        <v>0</v>
      </c>
      <c r="J251" s="154">
        <f>+'[1]Budget 2025W'!Q305</f>
        <v>0</v>
      </c>
      <c r="K251" s="154">
        <f>+'[1]Budget 2025W'!R305</f>
        <v>0</v>
      </c>
      <c r="L251" s="154">
        <f>+'[1]Budget 2025W'!S305</f>
        <v>0</v>
      </c>
      <c r="M251" s="154">
        <f>+'[1]Budget 2025W'!T305</f>
        <v>0</v>
      </c>
      <c r="N251" s="154">
        <f>+'[1]Budget 2025W'!U305</f>
        <v>0</v>
      </c>
      <c r="O251" s="154">
        <f>+'[1]Budget 2025W'!V305</f>
        <v>0</v>
      </c>
      <c r="P251" s="131"/>
      <c r="Q251" s="156">
        <f t="shared" si="33"/>
        <v>0</v>
      </c>
    </row>
    <row r="252" spans="3:17" hidden="1" x14ac:dyDescent="0.2">
      <c r="C252" s="153" t="s">
        <v>151</v>
      </c>
      <c r="D252" s="75">
        <f>+'[1]Budget 2025W'!K306</f>
        <v>0</v>
      </c>
      <c r="E252" s="75">
        <f>+'[1]Budget 2025W'!L306</f>
        <v>0</v>
      </c>
      <c r="F252" s="154">
        <f>+'[1]Budget 2025W'!M306</f>
        <v>0</v>
      </c>
      <c r="G252" s="154">
        <f>+'[1]Budget 2025W'!N306</f>
        <v>0</v>
      </c>
      <c r="H252" s="154">
        <f>+'[1]Budget 2025W'!O306</f>
        <v>0</v>
      </c>
      <c r="I252" s="154">
        <f>+'[1]Budget 2025W'!P306</f>
        <v>0</v>
      </c>
      <c r="J252" s="154">
        <f>+'[1]Budget 2025W'!Q306</f>
        <v>0</v>
      </c>
      <c r="K252" s="154">
        <f>+'[1]Budget 2025W'!R306</f>
        <v>0</v>
      </c>
      <c r="L252" s="154">
        <f>+'[1]Budget 2025W'!S306</f>
        <v>0</v>
      </c>
      <c r="M252" s="154">
        <f>+'[1]Budget 2025W'!T306</f>
        <v>0</v>
      </c>
      <c r="N252" s="154">
        <f>+'[1]Budget 2025W'!U306</f>
        <v>0</v>
      </c>
      <c r="O252" s="154">
        <f>+'[1]Budget 2025W'!V306</f>
        <v>0</v>
      </c>
      <c r="P252" s="131"/>
      <c r="Q252" s="156">
        <f t="shared" si="33"/>
        <v>0</v>
      </c>
    </row>
    <row r="253" spans="3:17" hidden="1" x14ac:dyDescent="0.2">
      <c r="C253" s="153" t="s">
        <v>151</v>
      </c>
      <c r="D253" s="75">
        <f>+'[1]Budget 2025W'!K307</f>
        <v>0</v>
      </c>
      <c r="E253" s="75">
        <f>+'[1]Budget 2025W'!L307</f>
        <v>0</v>
      </c>
      <c r="F253" s="154">
        <f>+'[1]Budget 2025W'!M307</f>
        <v>0</v>
      </c>
      <c r="G253" s="154">
        <f>+'[1]Budget 2025W'!N307</f>
        <v>0</v>
      </c>
      <c r="H253" s="154">
        <f>+'[1]Budget 2025W'!O307</f>
        <v>0</v>
      </c>
      <c r="I253" s="154">
        <f>+'[1]Budget 2025W'!P307</f>
        <v>0</v>
      </c>
      <c r="J253" s="154">
        <f>+'[1]Budget 2025W'!Q307</f>
        <v>0</v>
      </c>
      <c r="K253" s="154">
        <f>+'[1]Budget 2025W'!R307</f>
        <v>0</v>
      </c>
      <c r="L253" s="154">
        <f>+'[1]Budget 2025W'!S307</f>
        <v>0</v>
      </c>
      <c r="M253" s="154">
        <f>+'[1]Budget 2025W'!T307</f>
        <v>0</v>
      </c>
      <c r="N253" s="154">
        <f>+'[1]Budget 2025W'!U307</f>
        <v>0</v>
      </c>
      <c r="O253" s="154">
        <f>+'[1]Budget 2025W'!V307</f>
        <v>0</v>
      </c>
      <c r="P253" s="131"/>
      <c r="Q253" s="156">
        <f t="shared" si="33"/>
        <v>0</v>
      </c>
    </row>
    <row r="254" spans="3:17" hidden="1" x14ac:dyDescent="0.2">
      <c r="C254" s="153" t="s">
        <v>151</v>
      </c>
      <c r="D254" s="75">
        <f>+'[1]Budget 2025W'!K308</f>
        <v>0</v>
      </c>
      <c r="E254" s="75">
        <f>+'[1]Budget 2025W'!L308</f>
        <v>0</v>
      </c>
      <c r="F254" s="154">
        <f>+'[1]Budget 2025W'!M308</f>
        <v>0</v>
      </c>
      <c r="G254" s="154">
        <f>+'[1]Budget 2025W'!N308</f>
        <v>0</v>
      </c>
      <c r="H254" s="154">
        <f>+'[1]Budget 2025W'!O308</f>
        <v>0</v>
      </c>
      <c r="I254" s="154">
        <f>+'[1]Budget 2025W'!P308</f>
        <v>0</v>
      </c>
      <c r="J254" s="154">
        <f>+'[1]Budget 2025W'!Q308</f>
        <v>0</v>
      </c>
      <c r="K254" s="154">
        <f>+'[1]Budget 2025W'!R308</f>
        <v>0</v>
      </c>
      <c r="L254" s="154">
        <f>+'[1]Budget 2025W'!S308</f>
        <v>0</v>
      </c>
      <c r="M254" s="154">
        <f>+'[1]Budget 2025W'!T308</f>
        <v>0</v>
      </c>
      <c r="N254" s="154">
        <f>+'[1]Budget 2025W'!U308</f>
        <v>0</v>
      </c>
      <c r="O254" s="154">
        <f>+'[1]Budget 2025W'!V308</f>
        <v>0</v>
      </c>
      <c r="P254" s="131"/>
      <c r="Q254" s="156">
        <f t="shared" si="33"/>
        <v>0</v>
      </c>
    </row>
    <row r="255" spans="3:17" hidden="1" x14ac:dyDescent="0.2">
      <c r="C255" s="153" t="s">
        <v>152</v>
      </c>
      <c r="D255" s="75">
        <f>+'[1]Budget 2025W'!K309</f>
        <v>0</v>
      </c>
      <c r="E255" s="75">
        <f>+'[1]Budget 2025W'!L309</f>
        <v>0</v>
      </c>
      <c r="F255" s="154">
        <f>+'[1]Budget 2025W'!M309</f>
        <v>0</v>
      </c>
      <c r="G255" s="154">
        <f>+'[1]Budget 2025W'!N309</f>
        <v>0</v>
      </c>
      <c r="H255" s="154">
        <f>+'[1]Budget 2025W'!O309</f>
        <v>0</v>
      </c>
      <c r="I255" s="154">
        <f>+'[1]Budget 2025W'!P309</f>
        <v>0</v>
      </c>
      <c r="J255" s="154">
        <f>+'[1]Budget 2025W'!Q309</f>
        <v>0</v>
      </c>
      <c r="K255" s="154">
        <f>+'[1]Budget 2025W'!R309</f>
        <v>0</v>
      </c>
      <c r="L255" s="154">
        <f>+'[1]Budget 2025W'!S309</f>
        <v>0</v>
      </c>
      <c r="M255" s="154">
        <f>+'[1]Budget 2025W'!T309</f>
        <v>0</v>
      </c>
      <c r="N255" s="154">
        <f>+'[1]Budget 2025W'!U309</f>
        <v>0</v>
      </c>
      <c r="O255" s="154">
        <f>+'[1]Budget 2025W'!V309</f>
        <v>0</v>
      </c>
      <c r="P255" s="131"/>
      <c r="Q255" s="156">
        <f t="shared" si="33"/>
        <v>0</v>
      </c>
    </row>
    <row r="256" spans="3:17" hidden="1" x14ac:dyDescent="0.2">
      <c r="C256" s="153" t="s">
        <v>152</v>
      </c>
      <c r="D256" s="75">
        <f>+'[1]Budget 2025W'!K310</f>
        <v>0</v>
      </c>
      <c r="E256" s="75">
        <f>+'[1]Budget 2025W'!L310</f>
        <v>0</v>
      </c>
      <c r="F256" s="154">
        <f>+'[1]Budget 2025W'!M310</f>
        <v>0</v>
      </c>
      <c r="G256" s="154">
        <f>+'[1]Budget 2025W'!N310</f>
        <v>0</v>
      </c>
      <c r="H256" s="154">
        <f>+'[1]Budget 2025W'!O310</f>
        <v>0</v>
      </c>
      <c r="I256" s="154">
        <f>+'[1]Budget 2025W'!P310</f>
        <v>0</v>
      </c>
      <c r="J256" s="154">
        <f>+'[1]Budget 2025W'!Q310</f>
        <v>0</v>
      </c>
      <c r="K256" s="154">
        <f>+'[1]Budget 2025W'!R310</f>
        <v>0</v>
      </c>
      <c r="L256" s="154">
        <f>+'[1]Budget 2025W'!S310</f>
        <v>0</v>
      </c>
      <c r="M256" s="154">
        <f>+'[1]Budget 2025W'!T310</f>
        <v>0</v>
      </c>
      <c r="N256" s="154">
        <f>+'[1]Budget 2025W'!U310</f>
        <v>0</v>
      </c>
      <c r="O256" s="154">
        <f>+'[1]Budget 2025W'!V310</f>
        <v>0</v>
      </c>
      <c r="P256" s="131"/>
      <c r="Q256" s="156">
        <f t="shared" si="33"/>
        <v>0</v>
      </c>
    </row>
    <row r="257" spans="3:17" hidden="1" x14ac:dyDescent="0.2">
      <c r="C257" s="153" t="s">
        <v>152</v>
      </c>
      <c r="D257" s="75">
        <f>+'[1]Budget 2025W'!K311</f>
        <v>0</v>
      </c>
      <c r="E257" s="75">
        <f>+'[1]Budget 2025W'!L311</f>
        <v>0</v>
      </c>
      <c r="F257" s="154">
        <f>+'[1]Budget 2025W'!M311</f>
        <v>0</v>
      </c>
      <c r="G257" s="154">
        <f>+'[1]Budget 2025W'!N311</f>
        <v>0</v>
      </c>
      <c r="H257" s="154">
        <f>+'[1]Budget 2025W'!O311</f>
        <v>0</v>
      </c>
      <c r="I257" s="154">
        <f>+'[1]Budget 2025W'!P311</f>
        <v>0</v>
      </c>
      <c r="J257" s="154">
        <f>+'[1]Budget 2025W'!Q311</f>
        <v>0</v>
      </c>
      <c r="K257" s="154">
        <f>+'[1]Budget 2025W'!R311</f>
        <v>0</v>
      </c>
      <c r="L257" s="154">
        <f>+'[1]Budget 2025W'!S311</f>
        <v>0</v>
      </c>
      <c r="M257" s="154">
        <f>+'[1]Budget 2025W'!T311</f>
        <v>0</v>
      </c>
      <c r="N257" s="154">
        <f>+'[1]Budget 2025W'!U311</f>
        <v>0</v>
      </c>
      <c r="O257" s="154">
        <f>+'[1]Budget 2025W'!V311</f>
        <v>0</v>
      </c>
      <c r="P257" s="131"/>
      <c r="Q257" s="156">
        <f t="shared" si="33"/>
        <v>0</v>
      </c>
    </row>
    <row r="258" spans="3:17" hidden="1" x14ac:dyDescent="0.2">
      <c r="C258" s="153" t="s">
        <v>152</v>
      </c>
      <c r="D258" s="75">
        <f>+'[1]Budget 2025W'!K312</f>
        <v>0</v>
      </c>
      <c r="E258" s="75">
        <f>+'[1]Budget 2025W'!L312</f>
        <v>0</v>
      </c>
      <c r="F258" s="154">
        <f>+'[1]Budget 2025W'!M312</f>
        <v>0</v>
      </c>
      <c r="G258" s="154">
        <f>+'[1]Budget 2025W'!N312</f>
        <v>0</v>
      </c>
      <c r="H258" s="154">
        <f>+'[1]Budget 2025W'!O312</f>
        <v>0</v>
      </c>
      <c r="I258" s="154">
        <f>+'[1]Budget 2025W'!P312</f>
        <v>0</v>
      </c>
      <c r="J258" s="154">
        <f>+'[1]Budget 2025W'!Q312</f>
        <v>0</v>
      </c>
      <c r="K258" s="154">
        <f>+'[1]Budget 2025W'!R312</f>
        <v>0</v>
      </c>
      <c r="L258" s="154">
        <f>+'[1]Budget 2025W'!S312</f>
        <v>0</v>
      </c>
      <c r="M258" s="154">
        <f>+'[1]Budget 2025W'!T312</f>
        <v>0</v>
      </c>
      <c r="N258" s="154">
        <f>+'[1]Budget 2025W'!U312</f>
        <v>0</v>
      </c>
      <c r="O258" s="154">
        <f>+'[1]Budget 2025W'!V312</f>
        <v>0</v>
      </c>
      <c r="P258" s="131"/>
      <c r="Q258" s="156">
        <f t="shared" si="33"/>
        <v>0</v>
      </c>
    </row>
    <row r="259" spans="3:17" ht="17.25" hidden="1" thickTop="1" thickBot="1" x14ac:dyDescent="0.3">
      <c r="C259" s="192" t="s">
        <v>153</v>
      </c>
      <c r="D259" s="193">
        <f>+'[1]Budget 2025W'!K315</f>
        <v>0</v>
      </c>
      <c r="E259" s="193">
        <f>+'[1]Budget 2025W'!L315</f>
        <v>0</v>
      </c>
      <c r="F259" s="194">
        <f>+'[1]Budget 2025W'!M315</f>
        <v>0</v>
      </c>
      <c r="G259" s="194">
        <f>+'[1]Budget 2025W'!N315</f>
        <v>0</v>
      </c>
      <c r="H259" s="194">
        <f>+'[1]Budget 2025W'!O315</f>
        <v>0</v>
      </c>
      <c r="I259" s="194">
        <f>+'[1]Budget 2025W'!P315</f>
        <v>0</v>
      </c>
      <c r="J259" s="194">
        <f>+'[1]Budget 2025W'!Q315</f>
        <v>0</v>
      </c>
      <c r="K259" s="194">
        <f>+'[1]Budget 2025W'!R315</f>
        <v>0</v>
      </c>
      <c r="L259" s="194">
        <f>+'[1]Budget 2025W'!S315</f>
        <v>0</v>
      </c>
      <c r="M259" s="194">
        <f>+'[1]Budget 2025W'!T315</f>
        <v>0</v>
      </c>
      <c r="N259" s="194">
        <f>+'[1]Budget 2025W'!U315</f>
        <v>0</v>
      </c>
      <c r="O259" s="194">
        <f>+'[1]Budget 2025W'!V315</f>
        <v>0</v>
      </c>
      <c r="P259" s="131"/>
      <c r="Q259" s="165">
        <f t="shared" si="33"/>
        <v>0</v>
      </c>
    </row>
    <row r="260" spans="3:17" ht="15.75" hidden="1" x14ac:dyDescent="0.25">
      <c r="C260" s="195" t="s">
        <v>154</v>
      </c>
      <c r="D260" s="196"/>
      <c r="E260" s="196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31"/>
      <c r="Q260" s="161"/>
    </row>
    <row r="261" spans="3:17" hidden="1" x14ac:dyDescent="0.2">
      <c r="C261" s="153" t="s">
        <v>155</v>
      </c>
      <c r="D261" s="75">
        <f>+'[1]Budget 2025W'!K318</f>
        <v>0</v>
      </c>
      <c r="E261" s="75">
        <f>+'[1]Budget 2025W'!L318</f>
        <v>0</v>
      </c>
      <c r="F261" s="154">
        <f>+'[1]Budget 2025W'!M318</f>
        <v>0</v>
      </c>
      <c r="G261" s="154">
        <f>+'[1]Budget 2025W'!N318</f>
        <v>0</v>
      </c>
      <c r="H261" s="154">
        <f>+'[1]Budget 2025W'!O318</f>
        <v>0</v>
      </c>
      <c r="I261" s="154">
        <f>+'[1]Budget 2025W'!P318</f>
        <v>0</v>
      </c>
      <c r="J261" s="154">
        <f>+'[1]Budget 2025W'!Q318</f>
        <v>0</v>
      </c>
      <c r="K261" s="154">
        <f>+'[1]Budget 2025W'!R318</f>
        <v>0</v>
      </c>
      <c r="L261" s="154">
        <f>+'[1]Budget 2025W'!S318</f>
        <v>0</v>
      </c>
      <c r="M261" s="154">
        <f>+'[1]Budget 2025W'!T318</f>
        <v>0</v>
      </c>
      <c r="N261" s="154">
        <f>+'[1]Budget 2025W'!U318</f>
        <v>0</v>
      </c>
      <c r="O261" s="154">
        <f>+'[1]Budget 2025W'!V318</f>
        <v>0</v>
      </c>
      <c r="P261" s="131"/>
      <c r="Q261" s="156">
        <f t="shared" ref="Q261:Q275" si="34">SUM(D261:O261)</f>
        <v>0</v>
      </c>
    </row>
    <row r="262" spans="3:17" hidden="1" x14ac:dyDescent="0.2">
      <c r="C262" s="153" t="s">
        <v>156</v>
      </c>
      <c r="D262" s="75">
        <f>+'[1]Budget 2025W'!K319</f>
        <v>0</v>
      </c>
      <c r="E262" s="75">
        <f>+'[1]Budget 2025W'!L319</f>
        <v>0</v>
      </c>
      <c r="F262" s="154">
        <f>+'[1]Budget 2025W'!M319</f>
        <v>0</v>
      </c>
      <c r="G262" s="154">
        <f>+'[1]Budget 2025W'!N319</f>
        <v>0</v>
      </c>
      <c r="H262" s="154">
        <f>+'[1]Budget 2025W'!O319</f>
        <v>0</v>
      </c>
      <c r="I262" s="154">
        <f>+'[1]Budget 2025W'!P319</f>
        <v>0</v>
      </c>
      <c r="J262" s="154">
        <f>+'[1]Budget 2025W'!Q319</f>
        <v>0</v>
      </c>
      <c r="K262" s="154">
        <f>+'[1]Budget 2025W'!R319</f>
        <v>0</v>
      </c>
      <c r="L262" s="154">
        <f>+'[1]Budget 2025W'!S319</f>
        <v>0</v>
      </c>
      <c r="M262" s="154">
        <f>+'[1]Budget 2025W'!T319</f>
        <v>0</v>
      </c>
      <c r="N262" s="154">
        <f>+'[1]Budget 2025W'!U319</f>
        <v>0</v>
      </c>
      <c r="O262" s="154">
        <f>+'[1]Budget 2025W'!V319</f>
        <v>0</v>
      </c>
      <c r="P262" s="131"/>
      <c r="Q262" s="156">
        <f t="shared" si="34"/>
        <v>0</v>
      </c>
    </row>
    <row r="263" spans="3:17" hidden="1" x14ac:dyDescent="0.2">
      <c r="C263" s="153" t="s">
        <v>157</v>
      </c>
      <c r="D263" s="75">
        <f>+'[1]Budget 2025W'!K320</f>
        <v>0</v>
      </c>
      <c r="E263" s="75">
        <f>+'[1]Budget 2025W'!L320</f>
        <v>0</v>
      </c>
      <c r="F263" s="154">
        <f>+'[1]Budget 2025W'!M320</f>
        <v>0</v>
      </c>
      <c r="G263" s="154">
        <f>+'[1]Budget 2025W'!N320</f>
        <v>0</v>
      </c>
      <c r="H263" s="154">
        <f>+'[1]Budget 2025W'!O320</f>
        <v>0</v>
      </c>
      <c r="I263" s="154">
        <f>+'[1]Budget 2025W'!P320</f>
        <v>0</v>
      </c>
      <c r="J263" s="154">
        <f>+'[1]Budget 2025W'!Q320</f>
        <v>0</v>
      </c>
      <c r="K263" s="154">
        <f>+'[1]Budget 2025W'!R320</f>
        <v>0</v>
      </c>
      <c r="L263" s="154">
        <f>+'[1]Budget 2025W'!S320</f>
        <v>0</v>
      </c>
      <c r="M263" s="154">
        <f>+'[1]Budget 2025W'!T320</f>
        <v>0</v>
      </c>
      <c r="N263" s="154">
        <f>+'[1]Budget 2025W'!U320</f>
        <v>0</v>
      </c>
      <c r="O263" s="154">
        <f>+'[1]Budget 2025W'!V320</f>
        <v>0</v>
      </c>
      <c r="P263" s="131"/>
      <c r="Q263" s="156">
        <f t="shared" si="34"/>
        <v>0</v>
      </c>
    </row>
    <row r="264" spans="3:17" hidden="1" x14ac:dyDescent="0.2">
      <c r="C264" s="153" t="s">
        <v>158</v>
      </c>
      <c r="D264" s="75">
        <f>+'[1]Budget 2025W'!K321</f>
        <v>0</v>
      </c>
      <c r="E264" s="75">
        <f>+'[1]Budget 2025W'!L321</f>
        <v>0</v>
      </c>
      <c r="F264" s="154">
        <f>+'[1]Budget 2025W'!M321</f>
        <v>0</v>
      </c>
      <c r="G264" s="154">
        <f>+'[1]Budget 2025W'!N321</f>
        <v>0</v>
      </c>
      <c r="H264" s="154">
        <f>+'[1]Budget 2025W'!O321</f>
        <v>0</v>
      </c>
      <c r="I264" s="154">
        <f>+'[1]Budget 2025W'!P321</f>
        <v>0</v>
      </c>
      <c r="J264" s="154">
        <f>+'[1]Budget 2025W'!Q321</f>
        <v>0</v>
      </c>
      <c r="K264" s="154">
        <f>+'[1]Budget 2025W'!R321</f>
        <v>0</v>
      </c>
      <c r="L264" s="154">
        <f>+'[1]Budget 2025W'!S321</f>
        <v>0</v>
      </c>
      <c r="M264" s="154">
        <f>+'[1]Budget 2025W'!T321</f>
        <v>0</v>
      </c>
      <c r="N264" s="154">
        <f>+'[1]Budget 2025W'!U321</f>
        <v>0</v>
      </c>
      <c r="O264" s="154">
        <f>+'[1]Budget 2025W'!V321</f>
        <v>0</v>
      </c>
      <c r="P264" s="131"/>
      <c r="Q264" s="156">
        <f t="shared" si="34"/>
        <v>0</v>
      </c>
    </row>
    <row r="265" spans="3:17" hidden="1" x14ac:dyDescent="0.2">
      <c r="C265" s="153" t="s">
        <v>159</v>
      </c>
      <c r="D265" s="75">
        <f>+'[1]Budget 2025W'!K322</f>
        <v>0</v>
      </c>
      <c r="E265" s="75">
        <f>+'[1]Budget 2025W'!L322</f>
        <v>0</v>
      </c>
      <c r="F265" s="154">
        <f>+'[1]Budget 2025W'!M322</f>
        <v>0</v>
      </c>
      <c r="G265" s="154">
        <f>+'[1]Budget 2025W'!N322</f>
        <v>0</v>
      </c>
      <c r="H265" s="154">
        <f>+'[1]Budget 2025W'!O322</f>
        <v>0</v>
      </c>
      <c r="I265" s="154">
        <f>+'[1]Budget 2025W'!P322</f>
        <v>0</v>
      </c>
      <c r="J265" s="154">
        <f>+'[1]Budget 2025W'!Q322</f>
        <v>0</v>
      </c>
      <c r="K265" s="154">
        <f>+'[1]Budget 2025W'!R322</f>
        <v>0</v>
      </c>
      <c r="L265" s="154">
        <f>+'[1]Budget 2025W'!S322</f>
        <v>0</v>
      </c>
      <c r="M265" s="154">
        <f>+'[1]Budget 2025W'!T322</f>
        <v>0</v>
      </c>
      <c r="N265" s="154">
        <f>+'[1]Budget 2025W'!U322</f>
        <v>0</v>
      </c>
      <c r="O265" s="154">
        <f>+'[1]Budget 2025W'!V322</f>
        <v>0</v>
      </c>
      <c r="P265" s="131"/>
      <c r="Q265" s="156">
        <f t="shared" si="34"/>
        <v>0</v>
      </c>
    </row>
    <row r="266" spans="3:17" hidden="1" x14ac:dyDescent="0.2">
      <c r="C266" s="153" t="s">
        <v>160</v>
      </c>
      <c r="D266" s="75">
        <f>+'[1]Budget 2025W'!K323</f>
        <v>0</v>
      </c>
      <c r="E266" s="75">
        <f>+'[1]Budget 2025W'!L323</f>
        <v>0</v>
      </c>
      <c r="F266" s="154">
        <f>+'[1]Budget 2025W'!M323</f>
        <v>0</v>
      </c>
      <c r="G266" s="154">
        <f>+'[1]Budget 2025W'!N323</f>
        <v>0</v>
      </c>
      <c r="H266" s="154">
        <f>+'[1]Budget 2025W'!O323</f>
        <v>0</v>
      </c>
      <c r="I266" s="154">
        <f>+'[1]Budget 2025W'!P323</f>
        <v>0</v>
      </c>
      <c r="J266" s="154">
        <f>+'[1]Budget 2025W'!Q323</f>
        <v>0</v>
      </c>
      <c r="K266" s="154">
        <f>+'[1]Budget 2025W'!R323</f>
        <v>0</v>
      </c>
      <c r="L266" s="154">
        <f>+'[1]Budget 2025W'!S323</f>
        <v>0</v>
      </c>
      <c r="M266" s="154">
        <f>+'[1]Budget 2025W'!T323</f>
        <v>0</v>
      </c>
      <c r="N266" s="154">
        <f>+'[1]Budget 2025W'!U323</f>
        <v>0</v>
      </c>
      <c r="O266" s="154">
        <f>+'[1]Budget 2025W'!V323</f>
        <v>0</v>
      </c>
      <c r="P266" s="131"/>
      <c r="Q266" s="156">
        <f t="shared" si="34"/>
        <v>0</v>
      </c>
    </row>
    <row r="267" spans="3:17" hidden="1" x14ac:dyDescent="0.2">
      <c r="C267" s="153" t="s">
        <v>161</v>
      </c>
      <c r="D267" s="75">
        <f>+'[1]Budget 2025W'!K324</f>
        <v>0</v>
      </c>
      <c r="E267" s="75">
        <f>+'[1]Budget 2025W'!L324</f>
        <v>0</v>
      </c>
      <c r="F267" s="154">
        <f>+'[1]Budget 2025W'!M324</f>
        <v>0</v>
      </c>
      <c r="G267" s="154">
        <f>+'[1]Budget 2025W'!N324</f>
        <v>0</v>
      </c>
      <c r="H267" s="154">
        <f>+'[1]Budget 2025W'!O324</f>
        <v>0</v>
      </c>
      <c r="I267" s="154">
        <f>+'[1]Budget 2025W'!P324</f>
        <v>0</v>
      </c>
      <c r="J267" s="154">
        <f>+'[1]Budget 2025W'!Q324</f>
        <v>0</v>
      </c>
      <c r="K267" s="154">
        <f>+'[1]Budget 2025W'!R324</f>
        <v>0</v>
      </c>
      <c r="L267" s="154">
        <f>+'[1]Budget 2025W'!S324</f>
        <v>0</v>
      </c>
      <c r="M267" s="154">
        <f>+'[1]Budget 2025W'!T324</f>
        <v>0</v>
      </c>
      <c r="N267" s="154">
        <f>+'[1]Budget 2025W'!U324</f>
        <v>0</v>
      </c>
      <c r="O267" s="154">
        <f>+'[1]Budget 2025W'!V324</f>
        <v>0</v>
      </c>
      <c r="P267" s="131"/>
      <c r="Q267" s="156">
        <f t="shared" si="34"/>
        <v>0</v>
      </c>
    </row>
    <row r="268" spans="3:17" hidden="1" x14ac:dyDescent="0.2">
      <c r="C268" s="153" t="s">
        <v>162</v>
      </c>
      <c r="D268" s="75">
        <f>+'[1]Budget 2025W'!K325</f>
        <v>0</v>
      </c>
      <c r="E268" s="75">
        <f>+'[1]Budget 2025W'!L325</f>
        <v>0</v>
      </c>
      <c r="F268" s="154">
        <f>+'[1]Budget 2025W'!M325</f>
        <v>0</v>
      </c>
      <c r="G268" s="154">
        <f>+'[1]Budget 2025W'!N325</f>
        <v>0</v>
      </c>
      <c r="H268" s="154">
        <f>+'[1]Budget 2025W'!O325</f>
        <v>0</v>
      </c>
      <c r="I268" s="154">
        <f>+'[1]Budget 2025W'!P325</f>
        <v>0</v>
      </c>
      <c r="J268" s="154">
        <f>+'[1]Budget 2025W'!Q325</f>
        <v>0</v>
      </c>
      <c r="K268" s="154">
        <f>+'[1]Budget 2025W'!R325</f>
        <v>0</v>
      </c>
      <c r="L268" s="154">
        <f>+'[1]Budget 2025W'!S325</f>
        <v>0</v>
      </c>
      <c r="M268" s="154">
        <f>+'[1]Budget 2025W'!T325</f>
        <v>0</v>
      </c>
      <c r="N268" s="154">
        <f>+'[1]Budget 2025W'!U325</f>
        <v>0</v>
      </c>
      <c r="O268" s="154">
        <f>+'[1]Budget 2025W'!V325</f>
        <v>0</v>
      </c>
      <c r="P268" s="131"/>
      <c r="Q268" s="156">
        <f t="shared" si="34"/>
        <v>0</v>
      </c>
    </row>
    <row r="269" spans="3:17" hidden="1" x14ac:dyDescent="0.2">
      <c r="C269" s="153" t="s">
        <v>163</v>
      </c>
      <c r="D269" s="75">
        <f>+'[1]Budget 2025W'!K326</f>
        <v>0</v>
      </c>
      <c r="E269" s="75">
        <f>+'[1]Budget 2025W'!L326</f>
        <v>0</v>
      </c>
      <c r="F269" s="154">
        <f>+'[1]Budget 2025W'!M326</f>
        <v>0</v>
      </c>
      <c r="G269" s="154">
        <f>+'[1]Budget 2025W'!N326</f>
        <v>0</v>
      </c>
      <c r="H269" s="154">
        <f>+'[1]Budget 2025W'!O326</f>
        <v>0</v>
      </c>
      <c r="I269" s="154">
        <f>+'[1]Budget 2025W'!P326</f>
        <v>0</v>
      </c>
      <c r="J269" s="154">
        <f>+'[1]Budget 2025W'!Q326</f>
        <v>0</v>
      </c>
      <c r="K269" s="154">
        <f>+'[1]Budget 2025W'!R326</f>
        <v>0</v>
      </c>
      <c r="L269" s="154">
        <f>+'[1]Budget 2025W'!S326</f>
        <v>0</v>
      </c>
      <c r="M269" s="154">
        <f>+'[1]Budget 2025W'!T326</f>
        <v>0</v>
      </c>
      <c r="N269" s="154">
        <f>+'[1]Budget 2025W'!U326</f>
        <v>0</v>
      </c>
      <c r="O269" s="154">
        <f>+'[1]Budget 2025W'!V326</f>
        <v>0</v>
      </c>
      <c r="P269" s="131"/>
      <c r="Q269" s="156">
        <f t="shared" si="34"/>
        <v>0</v>
      </c>
    </row>
    <row r="270" spans="3:17" hidden="1" x14ac:dyDescent="0.2">
      <c r="C270" s="153" t="s">
        <v>164</v>
      </c>
      <c r="D270" s="75">
        <f>+'[1]Budget 2025W'!K327</f>
        <v>0</v>
      </c>
      <c r="E270" s="75">
        <f>+'[1]Budget 2025W'!L327</f>
        <v>0</v>
      </c>
      <c r="F270" s="154">
        <f>+'[1]Budget 2025W'!M327</f>
        <v>0</v>
      </c>
      <c r="G270" s="154">
        <f>+'[1]Budget 2025W'!N327</f>
        <v>0</v>
      </c>
      <c r="H270" s="154">
        <f>+'[1]Budget 2025W'!O327</f>
        <v>0</v>
      </c>
      <c r="I270" s="154">
        <f>+'[1]Budget 2025W'!P327</f>
        <v>0</v>
      </c>
      <c r="J270" s="154">
        <f>+'[1]Budget 2025W'!Q327</f>
        <v>0</v>
      </c>
      <c r="K270" s="154">
        <f>+'[1]Budget 2025W'!R327</f>
        <v>0</v>
      </c>
      <c r="L270" s="154">
        <f>+'[1]Budget 2025W'!S327</f>
        <v>0</v>
      </c>
      <c r="M270" s="154">
        <f>+'[1]Budget 2025W'!T327</f>
        <v>0</v>
      </c>
      <c r="N270" s="154">
        <f>+'[1]Budget 2025W'!U327</f>
        <v>0</v>
      </c>
      <c r="O270" s="154">
        <f>+'[1]Budget 2025W'!V327</f>
        <v>0</v>
      </c>
      <c r="P270" s="131"/>
      <c r="Q270" s="156">
        <f t="shared" si="34"/>
        <v>0</v>
      </c>
    </row>
    <row r="271" spans="3:17" hidden="1" x14ac:dyDescent="0.2">
      <c r="C271" s="153" t="s">
        <v>164</v>
      </c>
      <c r="D271" s="75">
        <f>+'[1]Budget 2025W'!K328</f>
        <v>0</v>
      </c>
      <c r="E271" s="75">
        <f>+'[1]Budget 2025W'!L328</f>
        <v>0</v>
      </c>
      <c r="F271" s="154">
        <f>+'[1]Budget 2025W'!M328</f>
        <v>0</v>
      </c>
      <c r="G271" s="154">
        <f>+'[1]Budget 2025W'!N328</f>
        <v>0</v>
      </c>
      <c r="H271" s="154">
        <f>+'[1]Budget 2025W'!O328</f>
        <v>0</v>
      </c>
      <c r="I271" s="154">
        <f>+'[1]Budget 2025W'!P328</f>
        <v>0</v>
      </c>
      <c r="J271" s="154">
        <f>+'[1]Budget 2025W'!Q328</f>
        <v>0</v>
      </c>
      <c r="K271" s="154">
        <f>+'[1]Budget 2025W'!R328</f>
        <v>0</v>
      </c>
      <c r="L271" s="154">
        <f>+'[1]Budget 2025W'!S328</f>
        <v>0</v>
      </c>
      <c r="M271" s="154">
        <f>+'[1]Budget 2025W'!T328</f>
        <v>0</v>
      </c>
      <c r="N271" s="154">
        <f>+'[1]Budget 2025W'!U328</f>
        <v>0</v>
      </c>
      <c r="O271" s="154">
        <f>+'[1]Budget 2025W'!V328</f>
        <v>0</v>
      </c>
      <c r="P271" s="131"/>
      <c r="Q271" s="156">
        <f t="shared" si="34"/>
        <v>0</v>
      </c>
    </row>
    <row r="272" spans="3:17" hidden="1" x14ac:dyDescent="0.2">
      <c r="C272" s="153" t="s">
        <v>164</v>
      </c>
      <c r="D272" s="75">
        <f>+'[1]Budget 2025W'!K329</f>
        <v>0</v>
      </c>
      <c r="E272" s="75">
        <f>+'[1]Budget 2025W'!L329</f>
        <v>0</v>
      </c>
      <c r="F272" s="154">
        <f>+'[1]Budget 2025W'!M329</f>
        <v>0</v>
      </c>
      <c r="G272" s="154">
        <f>+'[1]Budget 2025W'!N329</f>
        <v>0</v>
      </c>
      <c r="H272" s="154">
        <f>+'[1]Budget 2025W'!O329</f>
        <v>0</v>
      </c>
      <c r="I272" s="154">
        <f>+'[1]Budget 2025W'!P329</f>
        <v>0</v>
      </c>
      <c r="J272" s="154">
        <f>+'[1]Budget 2025W'!Q329</f>
        <v>0</v>
      </c>
      <c r="K272" s="154">
        <f>+'[1]Budget 2025W'!R329</f>
        <v>0</v>
      </c>
      <c r="L272" s="154">
        <f>+'[1]Budget 2025W'!S329</f>
        <v>0</v>
      </c>
      <c r="M272" s="154">
        <f>+'[1]Budget 2025W'!T329</f>
        <v>0</v>
      </c>
      <c r="N272" s="154">
        <f>+'[1]Budget 2025W'!U329</f>
        <v>0</v>
      </c>
      <c r="O272" s="154">
        <f>+'[1]Budget 2025W'!V329</f>
        <v>0</v>
      </c>
      <c r="P272" s="131"/>
      <c r="Q272" s="156">
        <f t="shared" si="34"/>
        <v>0</v>
      </c>
    </row>
    <row r="273" spans="3:17" hidden="1" x14ac:dyDescent="0.2">
      <c r="C273" s="153" t="s">
        <v>164</v>
      </c>
      <c r="D273" s="75">
        <f>+'[1]Budget 2025W'!K330</f>
        <v>0</v>
      </c>
      <c r="E273" s="75">
        <f>+'[1]Budget 2025W'!L330</f>
        <v>0</v>
      </c>
      <c r="F273" s="154">
        <f>+'[1]Budget 2025W'!M330</f>
        <v>0</v>
      </c>
      <c r="G273" s="154">
        <f>+'[1]Budget 2025W'!N330</f>
        <v>0</v>
      </c>
      <c r="H273" s="154">
        <f>+'[1]Budget 2025W'!O330</f>
        <v>0</v>
      </c>
      <c r="I273" s="154">
        <f>+'[1]Budget 2025W'!P330</f>
        <v>0</v>
      </c>
      <c r="J273" s="154">
        <f>+'[1]Budget 2025W'!Q330</f>
        <v>0</v>
      </c>
      <c r="K273" s="154">
        <f>+'[1]Budget 2025W'!R330</f>
        <v>0</v>
      </c>
      <c r="L273" s="154">
        <f>+'[1]Budget 2025W'!S330</f>
        <v>0</v>
      </c>
      <c r="M273" s="154">
        <f>+'[1]Budget 2025W'!T330</f>
        <v>0</v>
      </c>
      <c r="N273" s="154">
        <f>+'[1]Budget 2025W'!U330</f>
        <v>0</v>
      </c>
      <c r="O273" s="154">
        <f>+'[1]Budget 2025W'!V330</f>
        <v>0</v>
      </c>
      <c r="P273" s="131"/>
      <c r="Q273" s="156">
        <f t="shared" si="34"/>
        <v>0</v>
      </c>
    </row>
    <row r="274" spans="3:17" hidden="1" x14ac:dyDescent="0.2">
      <c r="C274" s="153" t="s">
        <v>164</v>
      </c>
      <c r="D274" s="75">
        <f>+'[1]Budget 2025W'!K331</f>
        <v>0</v>
      </c>
      <c r="E274" s="75">
        <f>+'[1]Budget 2025W'!L331</f>
        <v>0</v>
      </c>
      <c r="F274" s="154">
        <f>+'[1]Budget 2025W'!M331</f>
        <v>0</v>
      </c>
      <c r="G274" s="154">
        <f>+'[1]Budget 2025W'!N331</f>
        <v>0</v>
      </c>
      <c r="H274" s="154">
        <f>+'[1]Budget 2025W'!O331</f>
        <v>0</v>
      </c>
      <c r="I274" s="154">
        <f>+'[1]Budget 2025W'!P331</f>
        <v>0</v>
      </c>
      <c r="J274" s="154">
        <f>+'[1]Budget 2025W'!Q331</f>
        <v>0</v>
      </c>
      <c r="K274" s="154">
        <f>+'[1]Budget 2025W'!R331</f>
        <v>0</v>
      </c>
      <c r="L274" s="154">
        <f>+'[1]Budget 2025W'!S331</f>
        <v>0</v>
      </c>
      <c r="M274" s="154">
        <f>+'[1]Budget 2025W'!T331</f>
        <v>0</v>
      </c>
      <c r="N274" s="154">
        <f>+'[1]Budget 2025W'!U331</f>
        <v>0</v>
      </c>
      <c r="O274" s="154">
        <f>+'[1]Budget 2025W'!V331</f>
        <v>0</v>
      </c>
      <c r="P274" s="131"/>
      <c r="Q274" s="156">
        <f t="shared" si="34"/>
        <v>0</v>
      </c>
    </row>
    <row r="275" spans="3:17" ht="17.25" hidden="1" thickTop="1" thickBot="1" x14ac:dyDescent="0.3">
      <c r="C275" s="192" t="s">
        <v>165</v>
      </c>
      <c r="D275" s="193">
        <f>+'[1]Budget 2025W'!K334</f>
        <v>0</v>
      </c>
      <c r="E275" s="193">
        <f>+'[1]Budget 2025W'!L334</f>
        <v>0</v>
      </c>
      <c r="F275" s="194">
        <f>+'[1]Budget 2025W'!M334</f>
        <v>0</v>
      </c>
      <c r="G275" s="194">
        <f>+'[1]Budget 2025W'!N334</f>
        <v>0</v>
      </c>
      <c r="H275" s="194">
        <f>+'[1]Budget 2025W'!O334</f>
        <v>0</v>
      </c>
      <c r="I275" s="194">
        <f>+'[1]Budget 2025W'!P334</f>
        <v>0</v>
      </c>
      <c r="J275" s="194">
        <f>+'[1]Budget 2025W'!Q334</f>
        <v>0</v>
      </c>
      <c r="K275" s="194">
        <f>+'[1]Budget 2025W'!R334</f>
        <v>0</v>
      </c>
      <c r="L275" s="194">
        <f>+'[1]Budget 2025W'!S334</f>
        <v>0</v>
      </c>
      <c r="M275" s="194">
        <f>+'[1]Budget 2025W'!T334</f>
        <v>0</v>
      </c>
      <c r="N275" s="194">
        <f>+'[1]Budget 2025W'!U334</f>
        <v>0</v>
      </c>
      <c r="O275" s="194">
        <f>+'[1]Budget 2025W'!V334</f>
        <v>0</v>
      </c>
      <c r="P275" s="131"/>
      <c r="Q275" s="165">
        <f t="shared" si="34"/>
        <v>0</v>
      </c>
    </row>
    <row r="276" spans="3:17" ht="15.75" hidden="1" x14ac:dyDescent="0.25">
      <c r="C276" s="195" t="s">
        <v>97</v>
      </c>
      <c r="D276" s="196"/>
      <c r="E276" s="196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31"/>
      <c r="Q276" s="161"/>
    </row>
    <row r="277" spans="3:17" hidden="1" x14ac:dyDescent="0.2">
      <c r="C277" s="153" t="s">
        <v>98</v>
      </c>
      <c r="D277" s="75">
        <f>+'[1]Budget 2025W'!K339</f>
        <v>0</v>
      </c>
      <c r="E277" s="75">
        <f>+'[1]Budget 2025W'!L339</f>
        <v>0</v>
      </c>
      <c r="F277" s="154">
        <f>+'[1]Budget 2025W'!M339</f>
        <v>0</v>
      </c>
      <c r="G277" s="154">
        <f>+'[1]Budget 2025W'!N339</f>
        <v>0</v>
      </c>
      <c r="H277" s="154">
        <f>+'[1]Budget 2025W'!O339</f>
        <v>0</v>
      </c>
      <c r="I277" s="154">
        <f>+'[1]Budget 2025W'!P339</f>
        <v>0</v>
      </c>
      <c r="J277" s="154">
        <f>+'[1]Budget 2025W'!Q339</f>
        <v>0</v>
      </c>
      <c r="K277" s="154">
        <f>+'[1]Budget 2025W'!R339</f>
        <v>0</v>
      </c>
      <c r="L277" s="154">
        <f>+'[1]Budget 2025W'!S339</f>
        <v>0</v>
      </c>
      <c r="M277" s="154">
        <f>+'[1]Budget 2025W'!T339</f>
        <v>0</v>
      </c>
      <c r="N277" s="154">
        <f>+'[1]Budget 2025W'!U339</f>
        <v>0</v>
      </c>
      <c r="O277" s="154">
        <f>+'[1]Budget 2025W'!V339</f>
        <v>0</v>
      </c>
      <c r="P277" s="131"/>
      <c r="Q277" s="156">
        <f t="shared" ref="Q277:Q293" si="35">SUM(D277:O277)</f>
        <v>0</v>
      </c>
    </row>
    <row r="278" spans="3:17" hidden="1" x14ac:dyDescent="0.2">
      <c r="C278" s="153" t="s">
        <v>99</v>
      </c>
      <c r="D278" s="75">
        <f>+'[1]Budget 2025W'!K340</f>
        <v>0</v>
      </c>
      <c r="E278" s="75">
        <f>+'[1]Budget 2025W'!L340</f>
        <v>0</v>
      </c>
      <c r="F278" s="154">
        <f>+'[1]Budget 2025W'!M340</f>
        <v>0</v>
      </c>
      <c r="G278" s="154">
        <f>+'[1]Budget 2025W'!N340</f>
        <v>0</v>
      </c>
      <c r="H278" s="154">
        <f>+'[1]Budget 2025W'!O340</f>
        <v>0</v>
      </c>
      <c r="I278" s="154">
        <f>+'[1]Budget 2025W'!P340</f>
        <v>0</v>
      </c>
      <c r="J278" s="154">
        <f>+'[1]Budget 2025W'!Q340</f>
        <v>0</v>
      </c>
      <c r="K278" s="154">
        <f>+'[1]Budget 2025W'!R340</f>
        <v>0</v>
      </c>
      <c r="L278" s="154">
        <f>+'[1]Budget 2025W'!S340</f>
        <v>0</v>
      </c>
      <c r="M278" s="154">
        <f>+'[1]Budget 2025W'!T340</f>
        <v>0</v>
      </c>
      <c r="N278" s="154">
        <f>+'[1]Budget 2025W'!U340</f>
        <v>0</v>
      </c>
      <c r="O278" s="154">
        <f>+'[1]Budget 2025W'!V340</f>
        <v>0</v>
      </c>
      <c r="P278" s="131"/>
      <c r="Q278" s="156">
        <f t="shared" si="35"/>
        <v>0</v>
      </c>
    </row>
    <row r="279" spans="3:17" hidden="1" x14ac:dyDescent="0.2">
      <c r="C279" s="153" t="s">
        <v>100</v>
      </c>
      <c r="D279" s="75">
        <f>+'[1]Budget 2025W'!K341</f>
        <v>0</v>
      </c>
      <c r="E279" s="75">
        <f>+'[1]Budget 2025W'!L341</f>
        <v>0</v>
      </c>
      <c r="F279" s="154">
        <f>+'[1]Budget 2025W'!M341</f>
        <v>0</v>
      </c>
      <c r="G279" s="154">
        <f>+'[1]Budget 2025W'!N341</f>
        <v>0</v>
      </c>
      <c r="H279" s="154">
        <f>+'[1]Budget 2025W'!O341</f>
        <v>0</v>
      </c>
      <c r="I279" s="154">
        <f>+'[1]Budget 2025W'!P341</f>
        <v>0</v>
      </c>
      <c r="J279" s="154">
        <f>+'[1]Budget 2025W'!Q341</f>
        <v>0</v>
      </c>
      <c r="K279" s="154">
        <f>+'[1]Budget 2025W'!R341</f>
        <v>0</v>
      </c>
      <c r="L279" s="154">
        <f>+'[1]Budget 2025W'!S341</f>
        <v>0</v>
      </c>
      <c r="M279" s="154">
        <f>+'[1]Budget 2025W'!T341</f>
        <v>0</v>
      </c>
      <c r="N279" s="154">
        <f>+'[1]Budget 2025W'!U341</f>
        <v>0</v>
      </c>
      <c r="O279" s="154">
        <f>+'[1]Budget 2025W'!V341</f>
        <v>0</v>
      </c>
      <c r="P279" s="131"/>
      <c r="Q279" s="156">
        <f t="shared" si="35"/>
        <v>0</v>
      </c>
    </row>
    <row r="280" spans="3:17" hidden="1" x14ac:dyDescent="0.2">
      <c r="C280" s="153" t="s">
        <v>101</v>
      </c>
      <c r="D280" s="75">
        <f>+'[1]Budget 2025W'!K342</f>
        <v>0</v>
      </c>
      <c r="E280" s="75">
        <f>+'[1]Budget 2025W'!L342</f>
        <v>0</v>
      </c>
      <c r="F280" s="154">
        <f>+'[1]Budget 2025W'!M342</f>
        <v>0</v>
      </c>
      <c r="G280" s="154">
        <f>+'[1]Budget 2025W'!N342</f>
        <v>0</v>
      </c>
      <c r="H280" s="154">
        <f>+'[1]Budget 2025W'!O342</f>
        <v>0</v>
      </c>
      <c r="I280" s="154">
        <f>+'[1]Budget 2025W'!P342</f>
        <v>0</v>
      </c>
      <c r="J280" s="154">
        <f>+'[1]Budget 2025W'!Q342</f>
        <v>0</v>
      </c>
      <c r="K280" s="154">
        <f>+'[1]Budget 2025W'!R342</f>
        <v>0</v>
      </c>
      <c r="L280" s="154">
        <f>+'[1]Budget 2025W'!S342</f>
        <v>0</v>
      </c>
      <c r="M280" s="154">
        <f>+'[1]Budget 2025W'!T342</f>
        <v>0</v>
      </c>
      <c r="N280" s="154">
        <f>+'[1]Budget 2025W'!U342</f>
        <v>0</v>
      </c>
      <c r="O280" s="154">
        <f>+'[1]Budget 2025W'!V342</f>
        <v>0</v>
      </c>
      <c r="P280" s="131"/>
      <c r="Q280" s="156">
        <f t="shared" si="35"/>
        <v>0</v>
      </c>
    </row>
    <row r="281" spans="3:17" hidden="1" x14ac:dyDescent="0.2">
      <c r="C281" s="153" t="s">
        <v>102</v>
      </c>
      <c r="D281" s="75">
        <f>+'[1]Budget 2025W'!K343</f>
        <v>0</v>
      </c>
      <c r="E281" s="75">
        <f>+'[1]Budget 2025W'!L343</f>
        <v>0</v>
      </c>
      <c r="F281" s="154">
        <f>+'[1]Budget 2025W'!M343</f>
        <v>0</v>
      </c>
      <c r="G281" s="154">
        <f>+'[1]Budget 2025W'!N343</f>
        <v>0</v>
      </c>
      <c r="H281" s="154">
        <f>+'[1]Budget 2025W'!O343</f>
        <v>0</v>
      </c>
      <c r="I281" s="154">
        <f>+'[1]Budget 2025W'!P343</f>
        <v>0</v>
      </c>
      <c r="J281" s="154">
        <f>+'[1]Budget 2025W'!Q343</f>
        <v>0</v>
      </c>
      <c r="K281" s="154">
        <f>+'[1]Budget 2025W'!R343</f>
        <v>0</v>
      </c>
      <c r="L281" s="154">
        <f>+'[1]Budget 2025W'!S343</f>
        <v>0</v>
      </c>
      <c r="M281" s="154">
        <f>+'[1]Budget 2025W'!T343</f>
        <v>0</v>
      </c>
      <c r="N281" s="154">
        <f>+'[1]Budget 2025W'!U343</f>
        <v>0</v>
      </c>
      <c r="O281" s="154">
        <f>+'[1]Budget 2025W'!V343</f>
        <v>0</v>
      </c>
      <c r="P281" s="131"/>
      <c r="Q281" s="156">
        <f t="shared" si="35"/>
        <v>0</v>
      </c>
    </row>
    <row r="282" spans="3:17" hidden="1" x14ac:dyDescent="0.2">
      <c r="C282" s="153" t="s">
        <v>103</v>
      </c>
      <c r="D282" s="75">
        <f>+'[1]Budget 2025W'!K344</f>
        <v>0</v>
      </c>
      <c r="E282" s="75">
        <f>+'[1]Budget 2025W'!L344</f>
        <v>0</v>
      </c>
      <c r="F282" s="154">
        <f>+'[1]Budget 2025W'!M344</f>
        <v>0</v>
      </c>
      <c r="G282" s="154">
        <f>+'[1]Budget 2025W'!N344</f>
        <v>0</v>
      </c>
      <c r="H282" s="154">
        <f>+'[1]Budget 2025W'!O344</f>
        <v>0</v>
      </c>
      <c r="I282" s="154">
        <f>+'[1]Budget 2025W'!P344</f>
        <v>0</v>
      </c>
      <c r="J282" s="154">
        <f>+'[1]Budget 2025W'!Q344</f>
        <v>0</v>
      </c>
      <c r="K282" s="154">
        <f>+'[1]Budget 2025W'!R344</f>
        <v>0</v>
      </c>
      <c r="L282" s="154">
        <f>+'[1]Budget 2025W'!S344</f>
        <v>0</v>
      </c>
      <c r="M282" s="154">
        <f>+'[1]Budget 2025W'!T344</f>
        <v>0</v>
      </c>
      <c r="N282" s="154">
        <f>+'[1]Budget 2025W'!U344</f>
        <v>0</v>
      </c>
      <c r="O282" s="154">
        <f>+'[1]Budget 2025W'!V344</f>
        <v>0</v>
      </c>
      <c r="P282" s="131"/>
      <c r="Q282" s="156">
        <f t="shared" si="35"/>
        <v>0</v>
      </c>
    </row>
    <row r="283" spans="3:17" hidden="1" x14ac:dyDescent="0.2">
      <c r="C283" s="153" t="s">
        <v>104</v>
      </c>
      <c r="D283" s="75">
        <f>+'[1]Budget 2025W'!K345</f>
        <v>0</v>
      </c>
      <c r="E283" s="75">
        <f>+'[1]Budget 2025W'!L345</f>
        <v>0</v>
      </c>
      <c r="F283" s="154">
        <f>+'[1]Budget 2025W'!M345</f>
        <v>0</v>
      </c>
      <c r="G283" s="154">
        <f>+'[1]Budget 2025W'!N345</f>
        <v>0</v>
      </c>
      <c r="H283" s="154">
        <f>+'[1]Budget 2025W'!O345</f>
        <v>0</v>
      </c>
      <c r="I283" s="154">
        <f>+'[1]Budget 2025W'!P345</f>
        <v>0</v>
      </c>
      <c r="J283" s="154">
        <f>+'[1]Budget 2025W'!Q345</f>
        <v>0</v>
      </c>
      <c r="K283" s="154">
        <f>+'[1]Budget 2025W'!R345</f>
        <v>0</v>
      </c>
      <c r="L283" s="154">
        <f>+'[1]Budget 2025W'!S345</f>
        <v>0</v>
      </c>
      <c r="M283" s="154">
        <f>+'[1]Budget 2025W'!T345</f>
        <v>0</v>
      </c>
      <c r="N283" s="154">
        <f>+'[1]Budget 2025W'!U345</f>
        <v>0</v>
      </c>
      <c r="O283" s="154">
        <f>+'[1]Budget 2025W'!V345</f>
        <v>0</v>
      </c>
      <c r="P283" s="131"/>
      <c r="Q283" s="156">
        <f t="shared" si="35"/>
        <v>0</v>
      </c>
    </row>
    <row r="284" spans="3:17" hidden="1" x14ac:dyDescent="0.2">
      <c r="C284" s="153" t="s">
        <v>105</v>
      </c>
      <c r="D284" s="75">
        <f>+'[1]Budget 2025W'!K346</f>
        <v>0</v>
      </c>
      <c r="E284" s="75">
        <f>+'[1]Budget 2025W'!L346</f>
        <v>0</v>
      </c>
      <c r="F284" s="154">
        <f>+'[1]Budget 2025W'!M346</f>
        <v>0</v>
      </c>
      <c r="G284" s="154">
        <f>+'[1]Budget 2025W'!N346</f>
        <v>0</v>
      </c>
      <c r="H284" s="154">
        <f>+'[1]Budget 2025W'!O346</f>
        <v>0</v>
      </c>
      <c r="I284" s="154">
        <f>+'[1]Budget 2025W'!P346</f>
        <v>0</v>
      </c>
      <c r="J284" s="154">
        <f>+'[1]Budget 2025W'!Q346</f>
        <v>0</v>
      </c>
      <c r="K284" s="154">
        <f>+'[1]Budget 2025W'!R346</f>
        <v>0</v>
      </c>
      <c r="L284" s="154">
        <f>+'[1]Budget 2025W'!S346</f>
        <v>0</v>
      </c>
      <c r="M284" s="154">
        <f>+'[1]Budget 2025W'!T346</f>
        <v>0</v>
      </c>
      <c r="N284" s="154">
        <f>+'[1]Budget 2025W'!U346</f>
        <v>0</v>
      </c>
      <c r="O284" s="154">
        <f>+'[1]Budget 2025W'!V346</f>
        <v>0</v>
      </c>
      <c r="P284" s="131"/>
      <c r="Q284" s="156">
        <f t="shared" si="35"/>
        <v>0</v>
      </c>
    </row>
    <row r="285" spans="3:17" hidden="1" x14ac:dyDescent="0.2">
      <c r="C285" s="153" t="s">
        <v>106</v>
      </c>
      <c r="D285" s="75">
        <f>+'[1]Budget 2025W'!K347</f>
        <v>0</v>
      </c>
      <c r="E285" s="75">
        <f>+'[1]Budget 2025W'!L347</f>
        <v>0</v>
      </c>
      <c r="F285" s="154">
        <f>+'[1]Budget 2025W'!M347</f>
        <v>0</v>
      </c>
      <c r="G285" s="154">
        <f>+'[1]Budget 2025W'!N347</f>
        <v>0</v>
      </c>
      <c r="H285" s="154">
        <f>+'[1]Budget 2025W'!O347</f>
        <v>0</v>
      </c>
      <c r="I285" s="154">
        <f>+'[1]Budget 2025W'!P347</f>
        <v>0</v>
      </c>
      <c r="J285" s="154">
        <f>+'[1]Budget 2025W'!Q347</f>
        <v>0</v>
      </c>
      <c r="K285" s="154">
        <f>+'[1]Budget 2025W'!R347</f>
        <v>0</v>
      </c>
      <c r="L285" s="154">
        <f>+'[1]Budget 2025W'!S347</f>
        <v>0</v>
      </c>
      <c r="M285" s="154">
        <f>+'[1]Budget 2025W'!T347</f>
        <v>0</v>
      </c>
      <c r="N285" s="154">
        <f>+'[1]Budget 2025W'!U347</f>
        <v>0</v>
      </c>
      <c r="O285" s="154">
        <f>+'[1]Budget 2025W'!V347</f>
        <v>0</v>
      </c>
      <c r="P285" s="131"/>
      <c r="Q285" s="156">
        <f t="shared" si="35"/>
        <v>0</v>
      </c>
    </row>
    <row r="286" spans="3:17" hidden="1" x14ac:dyDescent="0.2">
      <c r="C286" s="153" t="s">
        <v>107</v>
      </c>
      <c r="D286" s="75">
        <f>+'[1]Budget 2025W'!K348</f>
        <v>0</v>
      </c>
      <c r="E286" s="75">
        <f>+'[1]Budget 2025W'!L348</f>
        <v>0</v>
      </c>
      <c r="F286" s="154">
        <f>+'[1]Budget 2025W'!M348</f>
        <v>0</v>
      </c>
      <c r="G286" s="154">
        <f>+'[1]Budget 2025W'!N348</f>
        <v>0</v>
      </c>
      <c r="H286" s="154">
        <f>+'[1]Budget 2025W'!O348</f>
        <v>0</v>
      </c>
      <c r="I286" s="154">
        <f>+'[1]Budget 2025W'!P348</f>
        <v>0</v>
      </c>
      <c r="J286" s="154">
        <f>+'[1]Budget 2025W'!Q348</f>
        <v>0</v>
      </c>
      <c r="K286" s="154">
        <f>+'[1]Budget 2025W'!R348</f>
        <v>0</v>
      </c>
      <c r="L286" s="154">
        <f>+'[1]Budget 2025W'!S348</f>
        <v>0</v>
      </c>
      <c r="M286" s="154">
        <f>+'[1]Budget 2025W'!T348</f>
        <v>0</v>
      </c>
      <c r="N286" s="154">
        <f>+'[1]Budget 2025W'!U348</f>
        <v>0</v>
      </c>
      <c r="O286" s="154">
        <f>+'[1]Budget 2025W'!V348</f>
        <v>0</v>
      </c>
      <c r="P286" s="131"/>
      <c r="Q286" s="156">
        <f t="shared" si="35"/>
        <v>0</v>
      </c>
    </row>
    <row r="287" spans="3:17" hidden="1" x14ac:dyDescent="0.2">
      <c r="C287" s="153" t="s">
        <v>108</v>
      </c>
      <c r="D287" s="75">
        <f>+'[1]Budget 2025W'!K349</f>
        <v>0</v>
      </c>
      <c r="E287" s="75">
        <f>+'[1]Budget 2025W'!L349</f>
        <v>0</v>
      </c>
      <c r="F287" s="154">
        <f>+'[1]Budget 2025W'!M349</f>
        <v>0</v>
      </c>
      <c r="G287" s="154">
        <f>+'[1]Budget 2025W'!N349</f>
        <v>0</v>
      </c>
      <c r="H287" s="154">
        <f>+'[1]Budget 2025W'!O349</f>
        <v>0</v>
      </c>
      <c r="I287" s="154">
        <f>+'[1]Budget 2025W'!P349</f>
        <v>0</v>
      </c>
      <c r="J287" s="154">
        <f>+'[1]Budget 2025W'!Q349</f>
        <v>0</v>
      </c>
      <c r="K287" s="154">
        <f>+'[1]Budget 2025W'!R349</f>
        <v>0</v>
      </c>
      <c r="L287" s="154">
        <f>+'[1]Budget 2025W'!S349</f>
        <v>0</v>
      </c>
      <c r="M287" s="154">
        <f>+'[1]Budget 2025W'!T349</f>
        <v>0</v>
      </c>
      <c r="N287" s="154">
        <f>+'[1]Budget 2025W'!U349</f>
        <v>0</v>
      </c>
      <c r="O287" s="154">
        <f>+'[1]Budget 2025W'!V349</f>
        <v>0</v>
      </c>
      <c r="P287" s="131"/>
      <c r="Q287" s="156">
        <f t="shared" si="35"/>
        <v>0</v>
      </c>
    </row>
    <row r="288" spans="3:17" hidden="1" x14ac:dyDescent="0.2">
      <c r="C288" s="153" t="s">
        <v>109</v>
      </c>
      <c r="D288" s="75">
        <f>+'[1]Budget 2025W'!K350</f>
        <v>0</v>
      </c>
      <c r="E288" s="75">
        <f>+'[1]Budget 2025W'!L350</f>
        <v>0</v>
      </c>
      <c r="F288" s="154">
        <f>+'[1]Budget 2025W'!M350</f>
        <v>0</v>
      </c>
      <c r="G288" s="154">
        <f>+'[1]Budget 2025W'!N350</f>
        <v>0</v>
      </c>
      <c r="H288" s="154">
        <f>+'[1]Budget 2025W'!O350</f>
        <v>0</v>
      </c>
      <c r="I288" s="154">
        <f>+'[1]Budget 2025W'!P350</f>
        <v>0</v>
      </c>
      <c r="J288" s="154">
        <f>+'[1]Budget 2025W'!Q350</f>
        <v>0</v>
      </c>
      <c r="K288" s="154">
        <f>+'[1]Budget 2025W'!R350</f>
        <v>0</v>
      </c>
      <c r="L288" s="154">
        <f>+'[1]Budget 2025W'!S350</f>
        <v>0</v>
      </c>
      <c r="M288" s="154">
        <f>+'[1]Budget 2025W'!T350</f>
        <v>0</v>
      </c>
      <c r="N288" s="154">
        <f>+'[1]Budget 2025W'!U350</f>
        <v>0</v>
      </c>
      <c r="O288" s="154">
        <f>+'[1]Budget 2025W'!V350</f>
        <v>0</v>
      </c>
      <c r="P288" s="131"/>
      <c r="Q288" s="156">
        <f t="shared" si="35"/>
        <v>0</v>
      </c>
    </row>
    <row r="289" spans="3:17" hidden="1" x14ac:dyDescent="0.2">
      <c r="C289" s="153" t="s">
        <v>110</v>
      </c>
      <c r="D289" s="75">
        <f>+'[1]Budget 2025W'!K351</f>
        <v>0</v>
      </c>
      <c r="E289" s="75">
        <f>+'[1]Budget 2025W'!L351</f>
        <v>0</v>
      </c>
      <c r="F289" s="154">
        <f>+'[1]Budget 2025W'!M351</f>
        <v>0</v>
      </c>
      <c r="G289" s="154">
        <f>+'[1]Budget 2025W'!N351</f>
        <v>0</v>
      </c>
      <c r="H289" s="154">
        <f>+'[1]Budget 2025W'!O351</f>
        <v>0</v>
      </c>
      <c r="I289" s="154">
        <f>+'[1]Budget 2025W'!P351</f>
        <v>0</v>
      </c>
      <c r="J289" s="154">
        <f>+'[1]Budget 2025W'!Q351</f>
        <v>0</v>
      </c>
      <c r="K289" s="154">
        <f>+'[1]Budget 2025W'!R351</f>
        <v>0</v>
      </c>
      <c r="L289" s="154">
        <f>+'[1]Budget 2025W'!S351</f>
        <v>0</v>
      </c>
      <c r="M289" s="154">
        <f>+'[1]Budget 2025W'!T351</f>
        <v>0</v>
      </c>
      <c r="N289" s="154">
        <f>+'[1]Budget 2025W'!U351</f>
        <v>0</v>
      </c>
      <c r="O289" s="154">
        <f>+'[1]Budget 2025W'!V351</f>
        <v>0</v>
      </c>
      <c r="P289" s="131"/>
      <c r="Q289" s="156">
        <f t="shared" si="35"/>
        <v>0</v>
      </c>
    </row>
    <row r="290" spans="3:17" hidden="1" x14ac:dyDescent="0.2">
      <c r="C290" s="153" t="s">
        <v>111</v>
      </c>
      <c r="D290" s="75">
        <f>+'[1]Budget 2025W'!K352</f>
        <v>0</v>
      </c>
      <c r="E290" s="75">
        <f>+'[1]Budget 2025W'!L352</f>
        <v>0</v>
      </c>
      <c r="F290" s="154">
        <f>+'[1]Budget 2025W'!M352</f>
        <v>0</v>
      </c>
      <c r="G290" s="154">
        <f>+'[1]Budget 2025W'!N352</f>
        <v>0</v>
      </c>
      <c r="H290" s="154">
        <f>+'[1]Budget 2025W'!O352</f>
        <v>0</v>
      </c>
      <c r="I290" s="154">
        <f>+'[1]Budget 2025W'!P352</f>
        <v>0</v>
      </c>
      <c r="J290" s="154">
        <f>+'[1]Budget 2025W'!Q352</f>
        <v>0</v>
      </c>
      <c r="K290" s="154">
        <f>+'[1]Budget 2025W'!R352</f>
        <v>0</v>
      </c>
      <c r="L290" s="154">
        <f>+'[1]Budget 2025W'!S352</f>
        <v>0</v>
      </c>
      <c r="M290" s="154">
        <f>+'[1]Budget 2025W'!T352</f>
        <v>0</v>
      </c>
      <c r="N290" s="154">
        <f>+'[1]Budget 2025W'!U352</f>
        <v>0</v>
      </c>
      <c r="O290" s="154">
        <f>+'[1]Budget 2025W'!V352</f>
        <v>0</v>
      </c>
      <c r="P290" s="131"/>
      <c r="Q290" s="156">
        <f t="shared" si="35"/>
        <v>0</v>
      </c>
    </row>
    <row r="291" spans="3:17" hidden="1" x14ac:dyDescent="0.2">
      <c r="C291" s="153" t="s">
        <v>112</v>
      </c>
      <c r="D291" s="75">
        <f>+'[1]Budget 2025W'!K353</f>
        <v>0</v>
      </c>
      <c r="E291" s="75">
        <f>+'[1]Budget 2025W'!L353</f>
        <v>0</v>
      </c>
      <c r="F291" s="154">
        <f>+'[1]Budget 2025W'!M353</f>
        <v>0</v>
      </c>
      <c r="G291" s="154">
        <f>+'[1]Budget 2025W'!N353</f>
        <v>0</v>
      </c>
      <c r="H291" s="154">
        <f>+'[1]Budget 2025W'!O353</f>
        <v>0</v>
      </c>
      <c r="I291" s="154">
        <f>+'[1]Budget 2025W'!P353</f>
        <v>0</v>
      </c>
      <c r="J291" s="154">
        <f>+'[1]Budget 2025W'!Q353</f>
        <v>0</v>
      </c>
      <c r="K291" s="154">
        <f>+'[1]Budget 2025W'!R353</f>
        <v>0</v>
      </c>
      <c r="L291" s="154">
        <f>+'[1]Budget 2025W'!S353</f>
        <v>0</v>
      </c>
      <c r="M291" s="154">
        <f>+'[1]Budget 2025W'!T353</f>
        <v>0</v>
      </c>
      <c r="N291" s="154">
        <f>+'[1]Budget 2025W'!U353</f>
        <v>0</v>
      </c>
      <c r="O291" s="154">
        <f>+'[1]Budget 2025W'!V353</f>
        <v>0</v>
      </c>
      <c r="P291" s="131"/>
      <c r="Q291" s="156">
        <f t="shared" si="35"/>
        <v>0</v>
      </c>
    </row>
    <row r="292" spans="3:17" hidden="1" x14ac:dyDescent="0.2">
      <c r="C292" s="153" t="s">
        <v>113</v>
      </c>
      <c r="D292" s="75">
        <f>+'[1]Budget 2025W'!K354</f>
        <v>0</v>
      </c>
      <c r="E292" s="75">
        <f>+'[1]Budget 2025W'!L354</f>
        <v>0</v>
      </c>
      <c r="F292" s="154">
        <f>+'[1]Budget 2025W'!M354</f>
        <v>0</v>
      </c>
      <c r="G292" s="154">
        <f>+'[1]Budget 2025W'!N354</f>
        <v>0</v>
      </c>
      <c r="H292" s="154">
        <f>+'[1]Budget 2025W'!O354</f>
        <v>0</v>
      </c>
      <c r="I292" s="154">
        <f>+'[1]Budget 2025W'!P354</f>
        <v>0</v>
      </c>
      <c r="J292" s="154">
        <f>+'[1]Budget 2025W'!Q354</f>
        <v>0</v>
      </c>
      <c r="K292" s="154">
        <f>+'[1]Budget 2025W'!R354</f>
        <v>0</v>
      </c>
      <c r="L292" s="154">
        <f>+'[1]Budget 2025W'!S354</f>
        <v>0</v>
      </c>
      <c r="M292" s="154">
        <f>+'[1]Budget 2025W'!T354</f>
        <v>0</v>
      </c>
      <c r="N292" s="154">
        <f>+'[1]Budget 2025W'!U354</f>
        <v>0</v>
      </c>
      <c r="O292" s="154">
        <f>+'[1]Budget 2025W'!V354</f>
        <v>0</v>
      </c>
      <c r="P292" s="131"/>
      <c r="Q292" s="156">
        <f t="shared" si="35"/>
        <v>0</v>
      </c>
    </row>
    <row r="293" spans="3:17" ht="16.5" hidden="1" thickTop="1" x14ac:dyDescent="0.25">
      <c r="C293" s="198" t="s">
        <v>114</v>
      </c>
      <c r="D293" s="199">
        <f>+'[1]Budget 2025W'!K359</f>
        <v>0</v>
      </c>
      <c r="E293" s="199">
        <f>+'[1]Budget 2025W'!L359</f>
        <v>0</v>
      </c>
      <c r="F293" s="200">
        <f>+'[1]Budget 2025W'!M359</f>
        <v>0</v>
      </c>
      <c r="G293" s="200">
        <f>+'[1]Budget 2025W'!N359</f>
        <v>0</v>
      </c>
      <c r="H293" s="200">
        <f>+'[1]Budget 2025W'!O359</f>
        <v>0</v>
      </c>
      <c r="I293" s="200">
        <f>+'[1]Budget 2025W'!P359</f>
        <v>0</v>
      </c>
      <c r="J293" s="200">
        <f>+'[1]Budget 2025W'!Q359</f>
        <v>0</v>
      </c>
      <c r="K293" s="200">
        <f>+'[1]Budget 2025W'!R359</f>
        <v>0</v>
      </c>
      <c r="L293" s="200">
        <f>+'[1]Budget 2025W'!S359</f>
        <v>0</v>
      </c>
      <c r="M293" s="200">
        <f>+'[1]Budget 2025W'!T359</f>
        <v>0</v>
      </c>
      <c r="N293" s="200">
        <f>+'[1]Budget 2025W'!U359</f>
        <v>0</v>
      </c>
      <c r="O293" s="200">
        <f>+'[1]Budget 2025W'!V359</f>
        <v>0</v>
      </c>
      <c r="P293" s="131"/>
      <c r="Q293" s="165">
        <f t="shared" si="35"/>
        <v>0</v>
      </c>
    </row>
    <row r="294" spans="3:17" ht="16.5" hidden="1" thickTop="1" thickBot="1" x14ac:dyDescent="0.25">
      <c r="C294" s="201" t="s">
        <v>166</v>
      </c>
      <c r="D294" s="168" t="str">
        <f t="shared" ref="D294:O294" si="36">IFERROR(D293/D259,"")</f>
        <v/>
      </c>
      <c r="E294" s="168" t="str">
        <f t="shared" si="36"/>
        <v/>
      </c>
      <c r="F294" s="169" t="str">
        <f t="shared" si="36"/>
        <v/>
      </c>
      <c r="G294" s="169" t="str">
        <f t="shared" si="36"/>
        <v/>
      </c>
      <c r="H294" s="169" t="str">
        <f t="shared" si="36"/>
        <v/>
      </c>
      <c r="I294" s="169" t="str">
        <f t="shared" si="36"/>
        <v/>
      </c>
      <c r="J294" s="169" t="str">
        <f t="shared" si="36"/>
        <v/>
      </c>
      <c r="K294" s="169" t="str">
        <f t="shared" si="36"/>
        <v/>
      </c>
      <c r="L294" s="169" t="str">
        <f t="shared" si="36"/>
        <v/>
      </c>
      <c r="M294" s="169" t="str">
        <f t="shared" si="36"/>
        <v/>
      </c>
      <c r="N294" s="169" t="str">
        <f t="shared" si="36"/>
        <v/>
      </c>
      <c r="O294" s="169" t="str">
        <f t="shared" si="36"/>
        <v/>
      </c>
      <c r="P294" s="131"/>
      <c r="Q294" s="171"/>
    </row>
    <row r="295" spans="3:17" ht="15.75" x14ac:dyDescent="0.25">
      <c r="C295" s="195" t="s">
        <v>44</v>
      </c>
      <c r="D295" s="196"/>
      <c r="E295" s="196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31"/>
      <c r="Q295" s="161"/>
    </row>
    <row r="296" spans="3:17" x14ac:dyDescent="0.2">
      <c r="C296" s="153" t="s">
        <v>167</v>
      </c>
      <c r="D296" s="75">
        <f>+'[1]Budget 2025W'!K362</f>
        <v>0</v>
      </c>
      <c r="E296" s="75">
        <f>+'[1]Budget 2025W'!L362</f>
        <v>0</v>
      </c>
      <c r="F296" s="154">
        <f>+'[1]Budget 2025W'!M362</f>
        <v>0</v>
      </c>
      <c r="G296" s="154">
        <f>+'[1]Budget 2025W'!N362</f>
        <v>0</v>
      </c>
      <c r="H296" s="154">
        <f>+'[1]Budget 2025W'!O362</f>
        <v>0</v>
      </c>
      <c r="I296" s="154">
        <f>+'[1]Budget 2025W'!P362</f>
        <v>0</v>
      </c>
      <c r="J296" s="154">
        <f>+'[1]Budget 2025W'!Q362</f>
        <v>0</v>
      </c>
      <c r="K296" s="154">
        <f>+'[1]Budget 2025W'!R362</f>
        <v>0</v>
      </c>
      <c r="L296" s="154">
        <f>+'[1]Budget 2025W'!S362</f>
        <v>0</v>
      </c>
      <c r="M296" s="154">
        <f>+'[1]Budget 2025W'!T362</f>
        <v>0</v>
      </c>
      <c r="N296" s="154">
        <f>+'[1]Budget 2025W'!U362</f>
        <v>0</v>
      </c>
      <c r="O296" s="154">
        <f>+'[1]Budget 2025W'!V362</f>
        <v>0</v>
      </c>
      <c r="P296" s="131"/>
      <c r="Q296" s="156">
        <f t="shared" ref="Q296:Q333" si="37">SUM(D296:O296)</f>
        <v>0</v>
      </c>
    </row>
    <row r="297" spans="3:17" x14ac:dyDescent="0.2">
      <c r="C297" s="153" t="s">
        <v>168</v>
      </c>
      <c r="D297" s="75">
        <f>+'[1]Budget 2025W'!K363</f>
        <v>0</v>
      </c>
      <c r="E297" s="75">
        <f>+'[1]Budget 2025W'!L363</f>
        <v>0</v>
      </c>
      <c r="F297" s="154">
        <f>+'[1]Budget 2025W'!M363</f>
        <v>0</v>
      </c>
      <c r="G297" s="154">
        <f>+'[1]Budget 2025W'!N363</f>
        <v>0</v>
      </c>
      <c r="H297" s="154">
        <f>+'[1]Budget 2025W'!O363</f>
        <v>0</v>
      </c>
      <c r="I297" s="154">
        <f>+'[1]Budget 2025W'!P363</f>
        <v>0</v>
      </c>
      <c r="J297" s="154">
        <f>+'[1]Budget 2025W'!Q363</f>
        <v>0</v>
      </c>
      <c r="K297" s="154">
        <f>+'[1]Budget 2025W'!R363</f>
        <v>0</v>
      </c>
      <c r="L297" s="154">
        <f>+'[1]Budget 2025W'!S363</f>
        <v>0</v>
      </c>
      <c r="M297" s="154">
        <f>+'[1]Budget 2025W'!T363</f>
        <v>0</v>
      </c>
      <c r="N297" s="154">
        <f>+'[1]Budget 2025W'!U363</f>
        <v>0</v>
      </c>
      <c r="O297" s="154">
        <f>+'[1]Budget 2025W'!V363</f>
        <v>0</v>
      </c>
      <c r="P297" s="131"/>
      <c r="Q297" s="156">
        <f t="shared" si="37"/>
        <v>0</v>
      </c>
    </row>
    <row r="298" spans="3:17" x14ac:dyDescent="0.2">
      <c r="C298" s="153" t="s">
        <v>115</v>
      </c>
      <c r="D298" s="75">
        <f>+'[1]Budget 2025W'!K364</f>
        <v>0</v>
      </c>
      <c r="E298" s="75">
        <f>+'[1]Budget 2025W'!L364</f>
        <v>0</v>
      </c>
      <c r="F298" s="154">
        <f>+'[1]Budget 2025W'!M364</f>
        <v>0</v>
      </c>
      <c r="G298" s="154">
        <f>+'[1]Budget 2025W'!N364</f>
        <v>0</v>
      </c>
      <c r="H298" s="154">
        <f>+'[1]Budget 2025W'!O364</f>
        <v>0</v>
      </c>
      <c r="I298" s="154">
        <f>+'[1]Budget 2025W'!P364</f>
        <v>0</v>
      </c>
      <c r="J298" s="154">
        <f>+'[1]Budget 2025W'!Q364</f>
        <v>0</v>
      </c>
      <c r="K298" s="154">
        <f>+'[1]Budget 2025W'!R364</f>
        <v>0</v>
      </c>
      <c r="L298" s="154">
        <f>+'[1]Budget 2025W'!S364</f>
        <v>0</v>
      </c>
      <c r="M298" s="154">
        <f>+'[1]Budget 2025W'!T364</f>
        <v>0</v>
      </c>
      <c r="N298" s="154">
        <f>+'[1]Budget 2025W'!U364</f>
        <v>0</v>
      </c>
      <c r="O298" s="154">
        <f>+'[1]Budget 2025W'!V364</f>
        <v>0</v>
      </c>
      <c r="P298" s="131"/>
      <c r="Q298" s="156">
        <f t="shared" si="37"/>
        <v>0</v>
      </c>
    </row>
    <row r="299" spans="3:17" x14ac:dyDescent="0.2">
      <c r="C299" s="153" t="s">
        <v>116</v>
      </c>
      <c r="D299" s="75">
        <f>+'[1]Budget 2025W'!K365</f>
        <v>0</v>
      </c>
      <c r="E299" s="75">
        <f>+'[1]Budget 2025W'!L365</f>
        <v>0</v>
      </c>
      <c r="F299" s="154">
        <f>+'[1]Budget 2025W'!M365</f>
        <v>0</v>
      </c>
      <c r="G299" s="154">
        <f>+'[1]Budget 2025W'!N365</f>
        <v>0</v>
      </c>
      <c r="H299" s="154">
        <f>+'[1]Budget 2025W'!O365</f>
        <v>0</v>
      </c>
      <c r="I299" s="154">
        <f>+'[1]Budget 2025W'!P365</f>
        <v>0</v>
      </c>
      <c r="J299" s="154">
        <f>+'[1]Budget 2025W'!Q365</f>
        <v>0</v>
      </c>
      <c r="K299" s="154">
        <f>+'[1]Budget 2025W'!R365</f>
        <v>0</v>
      </c>
      <c r="L299" s="154">
        <f>+'[1]Budget 2025W'!S365</f>
        <v>0</v>
      </c>
      <c r="M299" s="154">
        <f>+'[1]Budget 2025W'!T365</f>
        <v>0</v>
      </c>
      <c r="N299" s="154">
        <f>+'[1]Budget 2025W'!U365</f>
        <v>0</v>
      </c>
      <c r="O299" s="154">
        <f>+'[1]Budget 2025W'!V365</f>
        <v>0</v>
      </c>
      <c r="P299" s="131"/>
      <c r="Q299" s="156">
        <f t="shared" si="37"/>
        <v>0</v>
      </c>
    </row>
    <row r="300" spans="3:17" x14ac:dyDescent="0.2">
      <c r="C300" s="153" t="s">
        <v>102</v>
      </c>
      <c r="D300" s="75">
        <f>+'[1]Budget 2025W'!K366</f>
        <v>0</v>
      </c>
      <c r="E300" s="75">
        <f>+'[1]Budget 2025W'!L366</f>
        <v>0</v>
      </c>
      <c r="F300" s="154">
        <f>+'[1]Budget 2025W'!M366</f>
        <v>0</v>
      </c>
      <c r="G300" s="154">
        <f>+'[1]Budget 2025W'!N366</f>
        <v>0</v>
      </c>
      <c r="H300" s="154">
        <f>+'[1]Budget 2025W'!O366</f>
        <v>0</v>
      </c>
      <c r="I300" s="154">
        <f>+'[1]Budget 2025W'!P366</f>
        <v>0</v>
      </c>
      <c r="J300" s="154">
        <f>+'[1]Budget 2025W'!Q366</f>
        <v>0</v>
      </c>
      <c r="K300" s="154">
        <f>+'[1]Budget 2025W'!R366</f>
        <v>0</v>
      </c>
      <c r="L300" s="154">
        <f>+'[1]Budget 2025W'!S366</f>
        <v>0</v>
      </c>
      <c r="M300" s="154">
        <f>+'[1]Budget 2025W'!T366</f>
        <v>0</v>
      </c>
      <c r="N300" s="154">
        <f>+'[1]Budget 2025W'!U366</f>
        <v>0</v>
      </c>
      <c r="O300" s="154">
        <f>+'[1]Budget 2025W'!V366</f>
        <v>0</v>
      </c>
      <c r="P300" s="131"/>
      <c r="Q300" s="156">
        <f t="shared" si="37"/>
        <v>0</v>
      </c>
    </row>
    <row r="301" spans="3:17" x14ac:dyDescent="0.2">
      <c r="C301" s="153" t="s">
        <v>120</v>
      </c>
      <c r="D301" s="75">
        <f>+'[1]Budget 2025W'!K367</f>
        <v>0</v>
      </c>
      <c r="E301" s="75">
        <f>+'[1]Budget 2025W'!L367</f>
        <v>0</v>
      </c>
      <c r="F301" s="154">
        <f>+'[1]Budget 2025W'!M367</f>
        <v>0</v>
      </c>
      <c r="G301" s="154">
        <f>+'[1]Budget 2025W'!N367</f>
        <v>0</v>
      </c>
      <c r="H301" s="154">
        <f>+'[1]Budget 2025W'!O367</f>
        <v>0</v>
      </c>
      <c r="I301" s="154">
        <f>+'[1]Budget 2025W'!P367</f>
        <v>0</v>
      </c>
      <c r="J301" s="154">
        <f>+'[1]Budget 2025W'!Q367</f>
        <v>0</v>
      </c>
      <c r="K301" s="154">
        <f>+'[1]Budget 2025W'!R367</f>
        <v>0</v>
      </c>
      <c r="L301" s="154">
        <f>+'[1]Budget 2025W'!S367</f>
        <v>0</v>
      </c>
      <c r="M301" s="154">
        <f>+'[1]Budget 2025W'!T367</f>
        <v>0</v>
      </c>
      <c r="N301" s="154">
        <f>+'[1]Budget 2025W'!U367</f>
        <v>0</v>
      </c>
      <c r="O301" s="154">
        <f>+'[1]Budget 2025W'!V367</f>
        <v>0</v>
      </c>
      <c r="P301" s="131"/>
      <c r="Q301" s="156">
        <f t="shared" si="37"/>
        <v>0</v>
      </c>
    </row>
    <row r="302" spans="3:17" x14ac:dyDescent="0.2">
      <c r="C302" s="153" t="s">
        <v>121</v>
      </c>
      <c r="D302" s="75">
        <f>+'[1]Budget 2025W'!K368</f>
        <v>0</v>
      </c>
      <c r="E302" s="75">
        <f>+'[1]Budget 2025W'!L368</f>
        <v>0</v>
      </c>
      <c r="F302" s="154">
        <f>+'[1]Budget 2025W'!M368</f>
        <v>0</v>
      </c>
      <c r="G302" s="154">
        <f>+'[1]Budget 2025W'!N368</f>
        <v>0</v>
      </c>
      <c r="H302" s="154">
        <f>+'[1]Budget 2025W'!O368</f>
        <v>0</v>
      </c>
      <c r="I302" s="154">
        <f>+'[1]Budget 2025W'!P368</f>
        <v>0</v>
      </c>
      <c r="J302" s="154">
        <f>+'[1]Budget 2025W'!Q368</f>
        <v>0</v>
      </c>
      <c r="K302" s="154">
        <f>+'[1]Budget 2025W'!R368</f>
        <v>0</v>
      </c>
      <c r="L302" s="154">
        <f>+'[1]Budget 2025W'!S368</f>
        <v>0</v>
      </c>
      <c r="M302" s="154">
        <f>+'[1]Budget 2025W'!T368</f>
        <v>0</v>
      </c>
      <c r="N302" s="154">
        <f>+'[1]Budget 2025W'!U368</f>
        <v>0</v>
      </c>
      <c r="O302" s="154">
        <f>+'[1]Budget 2025W'!V368</f>
        <v>0</v>
      </c>
      <c r="P302" s="131"/>
      <c r="Q302" s="156">
        <f t="shared" si="37"/>
        <v>0</v>
      </c>
    </row>
    <row r="303" spans="3:17" x14ac:dyDescent="0.2">
      <c r="C303" s="153" t="s">
        <v>122</v>
      </c>
      <c r="D303" s="75">
        <f>+'[1]Budget 2025W'!K369</f>
        <v>0</v>
      </c>
      <c r="E303" s="75">
        <f>+'[1]Budget 2025W'!L369</f>
        <v>0</v>
      </c>
      <c r="F303" s="154">
        <f>+'[1]Budget 2025W'!M369</f>
        <v>0</v>
      </c>
      <c r="G303" s="154">
        <f>+'[1]Budget 2025W'!N369</f>
        <v>0</v>
      </c>
      <c r="H303" s="154">
        <f>+'[1]Budget 2025W'!O369</f>
        <v>0</v>
      </c>
      <c r="I303" s="154">
        <f>+'[1]Budget 2025W'!P369</f>
        <v>0</v>
      </c>
      <c r="J303" s="154">
        <f>+'[1]Budget 2025W'!Q369</f>
        <v>0</v>
      </c>
      <c r="K303" s="154">
        <f>+'[1]Budget 2025W'!R369</f>
        <v>0</v>
      </c>
      <c r="L303" s="154">
        <f>+'[1]Budget 2025W'!S369</f>
        <v>0</v>
      </c>
      <c r="M303" s="154">
        <f>+'[1]Budget 2025W'!T369</f>
        <v>0</v>
      </c>
      <c r="N303" s="154">
        <f>+'[1]Budget 2025W'!U369</f>
        <v>0</v>
      </c>
      <c r="O303" s="154">
        <f>+'[1]Budget 2025W'!V369</f>
        <v>0</v>
      </c>
      <c r="P303" s="131"/>
      <c r="Q303" s="156">
        <f t="shared" si="37"/>
        <v>0</v>
      </c>
    </row>
    <row r="304" spans="3:17" x14ac:dyDescent="0.2">
      <c r="C304" s="153" t="s">
        <v>123</v>
      </c>
      <c r="D304" s="75">
        <f>+'[1]Budget 2025W'!K370</f>
        <v>0</v>
      </c>
      <c r="E304" s="75">
        <f>+'[1]Budget 2025W'!L370</f>
        <v>0</v>
      </c>
      <c r="F304" s="154">
        <f>+'[1]Budget 2025W'!M370</f>
        <v>0</v>
      </c>
      <c r="G304" s="154">
        <f>+'[1]Budget 2025W'!N370</f>
        <v>0</v>
      </c>
      <c r="H304" s="154">
        <f>+'[1]Budget 2025W'!O370</f>
        <v>0</v>
      </c>
      <c r="I304" s="154">
        <f>+'[1]Budget 2025W'!P370</f>
        <v>0</v>
      </c>
      <c r="J304" s="154">
        <f>+'[1]Budget 2025W'!Q370</f>
        <v>0</v>
      </c>
      <c r="K304" s="154">
        <f>+'[1]Budget 2025W'!R370</f>
        <v>0</v>
      </c>
      <c r="L304" s="154">
        <f>+'[1]Budget 2025W'!S370</f>
        <v>0</v>
      </c>
      <c r="M304" s="154">
        <f>+'[1]Budget 2025W'!T370</f>
        <v>0</v>
      </c>
      <c r="N304" s="154">
        <f>+'[1]Budget 2025W'!U370</f>
        <v>0</v>
      </c>
      <c r="O304" s="154">
        <f>+'[1]Budget 2025W'!V370</f>
        <v>0</v>
      </c>
      <c r="P304" s="131"/>
      <c r="Q304" s="156">
        <f t="shared" si="37"/>
        <v>0</v>
      </c>
    </row>
    <row r="305" spans="3:17" x14ac:dyDescent="0.2">
      <c r="C305" s="153" t="s">
        <v>169</v>
      </c>
      <c r="D305" s="75">
        <f>+'[1]Budget 2025W'!K371</f>
        <v>0</v>
      </c>
      <c r="E305" s="75">
        <f>+'[1]Budget 2025W'!L371</f>
        <v>0</v>
      </c>
      <c r="F305" s="154">
        <f>+'[1]Budget 2025W'!M371</f>
        <v>0</v>
      </c>
      <c r="G305" s="154">
        <f>+'[1]Budget 2025W'!N371</f>
        <v>0</v>
      </c>
      <c r="H305" s="154">
        <f>+'[1]Budget 2025W'!O371</f>
        <v>0</v>
      </c>
      <c r="I305" s="154">
        <f>+'[1]Budget 2025W'!P371</f>
        <v>0</v>
      </c>
      <c r="J305" s="154">
        <f>+'[1]Budget 2025W'!Q371</f>
        <v>0</v>
      </c>
      <c r="K305" s="154">
        <f>+'[1]Budget 2025W'!R371</f>
        <v>0</v>
      </c>
      <c r="L305" s="154">
        <f>+'[1]Budget 2025W'!S371</f>
        <v>0</v>
      </c>
      <c r="M305" s="154">
        <f>+'[1]Budget 2025W'!T371</f>
        <v>0</v>
      </c>
      <c r="N305" s="154">
        <f>+'[1]Budget 2025W'!U371</f>
        <v>0</v>
      </c>
      <c r="O305" s="154">
        <f>+'[1]Budget 2025W'!V371</f>
        <v>0</v>
      </c>
      <c r="P305" s="131"/>
      <c r="Q305" s="156">
        <f t="shared" si="37"/>
        <v>0</v>
      </c>
    </row>
    <row r="306" spans="3:17" x14ac:dyDescent="0.2">
      <c r="C306" s="153" t="s">
        <v>170</v>
      </c>
      <c r="D306" s="75">
        <f>+'[1]Budget 2025W'!K372</f>
        <v>0</v>
      </c>
      <c r="E306" s="75">
        <f>+'[1]Budget 2025W'!L372</f>
        <v>0</v>
      </c>
      <c r="F306" s="154">
        <f>+'[1]Budget 2025W'!M372</f>
        <v>0</v>
      </c>
      <c r="G306" s="154">
        <f>+'[1]Budget 2025W'!N372</f>
        <v>0</v>
      </c>
      <c r="H306" s="154">
        <f>+'[1]Budget 2025W'!O372</f>
        <v>0</v>
      </c>
      <c r="I306" s="154">
        <f>+'[1]Budget 2025W'!P372</f>
        <v>0</v>
      </c>
      <c r="J306" s="154">
        <f>+'[1]Budget 2025W'!Q372</f>
        <v>0</v>
      </c>
      <c r="K306" s="154">
        <f>+'[1]Budget 2025W'!R372</f>
        <v>0</v>
      </c>
      <c r="L306" s="154">
        <f>+'[1]Budget 2025W'!S372</f>
        <v>0</v>
      </c>
      <c r="M306" s="154">
        <f>+'[1]Budget 2025W'!T372</f>
        <v>0</v>
      </c>
      <c r="N306" s="154">
        <f>+'[1]Budget 2025W'!U372</f>
        <v>0</v>
      </c>
      <c r="O306" s="154">
        <f>+'[1]Budget 2025W'!V372</f>
        <v>0</v>
      </c>
      <c r="P306" s="131"/>
      <c r="Q306" s="156">
        <f t="shared" si="37"/>
        <v>0</v>
      </c>
    </row>
    <row r="307" spans="3:17" x14ac:dyDescent="0.2">
      <c r="C307" s="153" t="s">
        <v>125</v>
      </c>
      <c r="D307" s="75">
        <f>+'[1]Budget 2025W'!K373</f>
        <v>0</v>
      </c>
      <c r="E307" s="75">
        <f>+'[1]Budget 2025W'!L373</f>
        <v>0</v>
      </c>
      <c r="F307" s="154">
        <f>+'[1]Budget 2025W'!M373</f>
        <v>0</v>
      </c>
      <c r="G307" s="154">
        <f>+'[1]Budget 2025W'!N373</f>
        <v>0</v>
      </c>
      <c r="H307" s="154">
        <f>+'[1]Budget 2025W'!O373</f>
        <v>0</v>
      </c>
      <c r="I307" s="154">
        <f>+'[1]Budget 2025W'!P373</f>
        <v>0</v>
      </c>
      <c r="J307" s="154">
        <f>+'[1]Budget 2025W'!Q373</f>
        <v>0</v>
      </c>
      <c r="K307" s="154">
        <f>+'[1]Budget 2025W'!R373</f>
        <v>0</v>
      </c>
      <c r="L307" s="154">
        <f>+'[1]Budget 2025W'!S373</f>
        <v>0</v>
      </c>
      <c r="M307" s="154">
        <f>+'[1]Budget 2025W'!T373</f>
        <v>0</v>
      </c>
      <c r="N307" s="154">
        <f>+'[1]Budget 2025W'!U373</f>
        <v>0</v>
      </c>
      <c r="O307" s="154">
        <f>+'[1]Budget 2025W'!V373</f>
        <v>0</v>
      </c>
      <c r="P307" s="131"/>
      <c r="Q307" s="156">
        <f t="shared" si="37"/>
        <v>0</v>
      </c>
    </row>
    <row r="308" spans="3:17" x14ac:dyDescent="0.2">
      <c r="C308" s="153" t="s">
        <v>126</v>
      </c>
      <c r="D308" s="75">
        <f>+'[1]Budget 2025W'!K374</f>
        <v>0</v>
      </c>
      <c r="E308" s="75">
        <f>+'[1]Budget 2025W'!L374</f>
        <v>0</v>
      </c>
      <c r="F308" s="154">
        <f>+'[1]Budget 2025W'!M374</f>
        <v>0</v>
      </c>
      <c r="G308" s="154">
        <f>+'[1]Budget 2025W'!N374</f>
        <v>0</v>
      </c>
      <c r="H308" s="154">
        <f>+'[1]Budget 2025W'!O374</f>
        <v>0</v>
      </c>
      <c r="I308" s="154">
        <f>+'[1]Budget 2025W'!P374</f>
        <v>0</v>
      </c>
      <c r="J308" s="154">
        <f>+'[1]Budget 2025W'!Q374</f>
        <v>0</v>
      </c>
      <c r="K308" s="154">
        <f>+'[1]Budget 2025W'!R374</f>
        <v>0</v>
      </c>
      <c r="L308" s="154">
        <f>+'[1]Budget 2025W'!S374</f>
        <v>0</v>
      </c>
      <c r="M308" s="154">
        <f>+'[1]Budget 2025W'!T374</f>
        <v>0</v>
      </c>
      <c r="N308" s="154">
        <f>+'[1]Budget 2025W'!U374</f>
        <v>0</v>
      </c>
      <c r="O308" s="154">
        <f>+'[1]Budget 2025W'!V374</f>
        <v>0</v>
      </c>
      <c r="P308" s="131"/>
      <c r="Q308" s="156">
        <f t="shared" si="37"/>
        <v>0</v>
      </c>
    </row>
    <row r="309" spans="3:17" x14ac:dyDescent="0.2">
      <c r="C309" s="153" t="s">
        <v>171</v>
      </c>
      <c r="D309" s="75">
        <f>+'[1]Budget 2025W'!K375</f>
        <v>0</v>
      </c>
      <c r="E309" s="75">
        <f>+'[1]Budget 2025W'!L375</f>
        <v>0</v>
      </c>
      <c r="F309" s="154">
        <f>+'[1]Budget 2025W'!M375</f>
        <v>0</v>
      </c>
      <c r="G309" s="154">
        <f>+'[1]Budget 2025W'!N375</f>
        <v>0</v>
      </c>
      <c r="H309" s="154">
        <f>+'[1]Budget 2025W'!O375</f>
        <v>0</v>
      </c>
      <c r="I309" s="154">
        <f>+'[1]Budget 2025W'!P375</f>
        <v>0</v>
      </c>
      <c r="J309" s="154">
        <f>+'[1]Budget 2025W'!Q375</f>
        <v>0</v>
      </c>
      <c r="K309" s="154">
        <f>+'[1]Budget 2025W'!R375</f>
        <v>0</v>
      </c>
      <c r="L309" s="154">
        <f>+'[1]Budget 2025W'!S375</f>
        <v>0</v>
      </c>
      <c r="M309" s="154">
        <f>+'[1]Budget 2025W'!T375</f>
        <v>0</v>
      </c>
      <c r="N309" s="154">
        <f>+'[1]Budget 2025W'!U375</f>
        <v>0</v>
      </c>
      <c r="O309" s="154">
        <f>+'[1]Budget 2025W'!V375</f>
        <v>0</v>
      </c>
      <c r="P309" s="131"/>
      <c r="Q309" s="156">
        <f t="shared" si="37"/>
        <v>0</v>
      </c>
    </row>
    <row r="310" spans="3:17" x14ac:dyDescent="0.2">
      <c r="C310" s="153" t="s">
        <v>172</v>
      </c>
      <c r="D310" s="75">
        <f>+'[1]Budget 2025W'!K376</f>
        <v>0</v>
      </c>
      <c r="E310" s="75">
        <f>+'[1]Budget 2025W'!L376</f>
        <v>0</v>
      </c>
      <c r="F310" s="154">
        <f>+'[1]Budget 2025W'!M376</f>
        <v>0</v>
      </c>
      <c r="G310" s="154">
        <f>+'[1]Budget 2025W'!N376</f>
        <v>0</v>
      </c>
      <c r="H310" s="154">
        <f>+'[1]Budget 2025W'!O376</f>
        <v>0</v>
      </c>
      <c r="I310" s="154">
        <f>+'[1]Budget 2025W'!P376</f>
        <v>0</v>
      </c>
      <c r="J310" s="154">
        <f>+'[1]Budget 2025W'!Q376</f>
        <v>0</v>
      </c>
      <c r="K310" s="154">
        <f>+'[1]Budget 2025W'!R376</f>
        <v>0</v>
      </c>
      <c r="L310" s="154">
        <f>+'[1]Budget 2025W'!S376</f>
        <v>0</v>
      </c>
      <c r="M310" s="154">
        <f>+'[1]Budget 2025W'!T376</f>
        <v>0</v>
      </c>
      <c r="N310" s="154">
        <f>+'[1]Budget 2025W'!U376</f>
        <v>0</v>
      </c>
      <c r="O310" s="154">
        <f>+'[1]Budget 2025W'!V376</f>
        <v>0</v>
      </c>
      <c r="P310" s="131"/>
      <c r="Q310" s="156">
        <f t="shared" si="37"/>
        <v>0</v>
      </c>
    </row>
    <row r="311" spans="3:17" x14ac:dyDescent="0.2">
      <c r="C311" s="153" t="s">
        <v>173</v>
      </c>
      <c r="D311" s="75">
        <f>+'[1]Budget 2025W'!K377</f>
        <v>0</v>
      </c>
      <c r="E311" s="75">
        <f>+'[1]Budget 2025W'!L377</f>
        <v>0</v>
      </c>
      <c r="F311" s="154">
        <f>+'[1]Budget 2025W'!M377</f>
        <v>0</v>
      </c>
      <c r="G311" s="154">
        <f>+'[1]Budget 2025W'!N377</f>
        <v>0</v>
      </c>
      <c r="H311" s="154">
        <f>+'[1]Budget 2025W'!O377</f>
        <v>0</v>
      </c>
      <c r="I311" s="154">
        <f>+'[1]Budget 2025W'!P377</f>
        <v>0</v>
      </c>
      <c r="J311" s="154">
        <f>+'[1]Budget 2025W'!Q377</f>
        <v>0</v>
      </c>
      <c r="K311" s="154">
        <f>+'[1]Budget 2025W'!R377</f>
        <v>0</v>
      </c>
      <c r="L311" s="154">
        <f>+'[1]Budget 2025W'!S377</f>
        <v>0</v>
      </c>
      <c r="M311" s="154">
        <f>+'[1]Budget 2025W'!T377</f>
        <v>0</v>
      </c>
      <c r="N311" s="154">
        <f>+'[1]Budget 2025W'!U377</f>
        <v>0</v>
      </c>
      <c r="O311" s="154">
        <f>+'[1]Budget 2025W'!V377</f>
        <v>0</v>
      </c>
      <c r="P311" s="131"/>
      <c r="Q311" s="156">
        <f t="shared" si="37"/>
        <v>0</v>
      </c>
    </row>
    <row r="312" spans="3:17" x14ac:dyDescent="0.2">
      <c r="C312" s="153" t="s">
        <v>174</v>
      </c>
      <c r="D312" s="75">
        <f>+'[1]Budget 2025W'!K378</f>
        <v>0</v>
      </c>
      <c r="E312" s="75">
        <f>+'[1]Budget 2025W'!L378</f>
        <v>0</v>
      </c>
      <c r="F312" s="154">
        <f>+'[1]Budget 2025W'!M378</f>
        <v>0</v>
      </c>
      <c r="G312" s="154">
        <f>+'[1]Budget 2025W'!N378</f>
        <v>0</v>
      </c>
      <c r="H312" s="154">
        <f>+'[1]Budget 2025W'!O378</f>
        <v>0</v>
      </c>
      <c r="I312" s="154">
        <f>+'[1]Budget 2025W'!P378</f>
        <v>0</v>
      </c>
      <c r="J312" s="154">
        <f>+'[1]Budget 2025W'!Q378</f>
        <v>0</v>
      </c>
      <c r="K312" s="154">
        <f>+'[1]Budget 2025W'!R378</f>
        <v>0</v>
      </c>
      <c r="L312" s="154">
        <f>+'[1]Budget 2025W'!S378</f>
        <v>0</v>
      </c>
      <c r="M312" s="154">
        <f>+'[1]Budget 2025W'!T378</f>
        <v>0</v>
      </c>
      <c r="N312" s="154">
        <f>+'[1]Budget 2025W'!U378</f>
        <v>0</v>
      </c>
      <c r="O312" s="154">
        <f>+'[1]Budget 2025W'!V378</f>
        <v>0</v>
      </c>
      <c r="P312" s="131"/>
      <c r="Q312" s="156">
        <f t="shared" si="37"/>
        <v>0</v>
      </c>
    </row>
    <row r="313" spans="3:17" x14ac:dyDescent="0.2">
      <c r="C313" s="153" t="s">
        <v>175</v>
      </c>
      <c r="D313" s="75">
        <f>+'[1]Budget 2025W'!K379</f>
        <v>0</v>
      </c>
      <c r="E313" s="75">
        <f>+'[1]Budget 2025W'!L379</f>
        <v>0</v>
      </c>
      <c r="F313" s="154">
        <f>+'[1]Budget 2025W'!M379</f>
        <v>0</v>
      </c>
      <c r="G313" s="154">
        <f>+'[1]Budget 2025W'!N379</f>
        <v>0</v>
      </c>
      <c r="H313" s="154">
        <f>+'[1]Budget 2025W'!O379</f>
        <v>0</v>
      </c>
      <c r="I313" s="154">
        <f>+'[1]Budget 2025W'!P379</f>
        <v>0</v>
      </c>
      <c r="J313" s="154">
        <f>+'[1]Budget 2025W'!Q379</f>
        <v>0</v>
      </c>
      <c r="K313" s="154">
        <f>+'[1]Budget 2025W'!R379</f>
        <v>0</v>
      </c>
      <c r="L313" s="154">
        <f>+'[1]Budget 2025W'!S379</f>
        <v>0</v>
      </c>
      <c r="M313" s="154">
        <f>+'[1]Budget 2025W'!T379</f>
        <v>0</v>
      </c>
      <c r="N313" s="154">
        <f>+'[1]Budget 2025W'!U379</f>
        <v>0</v>
      </c>
      <c r="O313" s="154">
        <f>+'[1]Budget 2025W'!V379</f>
        <v>0</v>
      </c>
      <c r="P313" s="131"/>
      <c r="Q313" s="156">
        <f t="shared" si="37"/>
        <v>0</v>
      </c>
    </row>
    <row r="314" spans="3:17" x14ac:dyDescent="0.2">
      <c r="C314" s="153" t="s">
        <v>130</v>
      </c>
      <c r="D314" s="75">
        <f>+'[1]Budget 2025W'!K380</f>
        <v>0</v>
      </c>
      <c r="E314" s="75">
        <f>+'[1]Budget 2025W'!L380</f>
        <v>0</v>
      </c>
      <c r="F314" s="154">
        <f>+'[1]Budget 2025W'!M380</f>
        <v>0</v>
      </c>
      <c r="G314" s="154">
        <f>+'[1]Budget 2025W'!N380</f>
        <v>0</v>
      </c>
      <c r="H314" s="154">
        <f>+'[1]Budget 2025W'!O380</f>
        <v>0</v>
      </c>
      <c r="I314" s="154">
        <f>+'[1]Budget 2025W'!P380</f>
        <v>0</v>
      </c>
      <c r="J314" s="154">
        <f>+'[1]Budget 2025W'!Q380</f>
        <v>0</v>
      </c>
      <c r="K314" s="154">
        <f>+'[1]Budget 2025W'!R380</f>
        <v>0</v>
      </c>
      <c r="L314" s="154">
        <f>+'[1]Budget 2025W'!S380</f>
        <v>0</v>
      </c>
      <c r="M314" s="154">
        <f>+'[1]Budget 2025W'!T380</f>
        <v>0</v>
      </c>
      <c r="N314" s="154">
        <f>+'[1]Budget 2025W'!U380</f>
        <v>0</v>
      </c>
      <c r="O314" s="154">
        <f>+'[1]Budget 2025W'!V380</f>
        <v>0</v>
      </c>
      <c r="P314" s="131"/>
      <c r="Q314" s="156">
        <f t="shared" si="37"/>
        <v>0</v>
      </c>
    </row>
    <row r="315" spans="3:17" x14ac:dyDescent="0.2">
      <c r="C315" s="153" t="s">
        <v>131</v>
      </c>
      <c r="D315" s="75">
        <f>+'[1]Budget 2025W'!K381</f>
        <v>0</v>
      </c>
      <c r="E315" s="75">
        <f>+'[1]Budget 2025W'!L381</f>
        <v>0</v>
      </c>
      <c r="F315" s="154">
        <f>+'[1]Budget 2025W'!M381</f>
        <v>0</v>
      </c>
      <c r="G315" s="154">
        <f>+'[1]Budget 2025W'!N381</f>
        <v>0</v>
      </c>
      <c r="H315" s="154">
        <f>+'[1]Budget 2025W'!O381</f>
        <v>0</v>
      </c>
      <c r="I315" s="154">
        <f>+'[1]Budget 2025W'!P381</f>
        <v>0</v>
      </c>
      <c r="J315" s="154">
        <f>+'[1]Budget 2025W'!Q381</f>
        <v>0</v>
      </c>
      <c r="K315" s="154">
        <f>+'[1]Budget 2025W'!R381</f>
        <v>0</v>
      </c>
      <c r="L315" s="154">
        <f>+'[1]Budget 2025W'!S381</f>
        <v>0</v>
      </c>
      <c r="M315" s="154">
        <f>+'[1]Budget 2025W'!T381</f>
        <v>0</v>
      </c>
      <c r="N315" s="154">
        <f>+'[1]Budget 2025W'!U381</f>
        <v>0</v>
      </c>
      <c r="O315" s="154">
        <f>+'[1]Budget 2025W'!V381</f>
        <v>0</v>
      </c>
      <c r="P315" s="131"/>
      <c r="Q315" s="156">
        <f t="shared" si="37"/>
        <v>0</v>
      </c>
    </row>
    <row r="316" spans="3:17" x14ac:dyDescent="0.2">
      <c r="C316" s="153" t="s">
        <v>176</v>
      </c>
      <c r="D316" s="75">
        <f>+'[1]Budget 2025W'!K382</f>
        <v>0</v>
      </c>
      <c r="E316" s="75">
        <f>+'[1]Budget 2025W'!L382</f>
        <v>0</v>
      </c>
      <c r="F316" s="154">
        <f>+'[1]Budget 2025W'!M382</f>
        <v>0</v>
      </c>
      <c r="G316" s="154">
        <f>+'[1]Budget 2025W'!N382</f>
        <v>0</v>
      </c>
      <c r="H316" s="154">
        <f>+'[1]Budget 2025W'!O382</f>
        <v>0</v>
      </c>
      <c r="I316" s="154">
        <f>+'[1]Budget 2025W'!P382</f>
        <v>0</v>
      </c>
      <c r="J316" s="154">
        <f>+'[1]Budget 2025W'!Q382</f>
        <v>0</v>
      </c>
      <c r="K316" s="154">
        <f>+'[1]Budget 2025W'!R382</f>
        <v>0</v>
      </c>
      <c r="L316" s="154">
        <f>+'[1]Budget 2025W'!S382</f>
        <v>0</v>
      </c>
      <c r="M316" s="154">
        <f>+'[1]Budget 2025W'!T382</f>
        <v>0</v>
      </c>
      <c r="N316" s="154">
        <f>+'[1]Budget 2025W'!U382</f>
        <v>0</v>
      </c>
      <c r="O316" s="154">
        <f>+'[1]Budget 2025W'!V382</f>
        <v>0</v>
      </c>
      <c r="P316" s="131"/>
      <c r="Q316" s="156">
        <f t="shared" si="37"/>
        <v>0</v>
      </c>
    </row>
    <row r="317" spans="3:17" x14ac:dyDescent="0.2">
      <c r="C317" s="153" t="s">
        <v>177</v>
      </c>
      <c r="D317" s="75">
        <f>+'[1]Budget 2025W'!K383</f>
        <v>0</v>
      </c>
      <c r="E317" s="75">
        <f>+'[1]Budget 2025W'!L383</f>
        <v>0</v>
      </c>
      <c r="F317" s="154">
        <f>+'[1]Budget 2025W'!M383</f>
        <v>0</v>
      </c>
      <c r="G317" s="154">
        <f>+'[1]Budget 2025W'!N383</f>
        <v>0</v>
      </c>
      <c r="H317" s="154">
        <f>+'[1]Budget 2025W'!O383</f>
        <v>0</v>
      </c>
      <c r="I317" s="154">
        <f>+'[1]Budget 2025W'!P383</f>
        <v>0</v>
      </c>
      <c r="J317" s="154">
        <f>+'[1]Budget 2025W'!Q383</f>
        <v>0</v>
      </c>
      <c r="K317" s="154">
        <f>+'[1]Budget 2025W'!R383</f>
        <v>0</v>
      </c>
      <c r="L317" s="154">
        <f>+'[1]Budget 2025W'!S383</f>
        <v>0</v>
      </c>
      <c r="M317" s="154">
        <f>+'[1]Budget 2025W'!T383</f>
        <v>0</v>
      </c>
      <c r="N317" s="154">
        <f>+'[1]Budget 2025W'!U383</f>
        <v>0</v>
      </c>
      <c r="O317" s="154">
        <f>+'[1]Budget 2025W'!V383</f>
        <v>0</v>
      </c>
      <c r="P317" s="131"/>
      <c r="Q317" s="156">
        <f t="shared" si="37"/>
        <v>0</v>
      </c>
    </row>
    <row r="318" spans="3:17" x14ac:dyDescent="0.2">
      <c r="C318" s="153" t="s">
        <v>178</v>
      </c>
      <c r="D318" s="75">
        <f>+'[1]Budget 2025W'!K384</f>
        <v>0</v>
      </c>
      <c r="E318" s="75">
        <f>+'[1]Budget 2025W'!L384</f>
        <v>0</v>
      </c>
      <c r="F318" s="154">
        <f>+'[1]Budget 2025W'!M384</f>
        <v>0</v>
      </c>
      <c r="G318" s="154">
        <f>+'[1]Budget 2025W'!N384</f>
        <v>0</v>
      </c>
      <c r="H318" s="154">
        <f>+'[1]Budget 2025W'!O384</f>
        <v>0</v>
      </c>
      <c r="I318" s="154">
        <f>+'[1]Budget 2025W'!P384</f>
        <v>0</v>
      </c>
      <c r="J318" s="154">
        <f>+'[1]Budget 2025W'!Q384</f>
        <v>0</v>
      </c>
      <c r="K318" s="154">
        <f>+'[1]Budget 2025W'!R384</f>
        <v>0</v>
      </c>
      <c r="L318" s="154">
        <f>+'[1]Budget 2025W'!S384</f>
        <v>0</v>
      </c>
      <c r="M318" s="154">
        <f>+'[1]Budget 2025W'!T384</f>
        <v>0</v>
      </c>
      <c r="N318" s="154">
        <f>+'[1]Budget 2025W'!U384</f>
        <v>0</v>
      </c>
      <c r="O318" s="154">
        <f>+'[1]Budget 2025W'!V384</f>
        <v>0</v>
      </c>
      <c r="P318" s="131"/>
      <c r="Q318" s="156">
        <f t="shared" si="37"/>
        <v>0</v>
      </c>
    </row>
    <row r="319" spans="3:17" x14ac:dyDescent="0.2">
      <c r="C319" s="202" t="s">
        <v>179</v>
      </c>
      <c r="D319" s="75">
        <f>+'[1]Budget 2025W'!K385</f>
        <v>0</v>
      </c>
      <c r="E319" s="75">
        <f>+'[1]Budget 2025W'!L385</f>
        <v>0</v>
      </c>
      <c r="F319" s="154">
        <f>+'[1]Budget 2025W'!M385</f>
        <v>0</v>
      </c>
      <c r="G319" s="154">
        <f>+'[1]Budget 2025W'!N385</f>
        <v>0</v>
      </c>
      <c r="H319" s="154">
        <f>+'[1]Budget 2025W'!O385</f>
        <v>0</v>
      </c>
      <c r="I319" s="154">
        <f>+'[1]Budget 2025W'!P385</f>
        <v>2048.4</v>
      </c>
      <c r="J319" s="154">
        <f>+'[1]Budget 2025W'!Q385</f>
        <v>3527.7999999999997</v>
      </c>
      <c r="K319" s="154">
        <f>+'[1]Budget 2025W'!R385</f>
        <v>3527.7999999999997</v>
      </c>
      <c r="L319" s="154">
        <f>+'[1]Budget 2025W'!S385</f>
        <v>2731.2</v>
      </c>
      <c r="M319" s="154">
        <f>+'[1]Budget 2025W'!T385</f>
        <v>2105.2999999999997</v>
      </c>
      <c r="N319" s="154">
        <f>+'[1]Budget 2025W'!U385</f>
        <v>5462.4</v>
      </c>
      <c r="O319" s="154">
        <f>+'[1]Budget 2025W'!V385</f>
        <v>8466.7199999999993</v>
      </c>
      <c r="P319" s="131"/>
      <c r="Q319" s="156">
        <f t="shared" si="37"/>
        <v>27869.620000000003</v>
      </c>
    </row>
    <row r="320" spans="3:17" x14ac:dyDescent="0.2">
      <c r="C320" s="153" t="s">
        <v>180</v>
      </c>
      <c r="D320" s="75">
        <f>+'[1]Budget 2025W'!K386</f>
        <v>0</v>
      </c>
      <c r="E320" s="75">
        <f>+'[1]Budget 2025W'!L386</f>
        <v>0</v>
      </c>
      <c r="F320" s="154">
        <f>+'[1]Budget 2025W'!M386</f>
        <v>0</v>
      </c>
      <c r="G320" s="154">
        <f>+'[1]Budget 2025W'!N386</f>
        <v>0</v>
      </c>
      <c r="H320" s="154">
        <f>+'[1]Budget 2025W'!O386</f>
        <v>0</v>
      </c>
      <c r="I320" s="154">
        <f>+'[1]Budget 2025W'!P386</f>
        <v>0</v>
      </c>
      <c r="J320" s="154">
        <f>+'[1]Budget 2025W'!Q386</f>
        <v>0</v>
      </c>
      <c r="K320" s="154">
        <f>+'[1]Budget 2025W'!R386</f>
        <v>0</v>
      </c>
      <c r="L320" s="154">
        <f>+'[1]Budget 2025W'!S386</f>
        <v>0</v>
      </c>
      <c r="M320" s="154">
        <f>+'[1]Budget 2025W'!T386</f>
        <v>0</v>
      </c>
      <c r="N320" s="154">
        <f>+'[1]Budget 2025W'!U386</f>
        <v>0</v>
      </c>
      <c r="O320" s="154">
        <f>+'[1]Budget 2025W'!V386</f>
        <v>0</v>
      </c>
      <c r="P320" s="131"/>
      <c r="Q320" s="156">
        <f t="shared" si="37"/>
        <v>0</v>
      </c>
    </row>
    <row r="321" spans="2:17" x14ac:dyDescent="0.2">
      <c r="C321" s="153" t="s">
        <v>134</v>
      </c>
      <c r="D321" s="75">
        <f>+'[1]Budget 2025W'!K387</f>
        <v>0</v>
      </c>
      <c r="E321" s="75">
        <f>+'[1]Budget 2025W'!L387</f>
        <v>0</v>
      </c>
      <c r="F321" s="154">
        <f>+'[1]Budget 2025W'!M387</f>
        <v>0</v>
      </c>
      <c r="G321" s="154">
        <f>+'[1]Budget 2025W'!N387</f>
        <v>0</v>
      </c>
      <c r="H321" s="154">
        <f>+'[1]Budget 2025W'!O387</f>
        <v>0</v>
      </c>
      <c r="I321" s="154">
        <f>+'[1]Budget 2025W'!P387</f>
        <v>0</v>
      </c>
      <c r="J321" s="154">
        <f>+'[1]Budget 2025W'!Q387</f>
        <v>0</v>
      </c>
      <c r="K321" s="154">
        <f>+'[1]Budget 2025W'!R387</f>
        <v>0</v>
      </c>
      <c r="L321" s="154">
        <f>+'[1]Budget 2025W'!S387</f>
        <v>0</v>
      </c>
      <c r="M321" s="154">
        <f>+'[1]Budget 2025W'!T387</f>
        <v>0</v>
      </c>
      <c r="N321" s="154">
        <f>+'[1]Budget 2025W'!U387</f>
        <v>0</v>
      </c>
      <c r="O321" s="154">
        <f>+'[1]Budget 2025W'!V387</f>
        <v>0</v>
      </c>
      <c r="P321" s="131"/>
      <c r="Q321" s="156">
        <f t="shared" si="37"/>
        <v>0</v>
      </c>
    </row>
    <row r="322" spans="2:17" x14ac:dyDescent="0.2">
      <c r="C322" s="153" t="s">
        <v>181</v>
      </c>
      <c r="D322" s="75">
        <f>+'[1]Budget 2025W'!K388</f>
        <v>0</v>
      </c>
      <c r="E322" s="75">
        <f>+'[1]Budget 2025W'!L388</f>
        <v>0</v>
      </c>
      <c r="F322" s="154">
        <f>+'[1]Budget 2025W'!M388</f>
        <v>0</v>
      </c>
      <c r="G322" s="154">
        <f>+'[1]Budget 2025W'!N388</f>
        <v>0</v>
      </c>
      <c r="H322" s="154">
        <f>+'[1]Budget 2025W'!O388</f>
        <v>0</v>
      </c>
      <c r="I322" s="154">
        <f>+'[1]Budget 2025W'!P388</f>
        <v>0</v>
      </c>
      <c r="J322" s="154">
        <f>+'[1]Budget 2025W'!Q388</f>
        <v>0</v>
      </c>
      <c r="K322" s="154">
        <f>+'[1]Budget 2025W'!R388</f>
        <v>0</v>
      </c>
      <c r="L322" s="154">
        <f>+'[1]Budget 2025W'!S388</f>
        <v>0</v>
      </c>
      <c r="M322" s="154">
        <f>+'[1]Budget 2025W'!T388</f>
        <v>0</v>
      </c>
      <c r="N322" s="154">
        <f>+'[1]Budget 2025W'!U388</f>
        <v>0</v>
      </c>
      <c r="O322" s="154">
        <f>+'[1]Budget 2025W'!V388</f>
        <v>0</v>
      </c>
      <c r="P322" s="131"/>
      <c r="Q322" s="156">
        <f t="shared" si="37"/>
        <v>0</v>
      </c>
    </row>
    <row r="323" spans="2:17" x14ac:dyDescent="0.2">
      <c r="C323" s="153" t="s">
        <v>182</v>
      </c>
      <c r="D323" s="75">
        <f>+'[1]Budget 2025W'!K389</f>
        <v>0</v>
      </c>
      <c r="E323" s="75">
        <f>+'[1]Budget 2025W'!L389</f>
        <v>0</v>
      </c>
      <c r="F323" s="154">
        <f>+'[1]Budget 2025W'!M389</f>
        <v>0</v>
      </c>
      <c r="G323" s="154">
        <f>+'[1]Budget 2025W'!N389</f>
        <v>0</v>
      </c>
      <c r="H323" s="154">
        <f>+'[1]Budget 2025W'!O389</f>
        <v>0</v>
      </c>
      <c r="I323" s="154">
        <f>+'[1]Budget 2025W'!P389</f>
        <v>0</v>
      </c>
      <c r="J323" s="154">
        <f>+'[1]Budget 2025W'!Q389</f>
        <v>0</v>
      </c>
      <c r="K323" s="154">
        <f>+'[1]Budget 2025W'!R389</f>
        <v>0</v>
      </c>
      <c r="L323" s="154">
        <f>+'[1]Budget 2025W'!S389</f>
        <v>0</v>
      </c>
      <c r="M323" s="154">
        <f>+'[1]Budget 2025W'!T389</f>
        <v>0</v>
      </c>
      <c r="N323" s="154">
        <f>+'[1]Budget 2025W'!U389</f>
        <v>0</v>
      </c>
      <c r="O323" s="154">
        <f>+'[1]Budget 2025W'!V389</f>
        <v>0</v>
      </c>
      <c r="P323" s="131"/>
      <c r="Q323" s="156">
        <f t="shared" si="37"/>
        <v>0</v>
      </c>
    </row>
    <row r="324" spans="2:17" x14ac:dyDescent="0.2">
      <c r="C324" s="153" t="s">
        <v>136</v>
      </c>
      <c r="D324" s="75">
        <f>+'[1]Budget 2025W'!K390</f>
        <v>0</v>
      </c>
      <c r="E324" s="75">
        <f>+'[1]Budget 2025W'!L390</f>
        <v>0</v>
      </c>
      <c r="F324" s="154">
        <f>+'[1]Budget 2025W'!M390</f>
        <v>0</v>
      </c>
      <c r="G324" s="154">
        <f>+'[1]Budget 2025W'!N390</f>
        <v>0</v>
      </c>
      <c r="H324" s="154">
        <f>+'[1]Budget 2025W'!O390</f>
        <v>0</v>
      </c>
      <c r="I324" s="154">
        <f>+'[1]Budget 2025W'!P390</f>
        <v>0</v>
      </c>
      <c r="J324" s="154">
        <f>+'[1]Budget 2025W'!Q390</f>
        <v>0</v>
      </c>
      <c r="K324" s="154">
        <f>+'[1]Budget 2025W'!R390</f>
        <v>0</v>
      </c>
      <c r="L324" s="154">
        <f>+'[1]Budget 2025W'!S390</f>
        <v>0</v>
      </c>
      <c r="M324" s="154">
        <f>+'[1]Budget 2025W'!T390</f>
        <v>0</v>
      </c>
      <c r="N324" s="154">
        <f>+'[1]Budget 2025W'!U390</f>
        <v>0</v>
      </c>
      <c r="O324" s="154">
        <f>+'[1]Budget 2025W'!V390</f>
        <v>0</v>
      </c>
      <c r="P324" s="131"/>
      <c r="Q324" s="156">
        <f t="shared" si="37"/>
        <v>0</v>
      </c>
    </row>
    <row r="325" spans="2:17" x14ac:dyDescent="0.2">
      <c r="C325" s="153" t="s">
        <v>137</v>
      </c>
      <c r="D325" s="75">
        <f>+'[1]Budget 2025W'!K391</f>
        <v>0</v>
      </c>
      <c r="E325" s="75">
        <f>+'[1]Budget 2025W'!L391</f>
        <v>0</v>
      </c>
      <c r="F325" s="154">
        <f>+'[1]Budget 2025W'!M391</f>
        <v>0</v>
      </c>
      <c r="G325" s="154">
        <f>+'[1]Budget 2025W'!N391</f>
        <v>0</v>
      </c>
      <c r="H325" s="154">
        <f>+'[1]Budget 2025W'!O391</f>
        <v>0</v>
      </c>
      <c r="I325" s="154">
        <f>+'[1]Budget 2025W'!P391</f>
        <v>0</v>
      </c>
      <c r="J325" s="154">
        <f>+'[1]Budget 2025W'!Q391</f>
        <v>0</v>
      </c>
      <c r="K325" s="154">
        <f>+'[1]Budget 2025W'!R391</f>
        <v>0</v>
      </c>
      <c r="L325" s="154">
        <f>+'[1]Budget 2025W'!S391</f>
        <v>0</v>
      </c>
      <c r="M325" s="154">
        <f>+'[1]Budget 2025W'!T391</f>
        <v>0</v>
      </c>
      <c r="N325" s="154">
        <f>+'[1]Budget 2025W'!U391</f>
        <v>0</v>
      </c>
      <c r="O325" s="154">
        <f>+'[1]Budget 2025W'!V391</f>
        <v>0</v>
      </c>
      <c r="P325" s="131"/>
      <c r="Q325" s="156">
        <f t="shared" si="37"/>
        <v>0</v>
      </c>
    </row>
    <row r="326" spans="2:17" x14ac:dyDescent="0.2">
      <c r="C326" s="153" t="s">
        <v>138</v>
      </c>
      <c r="D326" s="75">
        <f>+'[1]Budget 2025W'!K392</f>
        <v>0</v>
      </c>
      <c r="E326" s="75">
        <f>+'[1]Budget 2025W'!L392</f>
        <v>0</v>
      </c>
      <c r="F326" s="154">
        <f>+'[1]Budget 2025W'!M392</f>
        <v>0</v>
      </c>
      <c r="G326" s="154">
        <f>+'[1]Budget 2025W'!N392</f>
        <v>0</v>
      </c>
      <c r="H326" s="154">
        <f>+'[1]Budget 2025W'!O392</f>
        <v>0</v>
      </c>
      <c r="I326" s="154">
        <f>+'[1]Budget 2025W'!P392</f>
        <v>0</v>
      </c>
      <c r="J326" s="154">
        <f>+'[1]Budget 2025W'!Q392</f>
        <v>0</v>
      </c>
      <c r="K326" s="154">
        <f>+'[1]Budget 2025W'!R392</f>
        <v>0</v>
      </c>
      <c r="L326" s="154">
        <f>+'[1]Budget 2025W'!S392</f>
        <v>0</v>
      </c>
      <c r="M326" s="154">
        <f>+'[1]Budget 2025W'!T392</f>
        <v>0</v>
      </c>
      <c r="N326" s="154">
        <f>+'[1]Budget 2025W'!U392</f>
        <v>0</v>
      </c>
      <c r="O326" s="154">
        <f>+'[1]Budget 2025W'!V392</f>
        <v>0</v>
      </c>
      <c r="P326" s="131"/>
      <c r="Q326" s="156">
        <f t="shared" si="37"/>
        <v>0</v>
      </c>
    </row>
    <row r="327" spans="2:17" x14ac:dyDescent="0.2">
      <c r="C327" s="153" t="s">
        <v>139</v>
      </c>
      <c r="D327" s="75">
        <f>+'[1]Budget 2025W'!K393</f>
        <v>0</v>
      </c>
      <c r="E327" s="75">
        <f>+'[1]Budget 2025W'!L393</f>
        <v>0</v>
      </c>
      <c r="F327" s="154">
        <f>+'[1]Budget 2025W'!M393</f>
        <v>0</v>
      </c>
      <c r="G327" s="154">
        <f>+'[1]Budget 2025W'!N393</f>
        <v>0</v>
      </c>
      <c r="H327" s="154">
        <f>+'[1]Budget 2025W'!O393</f>
        <v>0</v>
      </c>
      <c r="I327" s="154">
        <f>+'[1]Budget 2025W'!P393</f>
        <v>0</v>
      </c>
      <c r="J327" s="154">
        <f>+'[1]Budget 2025W'!Q393</f>
        <v>0</v>
      </c>
      <c r="K327" s="154">
        <f>+'[1]Budget 2025W'!R393</f>
        <v>0</v>
      </c>
      <c r="L327" s="154">
        <f>+'[1]Budget 2025W'!S393</f>
        <v>0</v>
      </c>
      <c r="M327" s="154">
        <f>+'[1]Budget 2025W'!T393</f>
        <v>0</v>
      </c>
      <c r="N327" s="154">
        <f>+'[1]Budget 2025W'!U393</f>
        <v>0</v>
      </c>
      <c r="O327" s="154">
        <f>+'[1]Budget 2025W'!V393</f>
        <v>0</v>
      </c>
      <c r="P327" s="131"/>
      <c r="Q327" s="156">
        <f t="shared" si="37"/>
        <v>0</v>
      </c>
    </row>
    <row r="328" spans="2:17" x14ac:dyDescent="0.2">
      <c r="C328" s="153" t="s">
        <v>140</v>
      </c>
      <c r="D328" s="75">
        <f>+'[1]Budget 2025W'!K394</f>
        <v>0</v>
      </c>
      <c r="E328" s="75">
        <f>+'[1]Budget 2025W'!L394</f>
        <v>0</v>
      </c>
      <c r="F328" s="154">
        <f>+'[1]Budget 2025W'!M394</f>
        <v>0</v>
      </c>
      <c r="G328" s="154">
        <f>+'[1]Budget 2025W'!N394</f>
        <v>0</v>
      </c>
      <c r="H328" s="154">
        <f>+'[1]Budget 2025W'!O394</f>
        <v>0</v>
      </c>
      <c r="I328" s="154">
        <f>+'[1]Budget 2025W'!P394</f>
        <v>0</v>
      </c>
      <c r="J328" s="154">
        <f>+'[1]Budget 2025W'!Q394</f>
        <v>0</v>
      </c>
      <c r="K328" s="154">
        <f>+'[1]Budget 2025W'!R394</f>
        <v>0</v>
      </c>
      <c r="L328" s="154">
        <f>+'[1]Budget 2025W'!S394</f>
        <v>0</v>
      </c>
      <c r="M328" s="154">
        <f>+'[1]Budget 2025W'!T394</f>
        <v>0</v>
      </c>
      <c r="N328" s="154">
        <f>+'[1]Budget 2025W'!U394</f>
        <v>0</v>
      </c>
      <c r="O328" s="154">
        <f>+'[1]Budget 2025W'!V394</f>
        <v>0</v>
      </c>
      <c r="P328" s="131"/>
      <c r="Q328" s="156">
        <f t="shared" si="37"/>
        <v>0</v>
      </c>
    </row>
    <row r="329" spans="2:17" x14ac:dyDescent="0.2">
      <c r="C329" s="153" t="s">
        <v>141</v>
      </c>
      <c r="D329" s="75">
        <f>+'[1]Budget 2025W'!K395</f>
        <v>0</v>
      </c>
      <c r="E329" s="75">
        <f>+'[1]Budget 2025W'!L395</f>
        <v>0</v>
      </c>
      <c r="F329" s="154">
        <f>+'[1]Budget 2025W'!M395</f>
        <v>0</v>
      </c>
      <c r="G329" s="154">
        <f>+'[1]Budget 2025W'!N395</f>
        <v>0</v>
      </c>
      <c r="H329" s="154">
        <f>+'[1]Budget 2025W'!O395</f>
        <v>0</v>
      </c>
      <c r="I329" s="154">
        <f>+'[1]Budget 2025W'!P395</f>
        <v>0</v>
      </c>
      <c r="J329" s="154">
        <f>+'[1]Budget 2025W'!Q395</f>
        <v>0</v>
      </c>
      <c r="K329" s="154">
        <f>+'[1]Budget 2025W'!R395</f>
        <v>0</v>
      </c>
      <c r="L329" s="154">
        <f>+'[1]Budget 2025W'!S395</f>
        <v>0</v>
      </c>
      <c r="M329" s="154">
        <f>+'[1]Budget 2025W'!T395</f>
        <v>0</v>
      </c>
      <c r="N329" s="154">
        <f>+'[1]Budget 2025W'!U395</f>
        <v>0</v>
      </c>
      <c r="O329" s="154">
        <f>+'[1]Budget 2025W'!V395</f>
        <v>0</v>
      </c>
      <c r="P329" s="131"/>
      <c r="Q329" s="156">
        <f t="shared" si="37"/>
        <v>0</v>
      </c>
    </row>
    <row r="330" spans="2:17" x14ac:dyDescent="0.2">
      <c r="C330" s="153" t="s">
        <v>142</v>
      </c>
      <c r="D330" s="75">
        <f>+'[1]Budget 2025W'!K396</f>
        <v>0</v>
      </c>
      <c r="E330" s="75">
        <f>+'[1]Budget 2025W'!L396</f>
        <v>0</v>
      </c>
      <c r="F330" s="154">
        <f>+'[1]Budget 2025W'!M396</f>
        <v>0</v>
      </c>
      <c r="G330" s="154">
        <f>+'[1]Budget 2025W'!N396</f>
        <v>0</v>
      </c>
      <c r="H330" s="154">
        <f>+'[1]Budget 2025W'!O396</f>
        <v>0</v>
      </c>
      <c r="I330" s="154">
        <f>+'[1]Budget 2025W'!P396</f>
        <v>0</v>
      </c>
      <c r="J330" s="154">
        <f>+'[1]Budget 2025W'!Q396</f>
        <v>0</v>
      </c>
      <c r="K330" s="154">
        <f>+'[1]Budget 2025W'!R396</f>
        <v>0</v>
      </c>
      <c r="L330" s="154">
        <f>+'[1]Budget 2025W'!S396</f>
        <v>0</v>
      </c>
      <c r="M330" s="154">
        <f>+'[1]Budget 2025W'!T396</f>
        <v>0</v>
      </c>
      <c r="N330" s="154">
        <f>+'[1]Budget 2025W'!U396</f>
        <v>0</v>
      </c>
      <c r="O330" s="154">
        <f>+'[1]Budget 2025W'!V396</f>
        <v>0</v>
      </c>
      <c r="P330" s="131"/>
      <c r="Q330" s="156">
        <f t="shared" si="37"/>
        <v>0</v>
      </c>
    </row>
    <row r="331" spans="2:17" x14ac:dyDescent="0.2">
      <c r="C331" s="153" t="s">
        <v>143</v>
      </c>
      <c r="D331" s="75">
        <f>+'[1]Budget 2025W'!K397</f>
        <v>0</v>
      </c>
      <c r="E331" s="75">
        <f>+'[1]Budget 2025W'!L397</f>
        <v>0</v>
      </c>
      <c r="F331" s="154">
        <f>+'[1]Budget 2025W'!M397</f>
        <v>0</v>
      </c>
      <c r="G331" s="154">
        <f>+'[1]Budget 2025W'!N397</f>
        <v>0</v>
      </c>
      <c r="H331" s="154">
        <f>+'[1]Budget 2025W'!O397</f>
        <v>0</v>
      </c>
      <c r="I331" s="154">
        <f>+'[1]Budget 2025W'!P397</f>
        <v>0</v>
      </c>
      <c r="J331" s="154">
        <f>+'[1]Budget 2025W'!Q397</f>
        <v>0</v>
      </c>
      <c r="K331" s="154">
        <f>+'[1]Budget 2025W'!R397</f>
        <v>0</v>
      </c>
      <c r="L331" s="154">
        <f>+'[1]Budget 2025W'!S397</f>
        <v>0</v>
      </c>
      <c r="M331" s="154">
        <f>+'[1]Budget 2025W'!T397</f>
        <v>0</v>
      </c>
      <c r="N331" s="154">
        <f>+'[1]Budget 2025W'!U397</f>
        <v>0</v>
      </c>
      <c r="O331" s="154">
        <f>+'[1]Budget 2025W'!V397</f>
        <v>0</v>
      </c>
      <c r="P331" s="131"/>
      <c r="Q331" s="156">
        <f t="shared" si="37"/>
        <v>0</v>
      </c>
    </row>
    <row r="332" spans="2:17" ht="15.75" thickBot="1" x14ac:dyDescent="0.25">
      <c r="C332" s="153" t="s">
        <v>183</v>
      </c>
      <c r="D332" s="75">
        <f>+'[1]Budget 2025W'!K398</f>
        <v>0</v>
      </c>
      <c r="E332" s="75">
        <f>+'[1]Budget 2025W'!L398</f>
        <v>0</v>
      </c>
      <c r="F332" s="154">
        <f>+'[1]Budget 2025W'!M398</f>
        <v>0</v>
      </c>
      <c r="G332" s="154">
        <f>+'[1]Budget 2025W'!N398</f>
        <v>0</v>
      </c>
      <c r="H332" s="154">
        <f>+'[1]Budget 2025W'!O398</f>
        <v>0</v>
      </c>
      <c r="I332" s="154">
        <f>+'[1]Budget 2025W'!P398</f>
        <v>0</v>
      </c>
      <c r="J332" s="154">
        <f>+'[1]Budget 2025W'!Q398</f>
        <v>0</v>
      </c>
      <c r="K332" s="154">
        <f>+'[1]Budget 2025W'!R398</f>
        <v>0</v>
      </c>
      <c r="L332" s="154">
        <f>+'[1]Budget 2025W'!S398</f>
        <v>0</v>
      </c>
      <c r="M332" s="154">
        <f>+'[1]Budget 2025W'!T398</f>
        <v>0</v>
      </c>
      <c r="N332" s="154">
        <f>+'[1]Budget 2025W'!U398</f>
        <v>0</v>
      </c>
      <c r="O332" s="154">
        <f>+'[1]Budget 2025W'!V398</f>
        <v>0</v>
      </c>
      <c r="P332" s="131"/>
      <c r="Q332" s="156">
        <f t="shared" si="37"/>
        <v>0</v>
      </c>
    </row>
    <row r="333" spans="2:17" ht="17.25" thickTop="1" thickBot="1" x14ac:dyDescent="0.3">
      <c r="C333" s="198" t="s">
        <v>144</v>
      </c>
      <c r="D333" s="199">
        <f>+'[1]Budget 2025W'!K401</f>
        <v>0</v>
      </c>
      <c r="E333" s="199">
        <f>+'[1]Budget 2025W'!L401</f>
        <v>0</v>
      </c>
      <c r="F333" s="200">
        <f>+'[1]Budget 2025W'!M401</f>
        <v>0</v>
      </c>
      <c r="G333" s="200">
        <f>+'[1]Budget 2025W'!N401</f>
        <v>0</v>
      </c>
      <c r="H333" s="200">
        <f>+'[1]Budget 2025W'!O401</f>
        <v>0</v>
      </c>
      <c r="I333" s="200">
        <f>+'[1]Budget 2025W'!P401</f>
        <v>2048.4</v>
      </c>
      <c r="J333" s="200">
        <f>+'[1]Budget 2025W'!Q401</f>
        <v>3527.7999999999997</v>
      </c>
      <c r="K333" s="200">
        <f>+'[1]Budget 2025W'!R401</f>
        <v>3527.7999999999997</v>
      </c>
      <c r="L333" s="200">
        <f>+'[1]Budget 2025W'!S401</f>
        <v>2731.2</v>
      </c>
      <c r="M333" s="200">
        <f>+'[1]Budget 2025W'!T401</f>
        <v>2105.2999999999997</v>
      </c>
      <c r="N333" s="200">
        <f>+'[1]Budget 2025W'!U401</f>
        <v>5462.4</v>
      </c>
      <c r="O333" s="200">
        <f>+'[1]Budget 2025W'!V401</f>
        <v>8466.7199999999993</v>
      </c>
      <c r="P333" s="131"/>
      <c r="Q333" s="165">
        <f t="shared" si="37"/>
        <v>27869.620000000003</v>
      </c>
    </row>
    <row r="334" spans="2:17" ht="16.5" thickTop="1" thickBot="1" x14ac:dyDescent="0.25">
      <c r="C334" s="201" t="s">
        <v>166</v>
      </c>
      <c r="D334" s="168" t="str">
        <f t="shared" ref="D334:O334" si="38">IFERROR(D333/D259,"")</f>
        <v/>
      </c>
      <c r="E334" s="168" t="str">
        <f t="shared" si="38"/>
        <v/>
      </c>
      <c r="F334" s="169" t="str">
        <f t="shared" si="38"/>
        <v/>
      </c>
      <c r="G334" s="169" t="str">
        <f t="shared" si="38"/>
        <v/>
      </c>
      <c r="H334" s="169" t="str">
        <f t="shared" si="38"/>
        <v/>
      </c>
      <c r="I334" s="169" t="str">
        <f t="shared" si="38"/>
        <v/>
      </c>
      <c r="J334" s="169" t="str">
        <f t="shared" si="38"/>
        <v/>
      </c>
      <c r="K334" s="169" t="str">
        <f t="shared" si="38"/>
        <v/>
      </c>
      <c r="L334" s="169" t="str">
        <f t="shared" si="38"/>
        <v/>
      </c>
      <c r="M334" s="169" t="str">
        <f t="shared" si="38"/>
        <v/>
      </c>
      <c r="N334" s="169" t="str">
        <f t="shared" si="38"/>
        <v/>
      </c>
      <c r="O334" s="169" t="str">
        <f t="shared" si="38"/>
        <v/>
      </c>
      <c r="P334" s="131"/>
      <c r="Q334" s="171"/>
    </row>
    <row r="335" spans="2:17" ht="16.5" thickBot="1" x14ac:dyDescent="0.3">
      <c r="B335" s="141"/>
      <c r="C335" s="203" t="s">
        <v>184</v>
      </c>
      <c r="D335" s="204">
        <f t="shared" ref="D335:O335" si="39">D259-D275-D293-D333</f>
        <v>0</v>
      </c>
      <c r="E335" s="204">
        <f t="shared" si="39"/>
        <v>0</v>
      </c>
      <c r="F335" s="205">
        <f t="shared" si="39"/>
        <v>0</v>
      </c>
      <c r="G335" s="205">
        <f t="shared" si="39"/>
        <v>0</v>
      </c>
      <c r="H335" s="205">
        <f t="shared" si="39"/>
        <v>0</v>
      </c>
      <c r="I335" s="205">
        <f t="shared" si="39"/>
        <v>-2048.4</v>
      </c>
      <c r="J335" s="205">
        <f t="shared" si="39"/>
        <v>-3527.7999999999997</v>
      </c>
      <c r="K335" s="205">
        <f t="shared" si="39"/>
        <v>-3527.7999999999997</v>
      </c>
      <c r="L335" s="205">
        <f t="shared" si="39"/>
        <v>-2731.2</v>
      </c>
      <c r="M335" s="205">
        <f t="shared" si="39"/>
        <v>-2105.2999999999997</v>
      </c>
      <c r="N335" s="205">
        <f t="shared" si="39"/>
        <v>-5462.4</v>
      </c>
      <c r="O335" s="205">
        <f t="shared" si="39"/>
        <v>-8466.7199999999993</v>
      </c>
      <c r="P335" s="131"/>
      <c r="Q335" s="183">
        <f>SUM(D335:O335)</f>
        <v>-27869.620000000003</v>
      </c>
    </row>
    <row r="336" spans="2:17" ht="16.5" thickTop="1" thickBot="1" x14ac:dyDescent="0.25">
      <c r="C336" s="206" t="s">
        <v>185</v>
      </c>
      <c r="D336" s="186" t="str">
        <f t="shared" ref="D336:O336" si="40">IFERROR(D335/D259,"")</f>
        <v/>
      </c>
      <c r="E336" s="186" t="str">
        <f t="shared" si="40"/>
        <v/>
      </c>
      <c r="F336" s="187" t="str">
        <f t="shared" si="40"/>
        <v/>
      </c>
      <c r="G336" s="187" t="str">
        <f t="shared" si="40"/>
        <v/>
      </c>
      <c r="H336" s="187" t="str">
        <f t="shared" si="40"/>
        <v/>
      </c>
      <c r="I336" s="187" t="str">
        <f t="shared" si="40"/>
        <v/>
      </c>
      <c r="J336" s="187" t="str">
        <f t="shared" si="40"/>
        <v/>
      </c>
      <c r="K336" s="187" t="str">
        <f t="shared" si="40"/>
        <v/>
      </c>
      <c r="L336" s="187" t="str">
        <f t="shared" si="40"/>
        <v/>
      </c>
      <c r="M336" s="187" t="str">
        <f t="shared" si="40"/>
        <v/>
      </c>
      <c r="N336" s="187" t="str">
        <f t="shared" si="40"/>
        <v/>
      </c>
      <c r="O336" s="187" t="str">
        <f t="shared" si="40"/>
        <v/>
      </c>
      <c r="P336" s="131"/>
      <c r="Q336" s="171"/>
    </row>
    <row r="337" spans="2:17" ht="3.75" customHeight="1" thickBot="1" x14ac:dyDescent="0.25">
      <c r="C337" s="172"/>
      <c r="D337" s="173"/>
      <c r="E337" s="173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31"/>
      <c r="Q337" s="176"/>
    </row>
    <row r="338" spans="2:17" ht="16.5" thickBot="1" x14ac:dyDescent="0.3">
      <c r="B338" s="141"/>
      <c r="C338" s="142" t="s">
        <v>186</v>
      </c>
      <c r="D338" s="143"/>
      <c r="E338" s="144"/>
      <c r="F338" s="145"/>
      <c r="G338" s="145"/>
      <c r="H338" s="146"/>
      <c r="I338" s="146"/>
      <c r="J338" s="146"/>
      <c r="K338" s="146"/>
      <c r="L338" s="146"/>
      <c r="M338" s="146"/>
      <c r="N338" s="146"/>
      <c r="O338" s="146"/>
      <c r="P338" s="129"/>
      <c r="Q338" s="145"/>
    </row>
    <row r="339" spans="2:17" ht="15.75" x14ac:dyDescent="0.25">
      <c r="C339" s="157" t="s">
        <v>26</v>
      </c>
      <c r="D339" s="158"/>
      <c r="E339" s="158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31"/>
      <c r="Q339" s="161"/>
    </row>
    <row r="340" spans="2:17" x14ac:dyDescent="0.2">
      <c r="C340" s="153" t="s">
        <v>187</v>
      </c>
      <c r="D340" s="75">
        <f>+'[1]Budget 2025W'!K407</f>
        <v>0</v>
      </c>
      <c r="E340" s="75">
        <f>+'[1]Budget 2025W'!L407</f>
        <v>0</v>
      </c>
      <c r="F340" s="75">
        <f>+'[1]Budget 2025W'!M407</f>
        <v>0</v>
      </c>
      <c r="G340" s="75">
        <f>+'[1]Budget 2025W'!N407</f>
        <v>0</v>
      </c>
      <c r="H340" s="75">
        <f>+'[1]Budget 2025W'!O407</f>
        <v>0</v>
      </c>
      <c r="I340" s="75">
        <f>+'[1]Budget 2025W'!P407</f>
        <v>1272</v>
      </c>
      <c r="J340" s="75">
        <f>+'[1]Budget 2025W'!Q407</f>
        <v>1272</v>
      </c>
      <c r="K340" s="75">
        <f>+'[1]Budget 2025W'!R407</f>
        <v>1272</v>
      </c>
      <c r="L340" s="75">
        <f>+'[1]Budget 2025W'!S407</f>
        <v>1272</v>
      </c>
      <c r="M340" s="75">
        <f>+'[1]Budget 2025W'!T407</f>
        <v>1272</v>
      </c>
      <c r="N340" s="75">
        <f>+'[1]Budget 2025W'!U407</f>
        <v>2544</v>
      </c>
      <c r="O340" s="75">
        <f>+'[1]Budget 2025W'!V407</f>
        <v>2544</v>
      </c>
      <c r="P340" s="131"/>
      <c r="Q340" s="156">
        <f t="shared" ref="Q340:Q346" si="41">SUM(D340:O340)</f>
        <v>11448</v>
      </c>
    </row>
    <row r="341" spans="2:17" x14ac:dyDescent="0.2">
      <c r="C341" s="153" t="s">
        <v>188</v>
      </c>
      <c r="D341" s="75">
        <f>+'[1]Budget 2025W'!K408</f>
        <v>0</v>
      </c>
      <c r="E341" s="75">
        <f>+'[1]Budget 2025W'!L408</f>
        <v>0</v>
      </c>
      <c r="F341" s="75">
        <f>+'[1]Budget 2025W'!M408</f>
        <v>0</v>
      </c>
      <c r="G341" s="75">
        <f>+'[1]Budget 2025W'!N408</f>
        <v>0</v>
      </c>
      <c r="H341" s="75">
        <f>+'[1]Budget 2025W'!O408</f>
        <v>0</v>
      </c>
      <c r="I341" s="75">
        <f>+'[1]Budget 2025W'!P408</f>
        <v>0</v>
      </c>
      <c r="J341" s="75">
        <f>+'[1]Budget 2025W'!Q408</f>
        <v>0</v>
      </c>
      <c r="K341" s="75">
        <f>+'[1]Budget 2025W'!R408</f>
        <v>0</v>
      </c>
      <c r="L341" s="75">
        <f>+'[1]Budget 2025W'!S408</f>
        <v>0</v>
      </c>
      <c r="M341" s="75">
        <f>+'[1]Budget 2025W'!T408</f>
        <v>0</v>
      </c>
      <c r="N341" s="75">
        <f>+'[1]Budget 2025W'!U408</f>
        <v>0</v>
      </c>
      <c r="O341" s="75">
        <f>+'[1]Budget 2025W'!V408</f>
        <v>0</v>
      </c>
      <c r="P341" s="131"/>
      <c r="Q341" s="156">
        <f t="shared" si="41"/>
        <v>0</v>
      </c>
    </row>
    <row r="342" spans="2:17" x14ac:dyDescent="0.2">
      <c r="C342" s="153" t="s">
        <v>189</v>
      </c>
      <c r="D342" s="75">
        <f>+'[1]Budget 2025W'!K409</f>
        <v>0</v>
      </c>
      <c r="E342" s="75">
        <f>+'[1]Budget 2025W'!L409</f>
        <v>0</v>
      </c>
      <c r="F342" s="75">
        <f>+'[1]Budget 2025W'!M409</f>
        <v>0</v>
      </c>
      <c r="G342" s="75">
        <f>+'[1]Budget 2025W'!N409</f>
        <v>0</v>
      </c>
      <c r="H342" s="75">
        <f>+'[1]Budget 2025W'!O409</f>
        <v>0</v>
      </c>
      <c r="I342" s="75">
        <f>+'[1]Budget 2025W'!P409</f>
        <v>0</v>
      </c>
      <c r="J342" s="75">
        <f>+'[1]Budget 2025W'!Q409</f>
        <v>0</v>
      </c>
      <c r="K342" s="75">
        <f>+'[1]Budget 2025W'!R409</f>
        <v>0</v>
      </c>
      <c r="L342" s="75">
        <f>+'[1]Budget 2025W'!S409</f>
        <v>0</v>
      </c>
      <c r="M342" s="75">
        <f>+'[1]Budget 2025W'!T409</f>
        <v>0</v>
      </c>
      <c r="N342" s="75">
        <f>+'[1]Budget 2025W'!U409</f>
        <v>0</v>
      </c>
      <c r="O342" s="75">
        <f>+'[1]Budget 2025W'!V409</f>
        <v>0</v>
      </c>
      <c r="P342" s="131"/>
      <c r="Q342" s="156">
        <f t="shared" si="41"/>
        <v>0</v>
      </c>
    </row>
    <row r="343" spans="2:17" x14ac:dyDescent="0.2">
      <c r="C343" s="153" t="s">
        <v>190</v>
      </c>
      <c r="D343" s="75">
        <f>+'[1]Budget 2025W'!K410</f>
        <v>0</v>
      </c>
      <c r="E343" s="75">
        <f>+'[1]Budget 2025W'!L410</f>
        <v>0</v>
      </c>
      <c r="F343" s="75">
        <f>+'[1]Budget 2025W'!M410</f>
        <v>0</v>
      </c>
      <c r="G343" s="75">
        <f>+'[1]Budget 2025W'!N410</f>
        <v>0</v>
      </c>
      <c r="H343" s="75">
        <f>+'[1]Budget 2025W'!O410</f>
        <v>0</v>
      </c>
      <c r="I343" s="75">
        <f>+'[1]Budget 2025W'!P410</f>
        <v>0</v>
      </c>
      <c r="J343" s="75">
        <f>+'[1]Budget 2025W'!Q410</f>
        <v>0</v>
      </c>
      <c r="K343" s="75">
        <f>+'[1]Budget 2025W'!R410</f>
        <v>0</v>
      </c>
      <c r="L343" s="75">
        <f>+'[1]Budget 2025W'!S410</f>
        <v>0</v>
      </c>
      <c r="M343" s="75">
        <f>+'[1]Budget 2025W'!T410</f>
        <v>0</v>
      </c>
      <c r="N343" s="75">
        <f>+'[1]Budget 2025W'!U410</f>
        <v>0</v>
      </c>
      <c r="O343" s="75">
        <f>+'[1]Budget 2025W'!V410</f>
        <v>0</v>
      </c>
      <c r="P343" s="131"/>
      <c r="Q343" s="156">
        <f t="shared" si="41"/>
        <v>0</v>
      </c>
    </row>
    <row r="344" spans="2:17" x14ac:dyDescent="0.2">
      <c r="C344" s="153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131"/>
      <c r="Q344" s="156"/>
    </row>
    <row r="345" spans="2:17" ht="15.75" thickBot="1" x14ac:dyDescent="0.25">
      <c r="C345" s="153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131"/>
      <c r="Q345" s="156"/>
    </row>
    <row r="346" spans="2:17" ht="17.25" thickTop="1" thickBot="1" x14ac:dyDescent="0.3">
      <c r="C346" s="162" t="s">
        <v>191</v>
      </c>
      <c r="D346" s="163">
        <f>+'[1]Budget 2025W'!K414</f>
        <v>0</v>
      </c>
      <c r="E346" s="163">
        <f>+'[1]Budget 2025W'!L414</f>
        <v>0</v>
      </c>
      <c r="F346" s="163">
        <f>+'[1]Budget 2025W'!M414</f>
        <v>0</v>
      </c>
      <c r="G346" s="163">
        <f>+'[1]Budget 2025W'!N414</f>
        <v>0</v>
      </c>
      <c r="H346" s="164">
        <f>+'[1]Budget 2025W'!O414</f>
        <v>0</v>
      </c>
      <c r="I346" s="164">
        <f>+'[1]Budget 2025W'!P414</f>
        <v>1272</v>
      </c>
      <c r="J346" s="164">
        <f>+'[1]Budget 2025W'!Q414</f>
        <v>1272</v>
      </c>
      <c r="K346" s="164">
        <f>+'[1]Budget 2025W'!R414</f>
        <v>1272</v>
      </c>
      <c r="L346" s="164">
        <f>+'[1]Budget 2025W'!S414</f>
        <v>1272</v>
      </c>
      <c r="M346" s="164">
        <f>+'[1]Budget 2025W'!T414</f>
        <v>1272</v>
      </c>
      <c r="N346" s="164">
        <f>+'[1]Budget 2025W'!U414</f>
        <v>2544</v>
      </c>
      <c r="O346" s="164">
        <f>+'[1]Budget 2025W'!V414</f>
        <v>2544</v>
      </c>
      <c r="P346" s="131"/>
      <c r="Q346" s="165">
        <f t="shared" si="41"/>
        <v>11448</v>
      </c>
    </row>
    <row r="347" spans="2:17" ht="16.5" thickTop="1" x14ac:dyDescent="0.25">
      <c r="C347" s="195" t="s">
        <v>154</v>
      </c>
      <c r="D347" s="196"/>
      <c r="E347" s="196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31"/>
      <c r="Q347" s="161"/>
    </row>
    <row r="348" spans="2:17" x14ac:dyDescent="0.2">
      <c r="C348" s="153" t="s">
        <v>192</v>
      </c>
      <c r="D348" s="75">
        <f>+'[1]Budget 2025W'!K419</f>
        <v>0</v>
      </c>
      <c r="E348" s="75">
        <f>+'[1]Budget 2025W'!L419</f>
        <v>0</v>
      </c>
      <c r="F348" s="154">
        <f>+'[1]Budget 2025W'!M419</f>
        <v>0</v>
      </c>
      <c r="G348" s="154">
        <f>+'[1]Budget 2025W'!N419</f>
        <v>0</v>
      </c>
      <c r="H348" s="154">
        <f>+'[1]Budget 2025W'!O419</f>
        <v>0</v>
      </c>
      <c r="I348" s="154">
        <f>+'[1]Budget 2025W'!P419</f>
        <v>954</v>
      </c>
      <c r="J348" s="154">
        <f>+'[1]Budget 2025W'!Q419</f>
        <v>954</v>
      </c>
      <c r="K348" s="154">
        <f>+'[1]Budget 2025W'!R419</f>
        <v>954</v>
      </c>
      <c r="L348" s="154">
        <f>+'[1]Budget 2025W'!S419</f>
        <v>954</v>
      </c>
      <c r="M348" s="154">
        <f>+'[1]Budget 2025W'!T419</f>
        <v>954</v>
      </c>
      <c r="N348" s="154">
        <f>+'[1]Budget 2025W'!U419</f>
        <v>1908</v>
      </c>
      <c r="O348" s="154">
        <f>+'[1]Budget 2025W'!V419</f>
        <v>1908</v>
      </c>
      <c r="P348" s="131"/>
      <c r="Q348" s="156">
        <f>SUM(D348:O348)</f>
        <v>8586</v>
      </c>
    </row>
    <row r="349" spans="2:17" ht="15.75" thickBot="1" x14ac:dyDescent="0.25">
      <c r="C349" s="153"/>
      <c r="D349" s="75"/>
      <c r="E349" s="75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31"/>
      <c r="Q349" s="156"/>
    </row>
    <row r="350" spans="2:17" ht="17.25" thickTop="1" thickBot="1" x14ac:dyDescent="0.3">
      <c r="C350" s="162" t="s">
        <v>165</v>
      </c>
      <c r="D350" s="163">
        <f>+'[1]Budget 2025W'!K423</f>
        <v>0</v>
      </c>
      <c r="E350" s="163">
        <f>+'[1]Budget 2025W'!L423</f>
        <v>0</v>
      </c>
      <c r="F350" s="163">
        <f>+'[1]Budget 2025W'!M423</f>
        <v>0</v>
      </c>
      <c r="G350" s="163">
        <f>+'[1]Budget 2025W'!N423</f>
        <v>0</v>
      </c>
      <c r="H350" s="164">
        <f>+'[1]Budget 2025W'!O423</f>
        <v>0</v>
      </c>
      <c r="I350" s="164">
        <f>+'[1]Budget 2025W'!P423</f>
        <v>954</v>
      </c>
      <c r="J350" s="164">
        <f>+'[1]Budget 2025W'!Q423</f>
        <v>954</v>
      </c>
      <c r="K350" s="164">
        <f>+'[1]Budget 2025W'!R423</f>
        <v>954</v>
      </c>
      <c r="L350" s="164">
        <f>+'[1]Budget 2025W'!S423</f>
        <v>954</v>
      </c>
      <c r="M350" s="164">
        <f>+'[1]Budget 2025W'!T423</f>
        <v>954</v>
      </c>
      <c r="N350" s="164">
        <f>+'[1]Budget 2025W'!U423</f>
        <v>1908</v>
      </c>
      <c r="O350" s="164">
        <f>+'[1]Budget 2025W'!V423</f>
        <v>1908</v>
      </c>
      <c r="P350" s="131"/>
      <c r="Q350" s="165">
        <f>SUM(D350:O350)</f>
        <v>8586</v>
      </c>
    </row>
    <row r="351" spans="2:17" ht="16.5" thickTop="1" x14ac:dyDescent="0.25">
      <c r="C351" s="195" t="s">
        <v>97</v>
      </c>
      <c r="D351" s="196"/>
      <c r="E351" s="196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31"/>
      <c r="Q351" s="161"/>
    </row>
    <row r="352" spans="2:17" x14ac:dyDescent="0.2">
      <c r="C352" s="153" t="s">
        <v>98</v>
      </c>
      <c r="D352" s="75">
        <f>+'[1]Budget 2025W'!K426</f>
        <v>0</v>
      </c>
      <c r="E352" s="75">
        <f>+'[1]Budget 2025W'!L426</f>
        <v>0</v>
      </c>
      <c r="F352" s="154">
        <f>+'[1]Budget 2025W'!M426</f>
        <v>0</v>
      </c>
      <c r="G352" s="154">
        <f>+'[1]Budget 2025W'!N426</f>
        <v>0</v>
      </c>
      <c r="H352" s="154">
        <f>+'[1]Budget 2025W'!O426</f>
        <v>0</v>
      </c>
      <c r="I352" s="154">
        <f>+'[1]Budget 2025W'!P426</f>
        <v>0</v>
      </c>
      <c r="J352" s="154">
        <f>+'[1]Budget 2025W'!Q426</f>
        <v>0</v>
      </c>
      <c r="K352" s="154">
        <f>+'[1]Budget 2025W'!R426</f>
        <v>0</v>
      </c>
      <c r="L352" s="154">
        <f>+'[1]Budget 2025W'!S426</f>
        <v>0</v>
      </c>
      <c r="M352" s="154">
        <f>+'[1]Budget 2025W'!T426</f>
        <v>0</v>
      </c>
      <c r="N352" s="154">
        <f>+'[1]Budget 2025W'!U426</f>
        <v>0</v>
      </c>
      <c r="O352" s="154">
        <f>+'[1]Budget 2025W'!V426</f>
        <v>0</v>
      </c>
      <c r="P352" s="131"/>
      <c r="Q352" s="156">
        <f t="shared" ref="Q352:Q368" si="42">SUM(D352:O352)</f>
        <v>0</v>
      </c>
    </row>
    <row r="353" spans="3:17" x14ac:dyDescent="0.2">
      <c r="C353" s="153" t="s">
        <v>99</v>
      </c>
      <c r="D353" s="75">
        <f>+'[1]Budget 2025W'!K427</f>
        <v>0</v>
      </c>
      <c r="E353" s="75">
        <f>+'[1]Budget 2025W'!L427</f>
        <v>0</v>
      </c>
      <c r="F353" s="154">
        <f>+'[1]Budget 2025W'!M427</f>
        <v>0</v>
      </c>
      <c r="G353" s="154">
        <f>+'[1]Budget 2025W'!N427</f>
        <v>0</v>
      </c>
      <c r="H353" s="154">
        <f>+'[1]Budget 2025W'!O427</f>
        <v>0</v>
      </c>
      <c r="I353" s="154">
        <f>+'[1]Budget 2025W'!P427</f>
        <v>0</v>
      </c>
      <c r="J353" s="154">
        <f>+'[1]Budget 2025W'!Q427</f>
        <v>0</v>
      </c>
      <c r="K353" s="154">
        <f>+'[1]Budget 2025W'!R427</f>
        <v>0</v>
      </c>
      <c r="L353" s="154">
        <f>+'[1]Budget 2025W'!S427</f>
        <v>0</v>
      </c>
      <c r="M353" s="154">
        <f>+'[1]Budget 2025W'!T427</f>
        <v>0</v>
      </c>
      <c r="N353" s="154">
        <f>+'[1]Budget 2025W'!U427</f>
        <v>0</v>
      </c>
      <c r="O353" s="154">
        <f>+'[1]Budget 2025W'!V427</f>
        <v>0</v>
      </c>
      <c r="P353" s="131"/>
      <c r="Q353" s="156">
        <f t="shared" si="42"/>
        <v>0</v>
      </c>
    </row>
    <row r="354" spans="3:17" x14ac:dyDescent="0.2">
      <c r="C354" s="153" t="s">
        <v>100</v>
      </c>
      <c r="D354" s="75">
        <f>+'[1]Budget 2025W'!K428</f>
        <v>0</v>
      </c>
      <c r="E354" s="75">
        <f>+'[1]Budget 2025W'!L428</f>
        <v>0</v>
      </c>
      <c r="F354" s="154">
        <f>+'[1]Budget 2025W'!M428</f>
        <v>0</v>
      </c>
      <c r="G354" s="154">
        <f>+'[1]Budget 2025W'!N428</f>
        <v>0</v>
      </c>
      <c r="H354" s="154">
        <f>+'[1]Budget 2025W'!O428</f>
        <v>0</v>
      </c>
      <c r="I354" s="154">
        <f>+'[1]Budget 2025W'!P428</f>
        <v>0</v>
      </c>
      <c r="J354" s="154">
        <f>+'[1]Budget 2025W'!Q428</f>
        <v>0</v>
      </c>
      <c r="K354" s="154">
        <f>+'[1]Budget 2025W'!R428</f>
        <v>0</v>
      </c>
      <c r="L354" s="154">
        <f>+'[1]Budget 2025W'!S428</f>
        <v>0</v>
      </c>
      <c r="M354" s="154">
        <f>+'[1]Budget 2025W'!T428</f>
        <v>0</v>
      </c>
      <c r="N354" s="154">
        <f>+'[1]Budget 2025W'!U428</f>
        <v>0</v>
      </c>
      <c r="O354" s="154">
        <f>+'[1]Budget 2025W'!V428</f>
        <v>0</v>
      </c>
      <c r="P354" s="131"/>
      <c r="Q354" s="156">
        <f t="shared" si="42"/>
        <v>0</v>
      </c>
    </row>
    <row r="355" spans="3:17" x14ac:dyDescent="0.2">
      <c r="C355" s="153" t="s">
        <v>101</v>
      </c>
      <c r="D355" s="75">
        <f>+'[1]Budget 2025W'!K429</f>
        <v>0</v>
      </c>
      <c r="E355" s="75">
        <f>+'[1]Budget 2025W'!L429</f>
        <v>0</v>
      </c>
      <c r="F355" s="154">
        <f>+'[1]Budget 2025W'!M429</f>
        <v>0</v>
      </c>
      <c r="G355" s="154">
        <f>+'[1]Budget 2025W'!N429</f>
        <v>0</v>
      </c>
      <c r="H355" s="154">
        <f>+'[1]Budget 2025W'!O429</f>
        <v>0</v>
      </c>
      <c r="I355" s="154">
        <f>+'[1]Budget 2025W'!P429</f>
        <v>0</v>
      </c>
      <c r="J355" s="154">
        <f>+'[1]Budget 2025W'!Q429</f>
        <v>0</v>
      </c>
      <c r="K355" s="154">
        <f>+'[1]Budget 2025W'!R429</f>
        <v>0</v>
      </c>
      <c r="L355" s="154">
        <f>+'[1]Budget 2025W'!S429</f>
        <v>0</v>
      </c>
      <c r="M355" s="154">
        <f>+'[1]Budget 2025W'!T429</f>
        <v>0</v>
      </c>
      <c r="N355" s="154">
        <f>+'[1]Budget 2025W'!U429</f>
        <v>0</v>
      </c>
      <c r="O355" s="154">
        <f>+'[1]Budget 2025W'!V429</f>
        <v>0</v>
      </c>
      <c r="P355" s="131"/>
      <c r="Q355" s="156">
        <f t="shared" si="42"/>
        <v>0</v>
      </c>
    </row>
    <row r="356" spans="3:17" x14ac:dyDescent="0.2">
      <c r="C356" s="153" t="s">
        <v>102</v>
      </c>
      <c r="D356" s="75">
        <f>+'[1]Budget 2025W'!K430</f>
        <v>0</v>
      </c>
      <c r="E356" s="75">
        <f>+'[1]Budget 2025W'!L430</f>
        <v>0</v>
      </c>
      <c r="F356" s="154">
        <f>+'[1]Budget 2025W'!M430</f>
        <v>0</v>
      </c>
      <c r="G356" s="154">
        <f>+'[1]Budget 2025W'!N430</f>
        <v>0</v>
      </c>
      <c r="H356" s="154">
        <f>+'[1]Budget 2025W'!O430</f>
        <v>0</v>
      </c>
      <c r="I356" s="154">
        <f>+'[1]Budget 2025W'!P430</f>
        <v>50</v>
      </c>
      <c r="J356" s="154">
        <f>+'[1]Budget 2025W'!Q430</f>
        <v>50</v>
      </c>
      <c r="K356" s="154">
        <f>+'[1]Budget 2025W'!R430</f>
        <v>50</v>
      </c>
      <c r="L356" s="154">
        <f>+'[1]Budget 2025W'!S430</f>
        <v>50</v>
      </c>
      <c r="M356" s="154">
        <f>+'[1]Budget 2025W'!T430</f>
        <v>50</v>
      </c>
      <c r="N356" s="154">
        <f>+'[1]Budget 2025W'!U430</f>
        <v>50</v>
      </c>
      <c r="O356" s="154">
        <f>+'[1]Budget 2025W'!V430</f>
        <v>50</v>
      </c>
      <c r="P356" s="131"/>
      <c r="Q356" s="156">
        <f t="shared" si="42"/>
        <v>350</v>
      </c>
    </row>
    <row r="357" spans="3:17" x14ac:dyDescent="0.2">
      <c r="C357" s="153" t="s">
        <v>103</v>
      </c>
      <c r="D357" s="75">
        <f>+'[1]Budget 2025W'!K431</f>
        <v>0</v>
      </c>
      <c r="E357" s="75">
        <f>+'[1]Budget 2025W'!L431</f>
        <v>0</v>
      </c>
      <c r="F357" s="154">
        <f>+'[1]Budget 2025W'!M431</f>
        <v>0</v>
      </c>
      <c r="G357" s="154">
        <f>+'[1]Budget 2025W'!N431</f>
        <v>0</v>
      </c>
      <c r="H357" s="154">
        <f>+'[1]Budget 2025W'!O431</f>
        <v>0</v>
      </c>
      <c r="I357" s="154">
        <f>+'[1]Budget 2025W'!P431</f>
        <v>13.414999999999999</v>
      </c>
      <c r="J357" s="154">
        <f>+'[1]Budget 2025W'!Q431</f>
        <v>13.414999999999999</v>
      </c>
      <c r="K357" s="154">
        <f>+'[1]Budget 2025W'!R431</f>
        <v>13.414999999999999</v>
      </c>
      <c r="L357" s="154">
        <f>+'[1]Budget 2025W'!S431</f>
        <v>13.414999999999999</v>
      </c>
      <c r="M357" s="154">
        <f>+'[1]Budget 2025W'!T431</f>
        <v>13.414999999999999</v>
      </c>
      <c r="N357" s="154">
        <f>+'[1]Budget 2025W'!U431</f>
        <v>13.414999999999999</v>
      </c>
      <c r="O357" s="154">
        <f>+'[1]Budget 2025W'!V431</f>
        <v>13.414999999999999</v>
      </c>
      <c r="P357" s="131"/>
      <c r="Q357" s="156">
        <f t="shared" si="42"/>
        <v>93.904999999999973</v>
      </c>
    </row>
    <row r="358" spans="3:17" x14ac:dyDescent="0.2">
      <c r="C358" s="153" t="s">
        <v>104</v>
      </c>
      <c r="D358" s="75">
        <f>+'[1]Budget 2025W'!K432</f>
        <v>0</v>
      </c>
      <c r="E358" s="75">
        <f>+'[1]Budget 2025W'!L432</f>
        <v>0</v>
      </c>
      <c r="F358" s="154">
        <f>+'[1]Budget 2025W'!M432</f>
        <v>0</v>
      </c>
      <c r="G358" s="154">
        <f>+'[1]Budget 2025W'!N432</f>
        <v>0</v>
      </c>
      <c r="H358" s="154">
        <f>+'[1]Budget 2025W'!O432</f>
        <v>0</v>
      </c>
      <c r="I358" s="154">
        <f>+'[1]Budget 2025W'!P432</f>
        <v>4.166666666666667</v>
      </c>
      <c r="J358" s="154">
        <f>+'[1]Budget 2025W'!Q432</f>
        <v>4.166666666666667</v>
      </c>
      <c r="K358" s="154">
        <f>+'[1]Budget 2025W'!R432</f>
        <v>4.166666666666667</v>
      </c>
      <c r="L358" s="154">
        <f>+'[1]Budget 2025W'!S432</f>
        <v>4.166666666666667</v>
      </c>
      <c r="M358" s="154">
        <f>+'[1]Budget 2025W'!T432</f>
        <v>4.166666666666667</v>
      </c>
      <c r="N358" s="154">
        <f>+'[1]Budget 2025W'!U432</f>
        <v>4.166666666666667</v>
      </c>
      <c r="O358" s="154">
        <f>+'[1]Budget 2025W'!V432</f>
        <v>4.166666666666667</v>
      </c>
      <c r="P358" s="131"/>
      <c r="Q358" s="156">
        <f t="shared" si="42"/>
        <v>29.166666666666671</v>
      </c>
    </row>
    <row r="359" spans="3:17" x14ac:dyDescent="0.2">
      <c r="C359" s="153" t="s">
        <v>105</v>
      </c>
      <c r="D359" s="75">
        <f>+'[1]Budget 2025W'!K433</f>
        <v>0</v>
      </c>
      <c r="E359" s="75">
        <f>+'[1]Budget 2025W'!L433</f>
        <v>0</v>
      </c>
      <c r="F359" s="154">
        <f>+'[1]Budget 2025W'!M433</f>
        <v>0</v>
      </c>
      <c r="G359" s="154">
        <f>+'[1]Budget 2025W'!N433</f>
        <v>0</v>
      </c>
      <c r="H359" s="154">
        <f>+'[1]Budget 2025W'!O433</f>
        <v>0</v>
      </c>
      <c r="I359" s="154">
        <f>+'[1]Budget 2025W'!P433</f>
        <v>0.625</v>
      </c>
      <c r="J359" s="154">
        <f>+'[1]Budget 2025W'!Q433</f>
        <v>0.625</v>
      </c>
      <c r="K359" s="154">
        <f>+'[1]Budget 2025W'!R433</f>
        <v>0.625</v>
      </c>
      <c r="L359" s="154">
        <f>+'[1]Budget 2025W'!S433</f>
        <v>0.625</v>
      </c>
      <c r="M359" s="154">
        <f>+'[1]Budget 2025W'!T433</f>
        <v>0.625</v>
      </c>
      <c r="N359" s="154">
        <f>+'[1]Budget 2025W'!U433</f>
        <v>0.625</v>
      </c>
      <c r="O359" s="154">
        <f>+'[1]Budget 2025W'!V433</f>
        <v>0.625</v>
      </c>
      <c r="P359" s="131"/>
      <c r="Q359" s="156">
        <f t="shared" si="42"/>
        <v>4.375</v>
      </c>
    </row>
    <row r="360" spans="3:17" x14ac:dyDescent="0.2">
      <c r="C360" s="153" t="s">
        <v>106</v>
      </c>
      <c r="D360" s="75">
        <f>+'[1]Budget 2025W'!K434</f>
        <v>0</v>
      </c>
      <c r="E360" s="75">
        <f>+'[1]Budget 2025W'!L434</f>
        <v>0</v>
      </c>
      <c r="F360" s="154">
        <f>+'[1]Budget 2025W'!M434</f>
        <v>0</v>
      </c>
      <c r="G360" s="154">
        <f>+'[1]Budget 2025W'!N434</f>
        <v>0</v>
      </c>
      <c r="H360" s="154">
        <f>+'[1]Budget 2025W'!O434</f>
        <v>0</v>
      </c>
      <c r="I360" s="154">
        <f>+'[1]Budget 2025W'!P434</f>
        <v>0</v>
      </c>
      <c r="J360" s="154">
        <f>+'[1]Budget 2025W'!Q434</f>
        <v>0</v>
      </c>
      <c r="K360" s="154">
        <f>+'[1]Budget 2025W'!R434</f>
        <v>0</v>
      </c>
      <c r="L360" s="154">
        <f>+'[1]Budget 2025W'!S434</f>
        <v>0</v>
      </c>
      <c r="M360" s="154">
        <f>+'[1]Budget 2025W'!T434</f>
        <v>0</v>
      </c>
      <c r="N360" s="154">
        <f>+'[1]Budget 2025W'!U434</f>
        <v>0</v>
      </c>
      <c r="O360" s="154">
        <f>+'[1]Budget 2025W'!V434</f>
        <v>0</v>
      </c>
      <c r="P360" s="131"/>
      <c r="Q360" s="156">
        <f t="shared" si="42"/>
        <v>0</v>
      </c>
    </row>
    <row r="361" spans="3:17" x14ac:dyDescent="0.2">
      <c r="C361" s="153" t="s">
        <v>107</v>
      </c>
      <c r="D361" s="75">
        <f>+'[1]Budget 2025W'!K435</f>
        <v>0</v>
      </c>
      <c r="E361" s="75">
        <f>+'[1]Budget 2025W'!L435</f>
        <v>0</v>
      </c>
      <c r="F361" s="154">
        <f>+'[1]Budget 2025W'!M435</f>
        <v>0</v>
      </c>
      <c r="G361" s="154">
        <f>+'[1]Budget 2025W'!N435</f>
        <v>0</v>
      </c>
      <c r="H361" s="154">
        <f>+'[1]Budget 2025W'!O435</f>
        <v>0</v>
      </c>
      <c r="I361" s="154">
        <f>+'[1]Budget 2025W'!P435</f>
        <v>0</v>
      </c>
      <c r="J361" s="154">
        <f>+'[1]Budget 2025W'!Q435</f>
        <v>0</v>
      </c>
      <c r="K361" s="154">
        <f>+'[1]Budget 2025W'!R435</f>
        <v>0</v>
      </c>
      <c r="L361" s="154">
        <f>+'[1]Budget 2025W'!S435</f>
        <v>0</v>
      </c>
      <c r="M361" s="154">
        <f>+'[1]Budget 2025W'!T435</f>
        <v>0</v>
      </c>
      <c r="N361" s="154">
        <f>+'[1]Budget 2025W'!U435</f>
        <v>0</v>
      </c>
      <c r="O361" s="154">
        <f>+'[1]Budget 2025W'!V435</f>
        <v>0</v>
      </c>
      <c r="P361" s="131"/>
      <c r="Q361" s="156">
        <f t="shared" si="42"/>
        <v>0</v>
      </c>
    </row>
    <row r="362" spans="3:17" x14ac:dyDescent="0.2">
      <c r="C362" s="153" t="s">
        <v>108</v>
      </c>
      <c r="D362" s="75">
        <f>+'[1]Budget 2025W'!K436</f>
        <v>0</v>
      </c>
      <c r="E362" s="75">
        <f>+'[1]Budget 2025W'!L436</f>
        <v>0</v>
      </c>
      <c r="F362" s="154">
        <f>+'[1]Budget 2025W'!M436</f>
        <v>0</v>
      </c>
      <c r="G362" s="154">
        <f>+'[1]Budget 2025W'!N436</f>
        <v>0</v>
      </c>
      <c r="H362" s="154">
        <f>+'[1]Budget 2025W'!O436</f>
        <v>0</v>
      </c>
      <c r="I362" s="154">
        <f>+'[1]Budget 2025W'!P436</f>
        <v>0</v>
      </c>
      <c r="J362" s="154">
        <f>+'[1]Budget 2025W'!Q436</f>
        <v>0</v>
      </c>
      <c r="K362" s="154">
        <f>+'[1]Budget 2025W'!R436</f>
        <v>0</v>
      </c>
      <c r="L362" s="154">
        <f>+'[1]Budget 2025W'!S436</f>
        <v>0</v>
      </c>
      <c r="M362" s="154">
        <f>+'[1]Budget 2025W'!T436</f>
        <v>0</v>
      </c>
      <c r="N362" s="154">
        <f>+'[1]Budget 2025W'!U436</f>
        <v>0</v>
      </c>
      <c r="O362" s="154">
        <f>+'[1]Budget 2025W'!V436</f>
        <v>0</v>
      </c>
      <c r="P362" s="131"/>
      <c r="Q362" s="156">
        <f t="shared" si="42"/>
        <v>0</v>
      </c>
    </row>
    <row r="363" spans="3:17" x14ac:dyDescent="0.2">
      <c r="C363" s="153" t="s">
        <v>109</v>
      </c>
      <c r="D363" s="75">
        <f>+'[1]Budget 2025W'!K437</f>
        <v>0</v>
      </c>
      <c r="E363" s="75">
        <f>+'[1]Budget 2025W'!L437</f>
        <v>0</v>
      </c>
      <c r="F363" s="154">
        <f>+'[1]Budget 2025W'!M437</f>
        <v>0</v>
      </c>
      <c r="G363" s="154">
        <f>+'[1]Budget 2025W'!N437</f>
        <v>0</v>
      </c>
      <c r="H363" s="154">
        <f>+'[1]Budget 2025W'!O437</f>
        <v>0</v>
      </c>
      <c r="I363" s="154">
        <f>+'[1]Budget 2025W'!P437</f>
        <v>0</v>
      </c>
      <c r="J363" s="154">
        <f>+'[1]Budget 2025W'!Q437</f>
        <v>0</v>
      </c>
      <c r="K363" s="154">
        <f>+'[1]Budget 2025W'!R437</f>
        <v>0</v>
      </c>
      <c r="L363" s="154">
        <f>+'[1]Budget 2025W'!S437</f>
        <v>0</v>
      </c>
      <c r="M363" s="154">
        <f>+'[1]Budget 2025W'!T437</f>
        <v>0</v>
      </c>
      <c r="N363" s="154">
        <f>+'[1]Budget 2025W'!U437</f>
        <v>0</v>
      </c>
      <c r="O363" s="154">
        <f>+'[1]Budget 2025W'!V437</f>
        <v>0</v>
      </c>
      <c r="P363" s="131"/>
      <c r="Q363" s="156">
        <f t="shared" si="42"/>
        <v>0</v>
      </c>
    </row>
    <row r="364" spans="3:17" x14ac:dyDescent="0.2">
      <c r="C364" s="153" t="s">
        <v>110</v>
      </c>
      <c r="D364" s="75">
        <f>+'[1]Budget 2025W'!K438</f>
        <v>0</v>
      </c>
      <c r="E364" s="75">
        <f>+'[1]Budget 2025W'!L438</f>
        <v>0</v>
      </c>
      <c r="F364" s="154">
        <f>+'[1]Budget 2025W'!M438</f>
        <v>0</v>
      </c>
      <c r="G364" s="154">
        <f>+'[1]Budget 2025W'!N438</f>
        <v>0</v>
      </c>
      <c r="H364" s="154">
        <f>+'[1]Budget 2025W'!O438</f>
        <v>0</v>
      </c>
      <c r="I364" s="154">
        <f>+'[1]Budget 2025W'!P438</f>
        <v>0</v>
      </c>
      <c r="J364" s="154">
        <f>+'[1]Budget 2025W'!Q438</f>
        <v>0</v>
      </c>
      <c r="K364" s="154">
        <f>+'[1]Budget 2025W'!R438</f>
        <v>0</v>
      </c>
      <c r="L364" s="154">
        <f>+'[1]Budget 2025W'!S438</f>
        <v>0</v>
      </c>
      <c r="M364" s="154">
        <f>+'[1]Budget 2025W'!T438</f>
        <v>0</v>
      </c>
      <c r="N364" s="154">
        <f>+'[1]Budget 2025W'!U438</f>
        <v>0</v>
      </c>
      <c r="O364" s="154">
        <f>+'[1]Budget 2025W'!V438</f>
        <v>0</v>
      </c>
      <c r="P364" s="131"/>
      <c r="Q364" s="156">
        <f t="shared" si="42"/>
        <v>0</v>
      </c>
    </row>
    <row r="365" spans="3:17" x14ac:dyDescent="0.2">
      <c r="C365" s="153" t="s">
        <v>111</v>
      </c>
      <c r="D365" s="75">
        <f>+'[1]Budget 2025W'!K439</f>
        <v>0</v>
      </c>
      <c r="E365" s="75">
        <f>+'[1]Budget 2025W'!L439</f>
        <v>0</v>
      </c>
      <c r="F365" s="154">
        <f>+'[1]Budget 2025W'!M439</f>
        <v>0</v>
      </c>
      <c r="G365" s="154">
        <f>+'[1]Budget 2025W'!N439</f>
        <v>0</v>
      </c>
      <c r="H365" s="154">
        <f>+'[1]Budget 2025W'!O439</f>
        <v>0</v>
      </c>
      <c r="I365" s="154">
        <f>+'[1]Budget 2025W'!P439</f>
        <v>0</v>
      </c>
      <c r="J365" s="154">
        <f>+'[1]Budget 2025W'!Q439</f>
        <v>0</v>
      </c>
      <c r="K365" s="154">
        <f>+'[1]Budget 2025W'!R439</f>
        <v>0</v>
      </c>
      <c r="L365" s="154">
        <f>+'[1]Budget 2025W'!S439</f>
        <v>0</v>
      </c>
      <c r="M365" s="154">
        <f>+'[1]Budget 2025W'!T439</f>
        <v>0</v>
      </c>
      <c r="N365" s="154">
        <f>+'[1]Budget 2025W'!U439</f>
        <v>0</v>
      </c>
      <c r="O365" s="154">
        <f>+'[1]Budget 2025W'!V439</f>
        <v>0</v>
      </c>
      <c r="P365" s="131"/>
      <c r="Q365" s="156">
        <f t="shared" si="42"/>
        <v>0</v>
      </c>
    </row>
    <row r="366" spans="3:17" x14ac:dyDescent="0.2">
      <c r="C366" s="153" t="s">
        <v>112</v>
      </c>
      <c r="D366" s="75">
        <f>+'[1]Budget 2025W'!K440</f>
        <v>0</v>
      </c>
      <c r="E366" s="75">
        <f>+'[1]Budget 2025W'!L440</f>
        <v>0</v>
      </c>
      <c r="F366" s="154">
        <f>+'[1]Budget 2025W'!M440</f>
        <v>0</v>
      </c>
      <c r="G366" s="154">
        <f>+'[1]Budget 2025W'!N440</f>
        <v>0</v>
      </c>
      <c r="H366" s="154">
        <f>+'[1]Budget 2025W'!O440</f>
        <v>0</v>
      </c>
      <c r="I366" s="154">
        <f>+'[1]Budget 2025W'!P440</f>
        <v>0</v>
      </c>
      <c r="J366" s="154">
        <f>+'[1]Budget 2025W'!Q440</f>
        <v>0</v>
      </c>
      <c r="K366" s="154">
        <f>+'[1]Budget 2025W'!R440</f>
        <v>0</v>
      </c>
      <c r="L366" s="154">
        <f>+'[1]Budget 2025W'!S440</f>
        <v>0</v>
      </c>
      <c r="M366" s="154">
        <f>+'[1]Budget 2025W'!T440</f>
        <v>0</v>
      </c>
      <c r="N366" s="154">
        <f>+'[1]Budget 2025W'!U440</f>
        <v>0</v>
      </c>
      <c r="O366" s="154">
        <f>+'[1]Budget 2025W'!V440</f>
        <v>0</v>
      </c>
      <c r="P366" s="131"/>
      <c r="Q366" s="156">
        <f t="shared" si="42"/>
        <v>0</v>
      </c>
    </row>
    <row r="367" spans="3:17" ht="15.75" thickBot="1" x14ac:dyDescent="0.25">
      <c r="C367" s="153" t="s">
        <v>113</v>
      </c>
      <c r="D367" s="75">
        <f>+'[1]Budget 2025W'!K441</f>
        <v>0</v>
      </c>
      <c r="E367" s="75">
        <f>+'[1]Budget 2025W'!L441</f>
        <v>0</v>
      </c>
      <c r="F367" s="154">
        <f>+'[1]Budget 2025W'!M441</f>
        <v>0</v>
      </c>
      <c r="G367" s="154">
        <f>+'[1]Budget 2025W'!N441</f>
        <v>0</v>
      </c>
      <c r="H367" s="154">
        <f>+'[1]Budget 2025W'!O441</f>
        <v>0</v>
      </c>
      <c r="I367" s="154">
        <f>+'[1]Budget 2025W'!P441</f>
        <v>0</v>
      </c>
      <c r="J367" s="154">
        <f>+'[1]Budget 2025W'!Q441</f>
        <v>0</v>
      </c>
      <c r="K367" s="154">
        <f>+'[1]Budget 2025W'!R441</f>
        <v>0</v>
      </c>
      <c r="L367" s="154">
        <f>+'[1]Budget 2025W'!S441</f>
        <v>0</v>
      </c>
      <c r="M367" s="154">
        <f>+'[1]Budget 2025W'!T441</f>
        <v>0</v>
      </c>
      <c r="N367" s="154">
        <f>+'[1]Budget 2025W'!U441</f>
        <v>0</v>
      </c>
      <c r="O367" s="154">
        <f>+'[1]Budget 2025W'!V441</f>
        <v>0</v>
      </c>
      <c r="P367" s="131"/>
      <c r="Q367" s="156">
        <f t="shared" si="42"/>
        <v>0</v>
      </c>
    </row>
    <row r="368" spans="3:17" ht="17.25" thickTop="1" thickBot="1" x14ac:dyDescent="0.3">
      <c r="C368" s="198" t="s">
        <v>114</v>
      </c>
      <c r="D368" s="199">
        <f>+'[1]Budget 2025W'!K445</f>
        <v>0</v>
      </c>
      <c r="E368" s="199">
        <f>+'[1]Budget 2025W'!L445</f>
        <v>0</v>
      </c>
      <c r="F368" s="200">
        <f>+'[1]Budget 2025W'!M445</f>
        <v>0</v>
      </c>
      <c r="G368" s="200">
        <f>+'[1]Budget 2025W'!N445</f>
        <v>0</v>
      </c>
      <c r="H368" s="200">
        <f>+'[1]Budget 2025W'!O445</f>
        <v>0</v>
      </c>
      <c r="I368" s="200">
        <f>+'[1]Budget 2025W'!P445</f>
        <v>68.206666666666663</v>
      </c>
      <c r="J368" s="200">
        <f>+'[1]Budget 2025W'!Q445</f>
        <v>68.206666666666663</v>
      </c>
      <c r="K368" s="200">
        <f>+'[1]Budget 2025W'!R445</f>
        <v>68.206666666666663</v>
      </c>
      <c r="L368" s="200">
        <f>+'[1]Budget 2025W'!S445</f>
        <v>68.206666666666663</v>
      </c>
      <c r="M368" s="200">
        <f>+'[1]Budget 2025W'!T445</f>
        <v>68.206666666666663</v>
      </c>
      <c r="N368" s="200">
        <f>+'[1]Budget 2025W'!U445</f>
        <v>68.206666666666663</v>
      </c>
      <c r="O368" s="200">
        <f>+'[1]Budget 2025W'!V445</f>
        <v>68.206666666666663</v>
      </c>
      <c r="P368" s="131"/>
      <c r="Q368" s="165">
        <f t="shared" si="42"/>
        <v>477.4466666666666</v>
      </c>
    </row>
    <row r="369" spans="3:17" ht="16.5" thickTop="1" thickBot="1" x14ac:dyDescent="0.25">
      <c r="C369" s="201"/>
      <c r="D369" s="168"/>
      <c r="E369" s="168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31"/>
      <c r="Q369" s="171"/>
    </row>
    <row r="370" spans="3:17" ht="15.75" x14ac:dyDescent="0.25">
      <c r="C370" s="195" t="s">
        <v>44</v>
      </c>
      <c r="D370" s="196"/>
      <c r="E370" s="196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31"/>
      <c r="Q370" s="161"/>
    </row>
    <row r="371" spans="3:17" x14ac:dyDescent="0.2">
      <c r="C371" s="153" t="s">
        <v>193</v>
      </c>
      <c r="D371" s="75">
        <f>+'[1]Budget 2025W'!K448</f>
        <v>0</v>
      </c>
      <c r="E371" s="75">
        <f>+'[1]Budget 2025W'!L448</f>
        <v>0</v>
      </c>
      <c r="F371" s="154">
        <f>+'[1]Budget 2025W'!M448</f>
        <v>0</v>
      </c>
      <c r="G371" s="154">
        <f>+'[1]Budget 2025W'!N448</f>
        <v>0</v>
      </c>
      <c r="H371" s="154">
        <f>+'[1]Budget 2025W'!O448</f>
        <v>0</v>
      </c>
      <c r="I371" s="154">
        <f>+'[1]Budget 2025W'!P448</f>
        <v>150</v>
      </c>
      <c r="J371" s="154">
        <f>+'[1]Budget 2025W'!Q448</f>
        <v>150</v>
      </c>
      <c r="K371" s="154">
        <f>+'[1]Budget 2025W'!R448</f>
        <v>150</v>
      </c>
      <c r="L371" s="154">
        <f>+'[1]Budget 2025W'!S448</f>
        <v>150</v>
      </c>
      <c r="M371" s="154">
        <f>+'[1]Budget 2025W'!T448</f>
        <v>150</v>
      </c>
      <c r="N371" s="154">
        <f>+'[1]Budget 2025W'!U448</f>
        <v>150</v>
      </c>
      <c r="O371" s="154">
        <f>+'[1]Budget 2025W'!V448</f>
        <v>150</v>
      </c>
      <c r="P371" s="131"/>
      <c r="Q371" s="156">
        <f t="shared" ref="Q371:Q398" si="43">SUM(D371:O371)</f>
        <v>1050</v>
      </c>
    </row>
    <row r="372" spans="3:17" x14ac:dyDescent="0.2">
      <c r="C372" s="153" t="s">
        <v>194</v>
      </c>
      <c r="D372" s="75">
        <f>+'[1]Budget 2025W'!K449</f>
        <v>0</v>
      </c>
      <c r="E372" s="75">
        <f>+'[1]Budget 2025W'!L449</f>
        <v>0</v>
      </c>
      <c r="F372" s="154">
        <f>+'[1]Budget 2025W'!M449</f>
        <v>0</v>
      </c>
      <c r="G372" s="154">
        <f>+'[1]Budget 2025W'!N449</f>
        <v>0</v>
      </c>
      <c r="H372" s="154">
        <f>+'[1]Budget 2025W'!O449</f>
        <v>0</v>
      </c>
      <c r="I372" s="154">
        <f>+'[1]Budget 2025W'!P449</f>
        <v>0</v>
      </c>
      <c r="J372" s="154">
        <f>+'[1]Budget 2025W'!Q449</f>
        <v>0</v>
      </c>
      <c r="K372" s="154">
        <f>+'[1]Budget 2025W'!R449</f>
        <v>0</v>
      </c>
      <c r="L372" s="154">
        <f>+'[1]Budget 2025W'!S449</f>
        <v>0</v>
      </c>
      <c r="M372" s="154">
        <f>+'[1]Budget 2025W'!T449</f>
        <v>0</v>
      </c>
      <c r="N372" s="154">
        <f>+'[1]Budget 2025W'!U449</f>
        <v>0</v>
      </c>
      <c r="O372" s="154">
        <f>+'[1]Budget 2025W'!V449</f>
        <v>0</v>
      </c>
      <c r="P372" s="131"/>
      <c r="Q372" s="156">
        <f t="shared" si="43"/>
        <v>0</v>
      </c>
    </row>
    <row r="373" spans="3:17" x14ac:dyDescent="0.2">
      <c r="C373" s="153" t="s">
        <v>115</v>
      </c>
      <c r="D373" s="75">
        <f>+'[1]Budget 2025W'!K450</f>
        <v>0</v>
      </c>
      <c r="E373" s="75">
        <f>+'[1]Budget 2025W'!L450</f>
        <v>0</v>
      </c>
      <c r="F373" s="154">
        <f>+'[1]Budget 2025W'!M450</f>
        <v>0</v>
      </c>
      <c r="G373" s="154">
        <f>+'[1]Budget 2025W'!N450</f>
        <v>0</v>
      </c>
      <c r="H373" s="154">
        <f>+'[1]Budget 2025W'!O450</f>
        <v>0</v>
      </c>
      <c r="I373" s="154">
        <f>+'[1]Budget 2025W'!P450</f>
        <v>0</v>
      </c>
      <c r="J373" s="154">
        <f>+'[1]Budget 2025W'!Q450</f>
        <v>0</v>
      </c>
      <c r="K373" s="154">
        <f>+'[1]Budget 2025W'!R450</f>
        <v>0</v>
      </c>
      <c r="L373" s="154">
        <f>+'[1]Budget 2025W'!S450</f>
        <v>0</v>
      </c>
      <c r="M373" s="154">
        <f>+'[1]Budget 2025W'!T450</f>
        <v>0</v>
      </c>
      <c r="N373" s="154">
        <f>+'[1]Budget 2025W'!U450</f>
        <v>0</v>
      </c>
      <c r="O373" s="154">
        <f>+'[1]Budget 2025W'!V450</f>
        <v>0</v>
      </c>
      <c r="P373" s="131"/>
      <c r="Q373" s="156">
        <f t="shared" si="43"/>
        <v>0</v>
      </c>
    </row>
    <row r="374" spans="3:17" x14ac:dyDescent="0.2">
      <c r="C374" s="153" t="s">
        <v>116</v>
      </c>
      <c r="D374" s="75">
        <f>+'[1]Budget 2025W'!K451</f>
        <v>0</v>
      </c>
      <c r="E374" s="75">
        <f>+'[1]Budget 2025W'!L451</f>
        <v>0</v>
      </c>
      <c r="F374" s="154">
        <f>+'[1]Budget 2025W'!M451</f>
        <v>0</v>
      </c>
      <c r="G374" s="154">
        <f>+'[1]Budget 2025W'!N451</f>
        <v>0</v>
      </c>
      <c r="H374" s="154">
        <f>+'[1]Budget 2025W'!O451</f>
        <v>0</v>
      </c>
      <c r="I374" s="154">
        <f>+'[1]Budget 2025W'!P451</f>
        <v>0</v>
      </c>
      <c r="J374" s="154">
        <f>+'[1]Budget 2025W'!Q451</f>
        <v>0</v>
      </c>
      <c r="K374" s="154">
        <f>+'[1]Budget 2025W'!R451</f>
        <v>0</v>
      </c>
      <c r="L374" s="154">
        <f>+'[1]Budget 2025W'!S451</f>
        <v>0</v>
      </c>
      <c r="M374" s="154">
        <f>+'[1]Budget 2025W'!T451</f>
        <v>0</v>
      </c>
      <c r="N374" s="154">
        <f>+'[1]Budget 2025W'!U451</f>
        <v>0</v>
      </c>
      <c r="O374" s="154">
        <f>+'[1]Budget 2025W'!V451</f>
        <v>0</v>
      </c>
      <c r="P374" s="131"/>
      <c r="Q374" s="156">
        <f t="shared" si="43"/>
        <v>0</v>
      </c>
    </row>
    <row r="375" spans="3:17" x14ac:dyDescent="0.2">
      <c r="C375" s="153" t="s">
        <v>120</v>
      </c>
      <c r="D375" s="75">
        <f>+'[1]Budget 2025W'!K452</f>
        <v>0</v>
      </c>
      <c r="E375" s="75">
        <f>+'[1]Budget 2025W'!L452</f>
        <v>0</v>
      </c>
      <c r="F375" s="154">
        <f>+'[1]Budget 2025W'!M452</f>
        <v>0</v>
      </c>
      <c r="G375" s="154">
        <f>+'[1]Budget 2025W'!N452</f>
        <v>0</v>
      </c>
      <c r="H375" s="154">
        <f>+'[1]Budget 2025W'!O452</f>
        <v>0</v>
      </c>
      <c r="I375" s="154">
        <f>+'[1]Budget 2025W'!P452</f>
        <v>0</v>
      </c>
      <c r="J375" s="154">
        <f>+'[1]Budget 2025W'!Q452</f>
        <v>0</v>
      </c>
      <c r="K375" s="154">
        <f>+'[1]Budget 2025W'!R452</f>
        <v>0</v>
      </c>
      <c r="L375" s="154">
        <f>+'[1]Budget 2025W'!S452</f>
        <v>0</v>
      </c>
      <c r="M375" s="154">
        <f>+'[1]Budget 2025W'!T452</f>
        <v>0</v>
      </c>
      <c r="N375" s="154">
        <f>+'[1]Budget 2025W'!U452</f>
        <v>0</v>
      </c>
      <c r="O375" s="154">
        <f>+'[1]Budget 2025W'!V452</f>
        <v>0</v>
      </c>
      <c r="P375" s="131"/>
      <c r="Q375" s="156">
        <f t="shared" si="43"/>
        <v>0</v>
      </c>
    </row>
    <row r="376" spans="3:17" x14ac:dyDescent="0.2">
      <c r="C376" s="153" t="s">
        <v>121</v>
      </c>
      <c r="D376" s="75">
        <f>+'[1]Budget 2025W'!K453</f>
        <v>0</v>
      </c>
      <c r="E376" s="75">
        <f>+'[1]Budget 2025W'!L453</f>
        <v>0</v>
      </c>
      <c r="F376" s="154">
        <f>+'[1]Budget 2025W'!M453</f>
        <v>0</v>
      </c>
      <c r="G376" s="154">
        <f>+'[1]Budget 2025W'!N453</f>
        <v>0</v>
      </c>
      <c r="H376" s="154">
        <f>+'[1]Budget 2025W'!O453</f>
        <v>0</v>
      </c>
      <c r="I376" s="154">
        <f>+'[1]Budget 2025W'!P453</f>
        <v>0</v>
      </c>
      <c r="J376" s="154">
        <f>+'[1]Budget 2025W'!Q453</f>
        <v>0</v>
      </c>
      <c r="K376" s="154">
        <f>+'[1]Budget 2025W'!R453</f>
        <v>0</v>
      </c>
      <c r="L376" s="154">
        <f>+'[1]Budget 2025W'!S453</f>
        <v>0</v>
      </c>
      <c r="M376" s="154">
        <f>+'[1]Budget 2025W'!T453</f>
        <v>0</v>
      </c>
      <c r="N376" s="154">
        <f>+'[1]Budget 2025W'!U453</f>
        <v>0</v>
      </c>
      <c r="O376" s="154">
        <f>+'[1]Budget 2025W'!V453</f>
        <v>0</v>
      </c>
      <c r="P376" s="131"/>
      <c r="Q376" s="156">
        <f t="shared" si="43"/>
        <v>0</v>
      </c>
    </row>
    <row r="377" spans="3:17" x14ac:dyDescent="0.2">
      <c r="C377" s="153" t="s">
        <v>122</v>
      </c>
      <c r="D377" s="75">
        <f>+'[1]Budget 2025W'!K454</f>
        <v>0</v>
      </c>
      <c r="E377" s="75">
        <f>+'[1]Budget 2025W'!L454</f>
        <v>0</v>
      </c>
      <c r="F377" s="154">
        <f>+'[1]Budget 2025W'!M454</f>
        <v>0</v>
      </c>
      <c r="G377" s="154">
        <f>+'[1]Budget 2025W'!N454</f>
        <v>0</v>
      </c>
      <c r="H377" s="154">
        <f>+'[1]Budget 2025W'!O454</f>
        <v>0</v>
      </c>
      <c r="I377" s="154">
        <f>+'[1]Budget 2025W'!P454</f>
        <v>0</v>
      </c>
      <c r="J377" s="154">
        <f>+'[1]Budget 2025W'!Q454</f>
        <v>0</v>
      </c>
      <c r="K377" s="154">
        <f>+'[1]Budget 2025W'!R454</f>
        <v>0</v>
      </c>
      <c r="L377" s="154">
        <f>+'[1]Budget 2025W'!S454</f>
        <v>0</v>
      </c>
      <c r="M377" s="154">
        <f>+'[1]Budget 2025W'!T454</f>
        <v>0</v>
      </c>
      <c r="N377" s="154">
        <f>+'[1]Budget 2025W'!U454</f>
        <v>0</v>
      </c>
      <c r="O377" s="154">
        <f>+'[1]Budget 2025W'!V454</f>
        <v>0</v>
      </c>
      <c r="P377" s="131"/>
      <c r="Q377" s="156">
        <f t="shared" si="43"/>
        <v>0</v>
      </c>
    </row>
    <row r="378" spans="3:17" x14ac:dyDescent="0.2">
      <c r="C378" s="153" t="s">
        <v>123</v>
      </c>
      <c r="D378" s="75">
        <f>+'[1]Budget 2025W'!K455</f>
        <v>0</v>
      </c>
      <c r="E378" s="75">
        <f>+'[1]Budget 2025W'!L455</f>
        <v>0</v>
      </c>
      <c r="F378" s="154">
        <f>+'[1]Budget 2025W'!M455</f>
        <v>0</v>
      </c>
      <c r="G378" s="154">
        <f>+'[1]Budget 2025W'!N455</f>
        <v>0</v>
      </c>
      <c r="H378" s="154">
        <f>+'[1]Budget 2025W'!O455</f>
        <v>0</v>
      </c>
      <c r="I378" s="154">
        <f>+'[1]Budget 2025W'!P455</f>
        <v>0</v>
      </c>
      <c r="J378" s="154">
        <f>+'[1]Budget 2025W'!Q455</f>
        <v>0</v>
      </c>
      <c r="K378" s="154">
        <f>+'[1]Budget 2025W'!R455</f>
        <v>0</v>
      </c>
      <c r="L378" s="154">
        <f>+'[1]Budget 2025W'!S455</f>
        <v>0</v>
      </c>
      <c r="M378" s="154">
        <f>+'[1]Budget 2025W'!T455</f>
        <v>0</v>
      </c>
      <c r="N378" s="154">
        <f>+'[1]Budget 2025W'!U455</f>
        <v>0</v>
      </c>
      <c r="O378" s="154">
        <f>+'[1]Budget 2025W'!V455</f>
        <v>0</v>
      </c>
      <c r="P378" s="131"/>
      <c r="Q378" s="156">
        <f t="shared" si="43"/>
        <v>0</v>
      </c>
    </row>
    <row r="379" spans="3:17" x14ac:dyDescent="0.2">
      <c r="C379" s="153" t="s">
        <v>170</v>
      </c>
      <c r="D379" s="75">
        <f>+'[1]Budget 2025W'!K456</f>
        <v>0</v>
      </c>
      <c r="E379" s="75">
        <f>+'[1]Budget 2025W'!L456</f>
        <v>0</v>
      </c>
      <c r="F379" s="154">
        <f>+'[1]Budget 2025W'!M456</f>
        <v>0</v>
      </c>
      <c r="G379" s="154">
        <f>+'[1]Budget 2025W'!N456</f>
        <v>0</v>
      </c>
      <c r="H379" s="154">
        <f>+'[1]Budget 2025W'!O456</f>
        <v>0</v>
      </c>
      <c r="I379" s="154">
        <f>+'[1]Budget 2025W'!P456</f>
        <v>0</v>
      </c>
      <c r="J379" s="154">
        <f>+'[1]Budget 2025W'!Q456</f>
        <v>0</v>
      </c>
      <c r="K379" s="154">
        <f>+'[1]Budget 2025W'!R456</f>
        <v>0</v>
      </c>
      <c r="L379" s="154">
        <f>+'[1]Budget 2025W'!S456</f>
        <v>0</v>
      </c>
      <c r="M379" s="154">
        <f>+'[1]Budget 2025W'!T456</f>
        <v>0</v>
      </c>
      <c r="N379" s="154">
        <f>+'[1]Budget 2025W'!U456</f>
        <v>0</v>
      </c>
      <c r="O379" s="154">
        <f>+'[1]Budget 2025W'!V456</f>
        <v>0</v>
      </c>
      <c r="P379" s="131"/>
      <c r="Q379" s="156">
        <f t="shared" si="43"/>
        <v>0</v>
      </c>
    </row>
    <row r="380" spans="3:17" x14ac:dyDescent="0.2">
      <c r="C380" s="153" t="s">
        <v>125</v>
      </c>
      <c r="D380" s="75">
        <f>+'[1]Budget 2025W'!K457</f>
        <v>0</v>
      </c>
      <c r="E380" s="75">
        <f>+'[1]Budget 2025W'!L457</f>
        <v>0</v>
      </c>
      <c r="F380" s="154">
        <f>+'[1]Budget 2025W'!M457</f>
        <v>0</v>
      </c>
      <c r="G380" s="154">
        <f>+'[1]Budget 2025W'!N457</f>
        <v>0</v>
      </c>
      <c r="H380" s="154">
        <f>+'[1]Budget 2025W'!O457</f>
        <v>0</v>
      </c>
      <c r="I380" s="154">
        <f>+'[1]Budget 2025W'!P457</f>
        <v>0</v>
      </c>
      <c r="J380" s="154">
        <f>+'[1]Budget 2025W'!Q457</f>
        <v>0</v>
      </c>
      <c r="K380" s="154">
        <f>+'[1]Budget 2025W'!R457</f>
        <v>0</v>
      </c>
      <c r="L380" s="154">
        <f>+'[1]Budget 2025W'!S457</f>
        <v>0</v>
      </c>
      <c r="M380" s="154">
        <f>+'[1]Budget 2025W'!T457</f>
        <v>0</v>
      </c>
      <c r="N380" s="154">
        <f>+'[1]Budget 2025W'!U457</f>
        <v>0</v>
      </c>
      <c r="O380" s="154">
        <f>+'[1]Budget 2025W'!V457</f>
        <v>0</v>
      </c>
      <c r="P380" s="131"/>
      <c r="Q380" s="156">
        <f t="shared" si="43"/>
        <v>0</v>
      </c>
    </row>
    <row r="381" spans="3:17" x14ac:dyDescent="0.2">
      <c r="C381" s="153" t="s">
        <v>126</v>
      </c>
      <c r="D381" s="75">
        <f>+'[1]Budget 2025W'!K458</f>
        <v>0</v>
      </c>
      <c r="E381" s="75">
        <f>+'[1]Budget 2025W'!L458</f>
        <v>0</v>
      </c>
      <c r="F381" s="154">
        <f>+'[1]Budget 2025W'!M458</f>
        <v>0</v>
      </c>
      <c r="G381" s="154">
        <f>+'[1]Budget 2025W'!N458</f>
        <v>0</v>
      </c>
      <c r="H381" s="154">
        <f>+'[1]Budget 2025W'!O458</f>
        <v>0</v>
      </c>
      <c r="I381" s="154">
        <f>+'[1]Budget 2025W'!P458</f>
        <v>0</v>
      </c>
      <c r="J381" s="154">
        <f>+'[1]Budget 2025W'!Q458</f>
        <v>0</v>
      </c>
      <c r="K381" s="154">
        <f>+'[1]Budget 2025W'!R458</f>
        <v>0</v>
      </c>
      <c r="L381" s="154">
        <f>+'[1]Budget 2025W'!S458</f>
        <v>0</v>
      </c>
      <c r="M381" s="154">
        <f>+'[1]Budget 2025W'!T458</f>
        <v>0</v>
      </c>
      <c r="N381" s="154">
        <f>+'[1]Budget 2025W'!U458</f>
        <v>0</v>
      </c>
      <c r="O381" s="154">
        <f>+'[1]Budget 2025W'!V458</f>
        <v>0</v>
      </c>
      <c r="P381" s="131"/>
      <c r="Q381" s="156">
        <f t="shared" si="43"/>
        <v>0</v>
      </c>
    </row>
    <row r="382" spans="3:17" x14ac:dyDescent="0.2">
      <c r="C382" s="153" t="s">
        <v>195</v>
      </c>
      <c r="D382" s="75">
        <f>+'[1]Budget 2025W'!K459</f>
        <v>0</v>
      </c>
      <c r="E382" s="75">
        <f>+'[1]Budget 2025W'!L459</f>
        <v>0</v>
      </c>
      <c r="F382" s="154">
        <f>+'[1]Budget 2025W'!M459</f>
        <v>0</v>
      </c>
      <c r="G382" s="154">
        <f>+'[1]Budget 2025W'!N459</f>
        <v>0</v>
      </c>
      <c r="H382" s="154">
        <f>+'[1]Budget 2025W'!O459</f>
        <v>0</v>
      </c>
      <c r="I382" s="154">
        <f>+'[1]Budget 2025W'!P459</f>
        <v>0</v>
      </c>
      <c r="J382" s="154">
        <f>+'[1]Budget 2025W'!Q459</f>
        <v>0</v>
      </c>
      <c r="K382" s="154">
        <f>+'[1]Budget 2025W'!R459</f>
        <v>0</v>
      </c>
      <c r="L382" s="154">
        <f>+'[1]Budget 2025W'!S459</f>
        <v>0</v>
      </c>
      <c r="M382" s="154">
        <f>+'[1]Budget 2025W'!T459</f>
        <v>0</v>
      </c>
      <c r="N382" s="154">
        <f>+'[1]Budget 2025W'!U459</f>
        <v>0</v>
      </c>
      <c r="O382" s="154">
        <f>+'[1]Budget 2025W'!V459</f>
        <v>0</v>
      </c>
      <c r="P382" s="131"/>
      <c r="Q382" s="156">
        <f t="shared" si="43"/>
        <v>0</v>
      </c>
    </row>
    <row r="383" spans="3:17" x14ac:dyDescent="0.2">
      <c r="C383" s="153" t="s">
        <v>130</v>
      </c>
      <c r="D383" s="75">
        <f>+'[1]Budget 2025W'!K460</f>
        <v>0</v>
      </c>
      <c r="E383" s="75">
        <f>+'[1]Budget 2025W'!L460</f>
        <v>0</v>
      </c>
      <c r="F383" s="154">
        <f>+'[1]Budget 2025W'!M460</f>
        <v>0</v>
      </c>
      <c r="G383" s="154">
        <f>+'[1]Budget 2025W'!N460</f>
        <v>0</v>
      </c>
      <c r="H383" s="154">
        <f>+'[1]Budget 2025W'!O460</f>
        <v>0</v>
      </c>
      <c r="I383" s="154">
        <f>+'[1]Budget 2025W'!P460</f>
        <v>0</v>
      </c>
      <c r="J383" s="154">
        <f>+'[1]Budget 2025W'!Q460</f>
        <v>0</v>
      </c>
      <c r="K383" s="154">
        <f>+'[1]Budget 2025W'!R460</f>
        <v>0</v>
      </c>
      <c r="L383" s="154">
        <f>+'[1]Budget 2025W'!S460</f>
        <v>0</v>
      </c>
      <c r="M383" s="154">
        <f>+'[1]Budget 2025W'!T460</f>
        <v>0</v>
      </c>
      <c r="N383" s="154">
        <f>+'[1]Budget 2025W'!U460</f>
        <v>0</v>
      </c>
      <c r="O383" s="154">
        <f>+'[1]Budget 2025W'!V460</f>
        <v>0</v>
      </c>
      <c r="P383" s="131"/>
      <c r="Q383" s="156">
        <f t="shared" si="43"/>
        <v>0</v>
      </c>
    </row>
    <row r="384" spans="3:17" x14ac:dyDescent="0.2">
      <c r="C384" s="153" t="s">
        <v>131</v>
      </c>
      <c r="D384" s="75">
        <f>+'[1]Budget 2025W'!K461</f>
        <v>0</v>
      </c>
      <c r="E384" s="75">
        <f>+'[1]Budget 2025W'!L461</f>
        <v>0</v>
      </c>
      <c r="F384" s="154">
        <f>+'[1]Budget 2025W'!M461</f>
        <v>0</v>
      </c>
      <c r="G384" s="154">
        <f>+'[1]Budget 2025W'!N461</f>
        <v>0</v>
      </c>
      <c r="H384" s="154">
        <f>+'[1]Budget 2025W'!O461</f>
        <v>0</v>
      </c>
      <c r="I384" s="154">
        <f>+'[1]Budget 2025W'!P461</f>
        <v>0</v>
      </c>
      <c r="J384" s="154">
        <f>+'[1]Budget 2025W'!Q461</f>
        <v>0</v>
      </c>
      <c r="K384" s="154">
        <f>+'[1]Budget 2025W'!R461</f>
        <v>0</v>
      </c>
      <c r="L384" s="154">
        <f>+'[1]Budget 2025W'!S461</f>
        <v>0</v>
      </c>
      <c r="M384" s="154">
        <f>+'[1]Budget 2025W'!T461</f>
        <v>0</v>
      </c>
      <c r="N384" s="154">
        <f>+'[1]Budget 2025W'!U461</f>
        <v>0</v>
      </c>
      <c r="O384" s="154">
        <f>+'[1]Budget 2025W'!V461</f>
        <v>0</v>
      </c>
      <c r="P384" s="131"/>
      <c r="Q384" s="156">
        <f t="shared" si="43"/>
        <v>0</v>
      </c>
    </row>
    <row r="385" spans="2:17" x14ac:dyDescent="0.2">
      <c r="C385" s="153" t="s">
        <v>176</v>
      </c>
      <c r="D385" s="75">
        <f>+'[1]Budget 2025W'!K462</f>
        <v>0</v>
      </c>
      <c r="E385" s="75">
        <f>+'[1]Budget 2025W'!L462</f>
        <v>0</v>
      </c>
      <c r="F385" s="154">
        <f>+'[1]Budget 2025W'!M462</f>
        <v>0</v>
      </c>
      <c r="G385" s="154">
        <f>+'[1]Budget 2025W'!N462</f>
        <v>0</v>
      </c>
      <c r="H385" s="154">
        <f>+'[1]Budget 2025W'!O462</f>
        <v>0</v>
      </c>
      <c r="I385" s="154">
        <f>+'[1]Budget 2025W'!P462</f>
        <v>0</v>
      </c>
      <c r="J385" s="154">
        <f>+'[1]Budget 2025W'!Q462</f>
        <v>0</v>
      </c>
      <c r="K385" s="154">
        <f>+'[1]Budget 2025W'!R462</f>
        <v>0</v>
      </c>
      <c r="L385" s="154">
        <f>+'[1]Budget 2025W'!S462</f>
        <v>0</v>
      </c>
      <c r="M385" s="154">
        <f>+'[1]Budget 2025W'!T462</f>
        <v>0</v>
      </c>
      <c r="N385" s="154">
        <f>+'[1]Budget 2025W'!U462</f>
        <v>0</v>
      </c>
      <c r="O385" s="154">
        <f>+'[1]Budget 2025W'!V462</f>
        <v>0</v>
      </c>
      <c r="P385" s="131"/>
      <c r="Q385" s="156">
        <f t="shared" si="43"/>
        <v>0</v>
      </c>
    </row>
    <row r="386" spans="2:17" x14ac:dyDescent="0.2">
      <c r="C386" s="153" t="s">
        <v>177</v>
      </c>
      <c r="D386" s="75">
        <f>+'[1]Budget 2025W'!K463</f>
        <v>0</v>
      </c>
      <c r="E386" s="75">
        <f>+'[1]Budget 2025W'!L463</f>
        <v>0</v>
      </c>
      <c r="F386" s="154">
        <f>+'[1]Budget 2025W'!M463</f>
        <v>0</v>
      </c>
      <c r="G386" s="154">
        <f>+'[1]Budget 2025W'!N463</f>
        <v>0</v>
      </c>
      <c r="H386" s="154">
        <f>+'[1]Budget 2025W'!O463</f>
        <v>0</v>
      </c>
      <c r="I386" s="154">
        <f>+'[1]Budget 2025W'!P463</f>
        <v>0</v>
      </c>
      <c r="J386" s="154">
        <f>+'[1]Budget 2025W'!Q463</f>
        <v>0</v>
      </c>
      <c r="K386" s="154">
        <f>+'[1]Budget 2025W'!R463</f>
        <v>0</v>
      </c>
      <c r="L386" s="154">
        <f>+'[1]Budget 2025W'!S463</f>
        <v>0</v>
      </c>
      <c r="M386" s="154">
        <f>+'[1]Budget 2025W'!T463</f>
        <v>0</v>
      </c>
      <c r="N386" s="154">
        <f>+'[1]Budget 2025W'!U463</f>
        <v>0</v>
      </c>
      <c r="O386" s="154">
        <f>+'[1]Budget 2025W'!V463</f>
        <v>0</v>
      </c>
      <c r="P386" s="131"/>
      <c r="Q386" s="156">
        <f t="shared" si="43"/>
        <v>0</v>
      </c>
    </row>
    <row r="387" spans="2:17" x14ac:dyDescent="0.2">
      <c r="C387" s="153" t="s">
        <v>196</v>
      </c>
      <c r="D387" s="75">
        <f>+'[1]Budget 2025W'!K464</f>
        <v>0</v>
      </c>
      <c r="E387" s="75">
        <f>+'[1]Budget 2025W'!L464</f>
        <v>0</v>
      </c>
      <c r="F387" s="154">
        <f>+'[1]Budget 2025W'!M464</f>
        <v>0</v>
      </c>
      <c r="G387" s="154">
        <f>+'[1]Budget 2025W'!N464</f>
        <v>0</v>
      </c>
      <c r="H387" s="154">
        <f>+'[1]Budget 2025W'!O464</f>
        <v>0</v>
      </c>
      <c r="I387" s="154">
        <f>+'[1]Budget 2025W'!P464</f>
        <v>0</v>
      </c>
      <c r="J387" s="154">
        <f>+'[1]Budget 2025W'!Q464</f>
        <v>0</v>
      </c>
      <c r="K387" s="154">
        <f>+'[1]Budget 2025W'!R464</f>
        <v>0</v>
      </c>
      <c r="L387" s="154">
        <f>+'[1]Budget 2025W'!S464</f>
        <v>0</v>
      </c>
      <c r="M387" s="154">
        <f>+'[1]Budget 2025W'!T464</f>
        <v>0</v>
      </c>
      <c r="N387" s="154">
        <f>+'[1]Budget 2025W'!U464</f>
        <v>0</v>
      </c>
      <c r="O387" s="154">
        <f>+'[1]Budget 2025W'!V464</f>
        <v>0</v>
      </c>
      <c r="P387" s="131"/>
      <c r="Q387" s="156">
        <f t="shared" si="43"/>
        <v>0</v>
      </c>
    </row>
    <row r="388" spans="2:17" x14ac:dyDescent="0.2">
      <c r="C388" s="153" t="s">
        <v>134</v>
      </c>
      <c r="D388" s="75">
        <f>+'[1]Budget 2025W'!K465</f>
        <v>0</v>
      </c>
      <c r="E388" s="75">
        <f>+'[1]Budget 2025W'!L465</f>
        <v>0</v>
      </c>
      <c r="F388" s="154">
        <f>+'[1]Budget 2025W'!M465</f>
        <v>0</v>
      </c>
      <c r="G388" s="154">
        <f>+'[1]Budget 2025W'!N465</f>
        <v>0</v>
      </c>
      <c r="H388" s="154">
        <f>+'[1]Budget 2025W'!O465</f>
        <v>0</v>
      </c>
      <c r="I388" s="154">
        <f>+'[1]Budget 2025W'!P465</f>
        <v>0</v>
      </c>
      <c r="J388" s="154">
        <f>+'[1]Budget 2025W'!Q465</f>
        <v>0</v>
      </c>
      <c r="K388" s="154">
        <f>+'[1]Budget 2025W'!R465</f>
        <v>0</v>
      </c>
      <c r="L388" s="154">
        <f>+'[1]Budget 2025W'!S465</f>
        <v>0</v>
      </c>
      <c r="M388" s="154">
        <f>+'[1]Budget 2025W'!T465</f>
        <v>0</v>
      </c>
      <c r="N388" s="154">
        <f>+'[1]Budget 2025W'!U465</f>
        <v>0</v>
      </c>
      <c r="O388" s="154">
        <f>+'[1]Budget 2025W'!V465</f>
        <v>0</v>
      </c>
      <c r="P388" s="131"/>
      <c r="Q388" s="156">
        <f t="shared" si="43"/>
        <v>0</v>
      </c>
    </row>
    <row r="389" spans="2:17" x14ac:dyDescent="0.2">
      <c r="C389" s="153" t="s">
        <v>136</v>
      </c>
      <c r="D389" s="75">
        <f>+'[1]Budget 2025W'!K466</f>
        <v>0</v>
      </c>
      <c r="E389" s="75">
        <f>+'[1]Budget 2025W'!L466</f>
        <v>0</v>
      </c>
      <c r="F389" s="154">
        <f>+'[1]Budget 2025W'!M466</f>
        <v>0</v>
      </c>
      <c r="G389" s="154">
        <f>+'[1]Budget 2025W'!N466</f>
        <v>0</v>
      </c>
      <c r="H389" s="154">
        <f>+'[1]Budget 2025W'!O466</f>
        <v>0</v>
      </c>
      <c r="I389" s="154">
        <f>+'[1]Budget 2025W'!P466</f>
        <v>0</v>
      </c>
      <c r="J389" s="154">
        <f>+'[1]Budget 2025W'!Q466</f>
        <v>0</v>
      </c>
      <c r="K389" s="154">
        <f>+'[1]Budget 2025W'!R466</f>
        <v>0</v>
      </c>
      <c r="L389" s="154">
        <f>+'[1]Budget 2025W'!S466</f>
        <v>0</v>
      </c>
      <c r="M389" s="154">
        <f>+'[1]Budget 2025W'!T466</f>
        <v>0</v>
      </c>
      <c r="N389" s="154">
        <f>+'[1]Budget 2025W'!U466</f>
        <v>0</v>
      </c>
      <c r="O389" s="154">
        <f>+'[1]Budget 2025W'!V466</f>
        <v>0</v>
      </c>
      <c r="P389" s="131"/>
      <c r="Q389" s="156">
        <f t="shared" si="43"/>
        <v>0</v>
      </c>
    </row>
    <row r="390" spans="2:17" x14ac:dyDescent="0.2">
      <c r="C390" s="153" t="s">
        <v>137</v>
      </c>
      <c r="D390" s="75">
        <f>+'[1]Budget 2025W'!K467</f>
        <v>0</v>
      </c>
      <c r="E390" s="75">
        <f>+'[1]Budget 2025W'!L467</f>
        <v>0</v>
      </c>
      <c r="F390" s="154">
        <f>+'[1]Budget 2025W'!M467</f>
        <v>0</v>
      </c>
      <c r="G390" s="154">
        <f>+'[1]Budget 2025W'!N467</f>
        <v>0</v>
      </c>
      <c r="H390" s="154">
        <f>+'[1]Budget 2025W'!O467</f>
        <v>0</v>
      </c>
      <c r="I390" s="154">
        <f>+'[1]Budget 2025W'!P467</f>
        <v>0</v>
      </c>
      <c r="J390" s="154">
        <f>+'[1]Budget 2025W'!Q467</f>
        <v>0</v>
      </c>
      <c r="K390" s="154">
        <f>+'[1]Budget 2025W'!R467</f>
        <v>0</v>
      </c>
      <c r="L390" s="154">
        <f>+'[1]Budget 2025W'!S467</f>
        <v>0</v>
      </c>
      <c r="M390" s="154">
        <f>+'[1]Budget 2025W'!T467</f>
        <v>0</v>
      </c>
      <c r="N390" s="154">
        <f>+'[1]Budget 2025W'!U467</f>
        <v>0</v>
      </c>
      <c r="O390" s="154">
        <f>+'[1]Budget 2025W'!V467</f>
        <v>0</v>
      </c>
      <c r="P390" s="131"/>
      <c r="Q390" s="156">
        <f t="shared" si="43"/>
        <v>0</v>
      </c>
    </row>
    <row r="391" spans="2:17" x14ac:dyDescent="0.2">
      <c r="C391" s="153" t="s">
        <v>138</v>
      </c>
      <c r="D391" s="75">
        <f>+'[1]Budget 2025W'!K468</f>
        <v>0</v>
      </c>
      <c r="E391" s="75">
        <f>+'[1]Budget 2025W'!L468</f>
        <v>0</v>
      </c>
      <c r="F391" s="154">
        <f>+'[1]Budget 2025W'!M468</f>
        <v>0</v>
      </c>
      <c r="G391" s="154">
        <f>+'[1]Budget 2025W'!N468</f>
        <v>0</v>
      </c>
      <c r="H391" s="154">
        <f>+'[1]Budget 2025W'!O468</f>
        <v>0</v>
      </c>
      <c r="I391" s="154">
        <f>+'[1]Budget 2025W'!P468</f>
        <v>0</v>
      </c>
      <c r="J391" s="154">
        <f>+'[1]Budget 2025W'!Q468</f>
        <v>0</v>
      </c>
      <c r="K391" s="154">
        <f>+'[1]Budget 2025W'!R468</f>
        <v>0</v>
      </c>
      <c r="L391" s="154">
        <f>+'[1]Budget 2025W'!S468</f>
        <v>0</v>
      </c>
      <c r="M391" s="154">
        <f>+'[1]Budget 2025W'!T468</f>
        <v>0</v>
      </c>
      <c r="N391" s="154">
        <f>+'[1]Budget 2025W'!U468</f>
        <v>0</v>
      </c>
      <c r="O391" s="154">
        <f>+'[1]Budget 2025W'!V468</f>
        <v>0</v>
      </c>
      <c r="P391" s="131"/>
      <c r="Q391" s="156">
        <f t="shared" si="43"/>
        <v>0</v>
      </c>
    </row>
    <row r="392" spans="2:17" x14ac:dyDescent="0.2">
      <c r="C392" s="153" t="s">
        <v>197</v>
      </c>
      <c r="D392" s="75">
        <f>+'[1]Budget 2025W'!K469</f>
        <v>0</v>
      </c>
      <c r="E392" s="75">
        <f>+'[1]Budget 2025W'!L469</f>
        <v>0</v>
      </c>
      <c r="F392" s="154">
        <f>+'[1]Budget 2025W'!M469</f>
        <v>0</v>
      </c>
      <c r="G392" s="154">
        <f>+'[1]Budget 2025W'!N469</f>
        <v>0</v>
      </c>
      <c r="H392" s="154">
        <f>+'[1]Budget 2025W'!O469</f>
        <v>0</v>
      </c>
      <c r="I392" s="154">
        <f>+'[1]Budget 2025W'!P469</f>
        <v>0</v>
      </c>
      <c r="J392" s="154">
        <f>+'[1]Budget 2025W'!Q469</f>
        <v>0</v>
      </c>
      <c r="K392" s="154">
        <f>+'[1]Budget 2025W'!R469</f>
        <v>0</v>
      </c>
      <c r="L392" s="154">
        <f>+'[1]Budget 2025W'!S469</f>
        <v>0</v>
      </c>
      <c r="M392" s="154">
        <f>+'[1]Budget 2025W'!T469</f>
        <v>0</v>
      </c>
      <c r="N392" s="154">
        <f>+'[1]Budget 2025W'!U469</f>
        <v>0</v>
      </c>
      <c r="O392" s="154">
        <f>+'[1]Budget 2025W'!V469</f>
        <v>0</v>
      </c>
      <c r="P392" s="131"/>
      <c r="Q392" s="156">
        <f t="shared" si="43"/>
        <v>0</v>
      </c>
    </row>
    <row r="393" spans="2:17" x14ac:dyDescent="0.2">
      <c r="C393" s="153" t="s">
        <v>139</v>
      </c>
      <c r="D393" s="75">
        <f>+'[1]Budget 2025W'!K470</f>
        <v>0</v>
      </c>
      <c r="E393" s="75">
        <f>+'[1]Budget 2025W'!L470</f>
        <v>0</v>
      </c>
      <c r="F393" s="154">
        <f>+'[1]Budget 2025W'!M470</f>
        <v>0</v>
      </c>
      <c r="G393" s="154">
        <f>+'[1]Budget 2025W'!N470</f>
        <v>0</v>
      </c>
      <c r="H393" s="154">
        <f>+'[1]Budget 2025W'!O470</f>
        <v>0</v>
      </c>
      <c r="I393" s="154">
        <f>+'[1]Budget 2025W'!P470</f>
        <v>0</v>
      </c>
      <c r="J393" s="154">
        <f>+'[1]Budget 2025W'!Q470</f>
        <v>0</v>
      </c>
      <c r="K393" s="154">
        <f>+'[1]Budget 2025W'!R470</f>
        <v>0</v>
      </c>
      <c r="L393" s="154">
        <f>+'[1]Budget 2025W'!S470</f>
        <v>0</v>
      </c>
      <c r="M393" s="154">
        <f>+'[1]Budget 2025W'!T470</f>
        <v>0</v>
      </c>
      <c r="N393" s="154">
        <f>+'[1]Budget 2025W'!U470</f>
        <v>0</v>
      </c>
      <c r="O393" s="154">
        <f>+'[1]Budget 2025W'!V470</f>
        <v>0</v>
      </c>
      <c r="P393" s="131"/>
      <c r="Q393" s="156">
        <f t="shared" si="43"/>
        <v>0</v>
      </c>
    </row>
    <row r="394" spans="2:17" x14ac:dyDescent="0.2">
      <c r="C394" s="153" t="s">
        <v>140</v>
      </c>
      <c r="D394" s="75">
        <f>+'[1]Budget 2025W'!K471</f>
        <v>0</v>
      </c>
      <c r="E394" s="75">
        <f>+'[1]Budget 2025W'!L471</f>
        <v>0</v>
      </c>
      <c r="F394" s="154">
        <f>+'[1]Budget 2025W'!M471</f>
        <v>0</v>
      </c>
      <c r="G394" s="154">
        <f>+'[1]Budget 2025W'!N471</f>
        <v>0</v>
      </c>
      <c r="H394" s="154">
        <f>+'[1]Budget 2025W'!O471</f>
        <v>0</v>
      </c>
      <c r="I394" s="154">
        <f>+'[1]Budget 2025W'!P471</f>
        <v>0</v>
      </c>
      <c r="J394" s="154">
        <f>+'[1]Budget 2025W'!Q471</f>
        <v>0</v>
      </c>
      <c r="K394" s="154">
        <f>+'[1]Budget 2025W'!R471</f>
        <v>0</v>
      </c>
      <c r="L394" s="154">
        <f>+'[1]Budget 2025W'!S471</f>
        <v>0</v>
      </c>
      <c r="M394" s="154">
        <f>+'[1]Budget 2025W'!T471</f>
        <v>0</v>
      </c>
      <c r="N394" s="154">
        <f>+'[1]Budget 2025W'!U471</f>
        <v>0</v>
      </c>
      <c r="O394" s="154">
        <f>+'[1]Budget 2025W'!V471</f>
        <v>0</v>
      </c>
      <c r="P394" s="131"/>
      <c r="Q394" s="156">
        <f t="shared" si="43"/>
        <v>0</v>
      </c>
    </row>
    <row r="395" spans="2:17" x14ac:dyDescent="0.2">
      <c r="C395" s="153" t="s">
        <v>141</v>
      </c>
      <c r="D395" s="75">
        <f>+'[1]Budget 2025W'!K472</f>
        <v>0</v>
      </c>
      <c r="E395" s="75">
        <f>+'[1]Budget 2025W'!L472</f>
        <v>0</v>
      </c>
      <c r="F395" s="154">
        <f>+'[1]Budget 2025W'!M472</f>
        <v>0</v>
      </c>
      <c r="G395" s="154">
        <f>+'[1]Budget 2025W'!N472</f>
        <v>0</v>
      </c>
      <c r="H395" s="154">
        <f>+'[1]Budget 2025W'!O472</f>
        <v>0</v>
      </c>
      <c r="I395" s="154">
        <f>+'[1]Budget 2025W'!P472</f>
        <v>0</v>
      </c>
      <c r="J395" s="154">
        <f>+'[1]Budget 2025W'!Q472</f>
        <v>0</v>
      </c>
      <c r="K395" s="154">
        <f>+'[1]Budget 2025W'!R472</f>
        <v>0</v>
      </c>
      <c r="L395" s="154">
        <f>+'[1]Budget 2025W'!S472</f>
        <v>0</v>
      </c>
      <c r="M395" s="154">
        <f>+'[1]Budget 2025W'!T472</f>
        <v>0</v>
      </c>
      <c r="N395" s="154">
        <f>+'[1]Budget 2025W'!U472</f>
        <v>0</v>
      </c>
      <c r="O395" s="154">
        <f>+'[1]Budget 2025W'!V472</f>
        <v>0</v>
      </c>
      <c r="P395" s="131"/>
      <c r="Q395" s="156">
        <f t="shared" si="43"/>
        <v>0</v>
      </c>
    </row>
    <row r="396" spans="2:17" x14ac:dyDescent="0.2">
      <c r="C396" s="153" t="s">
        <v>142</v>
      </c>
      <c r="D396" s="75">
        <f>+'[1]Budget 2025W'!K473</f>
        <v>0</v>
      </c>
      <c r="E396" s="75">
        <f>+'[1]Budget 2025W'!L473</f>
        <v>0</v>
      </c>
      <c r="F396" s="154">
        <f>+'[1]Budget 2025W'!M473</f>
        <v>0</v>
      </c>
      <c r="G396" s="154">
        <f>+'[1]Budget 2025W'!N473</f>
        <v>0</v>
      </c>
      <c r="H396" s="154">
        <f>+'[1]Budget 2025W'!O473</f>
        <v>0</v>
      </c>
      <c r="I396" s="154">
        <f>+'[1]Budget 2025W'!P473</f>
        <v>0</v>
      </c>
      <c r="J396" s="154">
        <f>+'[1]Budget 2025W'!Q473</f>
        <v>0</v>
      </c>
      <c r="K396" s="154">
        <f>+'[1]Budget 2025W'!R473</f>
        <v>0</v>
      </c>
      <c r="L396" s="154">
        <f>+'[1]Budget 2025W'!S473</f>
        <v>0</v>
      </c>
      <c r="M396" s="154">
        <f>+'[1]Budget 2025W'!T473</f>
        <v>0</v>
      </c>
      <c r="N396" s="154">
        <f>+'[1]Budget 2025W'!U473</f>
        <v>0</v>
      </c>
      <c r="O396" s="154">
        <f>+'[1]Budget 2025W'!V473</f>
        <v>0</v>
      </c>
      <c r="P396" s="131"/>
      <c r="Q396" s="156">
        <f t="shared" si="43"/>
        <v>0</v>
      </c>
    </row>
    <row r="397" spans="2:17" ht="15.75" thickBot="1" x14ac:dyDescent="0.25">
      <c r="C397" s="153" t="s">
        <v>143</v>
      </c>
      <c r="D397" s="75">
        <f>+'[1]Budget 2025W'!K474</f>
        <v>0</v>
      </c>
      <c r="E397" s="75">
        <f>+'[1]Budget 2025W'!L474</f>
        <v>0</v>
      </c>
      <c r="F397" s="154">
        <f>+'[1]Budget 2025W'!M474</f>
        <v>0</v>
      </c>
      <c r="G397" s="154">
        <f>+'[1]Budget 2025W'!N474</f>
        <v>0</v>
      </c>
      <c r="H397" s="154">
        <f>+'[1]Budget 2025W'!O474</f>
        <v>0</v>
      </c>
      <c r="I397" s="154">
        <f>+'[1]Budget 2025W'!P474</f>
        <v>0</v>
      </c>
      <c r="J397" s="154">
        <f>+'[1]Budget 2025W'!Q474</f>
        <v>0</v>
      </c>
      <c r="K397" s="154">
        <f>+'[1]Budget 2025W'!R474</f>
        <v>0</v>
      </c>
      <c r="L397" s="154">
        <f>+'[1]Budget 2025W'!S474</f>
        <v>0</v>
      </c>
      <c r="M397" s="154">
        <f>+'[1]Budget 2025W'!T474</f>
        <v>0</v>
      </c>
      <c r="N397" s="154">
        <f>+'[1]Budget 2025W'!U474</f>
        <v>0</v>
      </c>
      <c r="O397" s="154">
        <f>+'[1]Budget 2025W'!V474</f>
        <v>0</v>
      </c>
      <c r="P397" s="131"/>
      <c r="Q397" s="156">
        <f t="shared" si="43"/>
        <v>0</v>
      </c>
    </row>
    <row r="398" spans="2:17" ht="17.25" thickTop="1" thickBot="1" x14ac:dyDescent="0.3">
      <c r="C398" s="162" t="s">
        <v>144</v>
      </c>
      <c r="D398" s="163">
        <f>+'[1]Budget 2025W'!K477</f>
        <v>0</v>
      </c>
      <c r="E398" s="163">
        <f>+'[1]Budget 2025W'!L477</f>
        <v>0</v>
      </c>
      <c r="F398" s="163">
        <f>+'[1]Budget 2025W'!M477</f>
        <v>0</v>
      </c>
      <c r="G398" s="163">
        <f>+'[1]Budget 2025W'!N477</f>
        <v>0</v>
      </c>
      <c r="H398" s="164">
        <f>+'[1]Budget 2025W'!O477</f>
        <v>0</v>
      </c>
      <c r="I398" s="164">
        <f>+'[1]Budget 2025W'!P477</f>
        <v>150</v>
      </c>
      <c r="J398" s="164">
        <f>+'[1]Budget 2025W'!Q477</f>
        <v>150</v>
      </c>
      <c r="K398" s="164">
        <f>+'[1]Budget 2025W'!R477</f>
        <v>150</v>
      </c>
      <c r="L398" s="164">
        <f>+'[1]Budget 2025W'!S477</f>
        <v>150</v>
      </c>
      <c r="M398" s="164">
        <f>+'[1]Budget 2025W'!T477</f>
        <v>150</v>
      </c>
      <c r="N398" s="164">
        <f>+'[1]Budget 2025W'!U477</f>
        <v>150</v>
      </c>
      <c r="O398" s="164">
        <f>+'[1]Budget 2025W'!V477</f>
        <v>150</v>
      </c>
      <c r="P398" s="131"/>
      <c r="Q398" s="165">
        <f t="shared" si="43"/>
        <v>1050</v>
      </c>
    </row>
    <row r="399" spans="2:17" ht="16.5" thickTop="1" thickBot="1" x14ac:dyDescent="0.25">
      <c r="C399" s="201"/>
      <c r="D399" s="168"/>
      <c r="E399" s="168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31"/>
      <c r="Q399" s="171"/>
    </row>
    <row r="400" spans="2:17" ht="16.5" thickBot="1" x14ac:dyDescent="0.3">
      <c r="B400" s="141"/>
      <c r="C400" s="203" t="s">
        <v>198</v>
      </c>
      <c r="D400" s="204">
        <f t="shared" ref="D400:O400" si="44">D346-D350-D368-D398</f>
        <v>0</v>
      </c>
      <c r="E400" s="204">
        <f t="shared" si="44"/>
        <v>0</v>
      </c>
      <c r="F400" s="205">
        <f t="shared" si="44"/>
        <v>0</v>
      </c>
      <c r="G400" s="205">
        <f t="shared" si="44"/>
        <v>0</v>
      </c>
      <c r="H400" s="205">
        <f t="shared" si="44"/>
        <v>0</v>
      </c>
      <c r="I400" s="205">
        <f t="shared" si="44"/>
        <v>99.793333333333351</v>
      </c>
      <c r="J400" s="205">
        <f t="shared" si="44"/>
        <v>99.793333333333351</v>
      </c>
      <c r="K400" s="205">
        <f t="shared" si="44"/>
        <v>99.793333333333351</v>
      </c>
      <c r="L400" s="205">
        <f t="shared" si="44"/>
        <v>99.793333333333351</v>
      </c>
      <c r="M400" s="205">
        <f t="shared" si="44"/>
        <v>99.793333333333351</v>
      </c>
      <c r="N400" s="205">
        <f t="shared" si="44"/>
        <v>417.79333333333329</v>
      </c>
      <c r="O400" s="205">
        <f t="shared" si="44"/>
        <v>417.79333333333329</v>
      </c>
      <c r="P400" s="131"/>
      <c r="Q400" s="183">
        <f>SUM(D400:O400)</f>
        <v>1334.5533333333333</v>
      </c>
    </row>
    <row r="401" spans="2:17" ht="16.5" thickTop="1" thickBot="1" x14ac:dyDescent="0.25">
      <c r="C401" s="206"/>
      <c r="D401" s="186"/>
      <c r="E401" s="186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31"/>
      <c r="Q401" s="171"/>
    </row>
    <row r="402" spans="2:17" ht="16.5" thickBot="1" x14ac:dyDescent="0.3">
      <c r="B402" s="141"/>
      <c r="C402" s="142" t="s">
        <v>199</v>
      </c>
      <c r="D402" s="143"/>
      <c r="E402" s="144"/>
      <c r="F402" s="145"/>
      <c r="G402" s="145"/>
      <c r="H402" s="146"/>
      <c r="I402" s="146"/>
      <c r="J402" s="146"/>
      <c r="K402" s="146"/>
      <c r="L402" s="146"/>
      <c r="M402" s="146"/>
      <c r="N402" s="146"/>
      <c r="O402" s="146"/>
      <c r="P402" s="129"/>
      <c r="Q402" s="145"/>
    </row>
    <row r="403" spans="2:17" ht="15.75" x14ac:dyDescent="0.25">
      <c r="C403" s="157" t="s">
        <v>26</v>
      </c>
      <c r="D403" s="158"/>
      <c r="E403" s="158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31"/>
      <c r="Q403" s="161"/>
    </row>
    <row r="404" spans="2:17" x14ac:dyDescent="0.2">
      <c r="C404" s="153" t="s">
        <v>200</v>
      </c>
      <c r="D404" s="75">
        <f>+'[1]Budget 2025W'!K484</f>
        <v>0</v>
      </c>
      <c r="E404" s="75">
        <f>+'[1]Budget 2025W'!L484</f>
        <v>0</v>
      </c>
      <c r="F404" s="154">
        <f>+'[1]Budget 2025W'!M484</f>
        <v>0</v>
      </c>
      <c r="G404" s="154">
        <f>+'[1]Budget 2025W'!N484</f>
        <v>0</v>
      </c>
      <c r="H404" s="154">
        <f>+'[1]Budget 2025W'!O484</f>
        <v>0</v>
      </c>
      <c r="I404" s="154">
        <f>+'[1]Budget 2025W'!P484</f>
        <v>1200</v>
      </c>
      <c r="J404" s="154">
        <f>+'[1]Budget 2025W'!Q484</f>
        <v>1200</v>
      </c>
      <c r="K404" s="154">
        <f>+'[1]Budget 2025W'!R484</f>
        <v>1200</v>
      </c>
      <c r="L404" s="154">
        <f>+'[1]Budget 2025W'!S484</f>
        <v>1200</v>
      </c>
      <c r="M404" s="154">
        <f>+'[1]Budget 2025W'!T484</f>
        <v>1200</v>
      </c>
      <c r="N404" s="154">
        <f>+'[1]Budget 2025W'!U484</f>
        <v>2400</v>
      </c>
      <c r="O404" s="154">
        <f>+'[1]Budget 2025W'!V484</f>
        <v>2400</v>
      </c>
      <c r="P404" s="131"/>
      <c r="Q404" s="156">
        <f>SUM(D404:O404)</f>
        <v>10800</v>
      </c>
    </row>
    <row r="405" spans="2:17" x14ac:dyDescent="0.2">
      <c r="C405" s="153" t="s">
        <v>30</v>
      </c>
      <c r="D405" s="75">
        <f>+'[1]Budget 2025W'!K485</f>
        <v>0</v>
      </c>
      <c r="E405" s="75">
        <f>+'[1]Budget 2025W'!L485</f>
        <v>0</v>
      </c>
      <c r="F405" s="154">
        <f>+'[1]Budget 2025W'!M485</f>
        <v>0</v>
      </c>
      <c r="G405" s="154">
        <f>+'[1]Budget 2025W'!N485</f>
        <v>0</v>
      </c>
      <c r="H405" s="154">
        <f>+'[1]Budget 2025W'!O485</f>
        <v>0</v>
      </c>
      <c r="I405" s="154">
        <f>+'[1]Budget 2025W'!P485</f>
        <v>0</v>
      </c>
      <c r="J405" s="154">
        <f>+'[1]Budget 2025W'!Q485</f>
        <v>0</v>
      </c>
      <c r="K405" s="154">
        <f>+'[1]Budget 2025W'!R485</f>
        <v>0</v>
      </c>
      <c r="L405" s="154">
        <f>+'[1]Budget 2025W'!S485</f>
        <v>0</v>
      </c>
      <c r="M405" s="154">
        <f>+'[1]Budget 2025W'!T485</f>
        <v>0</v>
      </c>
      <c r="N405" s="154">
        <f>+'[1]Budget 2025W'!U485</f>
        <v>0</v>
      </c>
      <c r="O405" s="154">
        <f>+'[1]Budget 2025W'!V485</f>
        <v>0</v>
      </c>
      <c r="P405" s="131"/>
      <c r="Q405" s="156">
        <f>SUM(D405:O405)</f>
        <v>0</v>
      </c>
    </row>
    <row r="406" spans="2:17" x14ac:dyDescent="0.2">
      <c r="C406" s="153" t="s">
        <v>30</v>
      </c>
      <c r="D406" s="75">
        <f>+'[1]Budget 2025W'!K486</f>
        <v>0</v>
      </c>
      <c r="E406" s="75">
        <f>+'[1]Budget 2025W'!L486</f>
        <v>0</v>
      </c>
      <c r="F406" s="154">
        <f>+'[1]Budget 2025W'!M486</f>
        <v>0</v>
      </c>
      <c r="G406" s="154">
        <f>+'[1]Budget 2025W'!N486</f>
        <v>0</v>
      </c>
      <c r="H406" s="154">
        <f>+'[1]Budget 2025W'!O486</f>
        <v>0</v>
      </c>
      <c r="I406" s="154">
        <f>+'[1]Budget 2025W'!P486</f>
        <v>0</v>
      </c>
      <c r="J406" s="154">
        <f>+'[1]Budget 2025W'!Q486</f>
        <v>0</v>
      </c>
      <c r="K406" s="154">
        <f>+'[1]Budget 2025W'!R486</f>
        <v>0</v>
      </c>
      <c r="L406" s="154">
        <f>+'[1]Budget 2025W'!S486</f>
        <v>0</v>
      </c>
      <c r="M406" s="154">
        <f>+'[1]Budget 2025W'!T486</f>
        <v>0</v>
      </c>
      <c r="N406" s="154">
        <f>+'[1]Budget 2025W'!U486</f>
        <v>0</v>
      </c>
      <c r="O406" s="154">
        <f>+'[1]Budget 2025W'!V486</f>
        <v>0</v>
      </c>
      <c r="P406" s="131"/>
      <c r="Q406" s="156">
        <f>SUM(D406:O406)</f>
        <v>0</v>
      </c>
    </row>
    <row r="407" spans="2:17" ht="15.75" thickBot="1" x14ac:dyDescent="0.25">
      <c r="C407" s="153" t="s">
        <v>30</v>
      </c>
      <c r="D407" s="75">
        <f>+'[1]Budget 2025W'!K487</f>
        <v>0</v>
      </c>
      <c r="E407" s="75">
        <f>+'[1]Budget 2025W'!L487</f>
        <v>0</v>
      </c>
      <c r="F407" s="154">
        <f>+'[1]Budget 2025W'!M487</f>
        <v>0</v>
      </c>
      <c r="G407" s="154">
        <f>+'[1]Budget 2025W'!N487</f>
        <v>0</v>
      </c>
      <c r="H407" s="154">
        <f>+'[1]Budget 2025W'!O487</f>
        <v>0</v>
      </c>
      <c r="I407" s="154">
        <f>+'[1]Budget 2025W'!P487</f>
        <v>0</v>
      </c>
      <c r="J407" s="154">
        <f>+'[1]Budget 2025W'!Q487</f>
        <v>0</v>
      </c>
      <c r="K407" s="154">
        <f>+'[1]Budget 2025W'!R487</f>
        <v>0</v>
      </c>
      <c r="L407" s="154">
        <f>+'[1]Budget 2025W'!S487</f>
        <v>0</v>
      </c>
      <c r="M407" s="154">
        <f>+'[1]Budget 2025W'!T487</f>
        <v>0</v>
      </c>
      <c r="N407" s="154">
        <f>+'[1]Budget 2025W'!U487</f>
        <v>0</v>
      </c>
      <c r="O407" s="154">
        <f>+'[1]Budget 2025W'!V487</f>
        <v>0</v>
      </c>
      <c r="P407" s="131"/>
      <c r="Q407" s="156">
        <f>SUM(D407:O407)</f>
        <v>0</v>
      </c>
    </row>
    <row r="408" spans="2:17" ht="17.25" thickTop="1" thickBot="1" x14ac:dyDescent="0.3">
      <c r="C408" s="162" t="s">
        <v>201</v>
      </c>
      <c r="D408" s="163">
        <f>+'[1]Budget 2025W'!K492</f>
        <v>0</v>
      </c>
      <c r="E408" s="163">
        <f>+'[1]Budget 2025W'!L492</f>
        <v>0</v>
      </c>
      <c r="F408" s="163">
        <f>+'[1]Budget 2025W'!M492</f>
        <v>0</v>
      </c>
      <c r="G408" s="163">
        <f>+'[1]Budget 2025W'!N492</f>
        <v>0</v>
      </c>
      <c r="H408" s="164">
        <f>+'[1]Budget 2025W'!O492</f>
        <v>0</v>
      </c>
      <c r="I408" s="164">
        <f>+'[1]Budget 2025W'!P492</f>
        <v>1200</v>
      </c>
      <c r="J408" s="164">
        <f>+'[1]Budget 2025W'!Q492</f>
        <v>1200</v>
      </c>
      <c r="K408" s="164">
        <f>+'[1]Budget 2025W'!R492</f>
        <v>1200</v>
      </c>
      <c r="L408" s="164">
        <f>+'[1]Budget 2025W'!S492</f>
        <v>1200</v>
      </c>
      <c r="M408" s="164">
        <f>+'[1]Budget 2025W'!T492</f>
        <v>1200</v>
      </c>
      <c r="N408" s="164">
        <f>+'[1]Budget 2025W'!U492</f>
        <v>2400</v>
      </c>
      <c r="O408" s="164">
        <f>+'[1]Budget 2025W'!V492</f>
        <v>2400</v>
      </c>
      <c r="P408" s="131"/>
      <c r="Q408" s="165">
        <f>SUM(D408:O408)</f>
        <v>10800</v>
      </c>
    </row>
    <row r="409" spans="2:17" ht="16.5" thickTop="1" x14ac:dyDescent="0.25">
      <c r="C409" s="195" t="s">
        <v>154</v>
      </c>
      <c r="D409" s="196"/>
      <c r="E409" s="196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31"/>
      <c r="Q409" s="161"/>
    </row>
    <row r="410" spans="2:17" x14ac:dyDescent="0.2">
      <c r="C410" s="153" t="s">
        <v>202</v>
      </c>
      <c r="D410" s="75">
        <f>+'[1]Budget 2025W'!K517</f>
        <v>0</v>
      </c>
      <c r="E410" s="75">
        <f>+'[1]Budget 2025W'!L517</f>
        <v>0</v>
      </c>
      <c r="F410" s="154">
        <f>+'[1]Budget 2025W'!M517</f>
        <v>0</v>
      </c>
      <c r="G410" s="154">
        <f>+'[1]Budget 2025W'!N517</f>
        <v>0</v>
      </c>
      <c r="H410" s="154">
        <f>+'[1]Budget 2025W'!O517</f>
        <v>0</v>
      </c>
      <c r="I410" s="154">
        <f>+'[1]Budget 2025W'!P517</f>
        <v>960</v>
      </c>
      <c r="J410" s="154">
        <f>+'[1]Budget 2025W'!Q517</f>
        <v>960</v>
      </c>
      <c r="K410" s="154">
        <f>+'[1]Budget 2025W'!R517</f>
        <v>960</v>
      </c>
      <c r="L410" s="154">
        <f>+'[1]Budget 2025W'!S517</f>
        <v>960</v>
      </c>
      <c r="M410" s="154">
        <f>+'[1]Budget 2025W'!T517</f>
        <v>960</v>
      </c>
      <c r="N410" s="154">
        <f>+'[1]Budget 2025W'!U517</f>
        <v>1920</v>
      </c>
      <c r="O410" s="154">
        <f>+'[1]Budget 2025W'!V517</f>
        <v>1920</v>
      </c>
      <c r="P410" s="131"/>
      <c r="Q410" s="156">
        <f>SUM(D410:O410)</f>
        <v>8640</v>
      </c>
    </row>
    <row r="411" spans="2:17" ht="15.75" thickBot="1" x14ac:dyDescent="0.25">
      <c r="C411" s="153" t="s">
        <v>203</v>
      </c>
      <c r="D411" s="75">
        <f>+'[1]Budget 2025W'!K518</f>
        <v>0</v>
      </c>
      <c r="E411" s="75">
        <f>+'[1]Budget 2025W'!L518</f>
        <v>0</v>
      </c>
      <c r="F411" s="154">
        <f>+'[1]Budget 2025W'!M518</f>
        <v>0</v>
      </c>
      <c r="G411" s="154">
        <f>+'[1]Budget 2025W'!N518</f>
        <v>0</v>
      </c>
      <c r="H411" s="154">
        <f>+'[1]Budget 2025W'!O518</f>
        <v>0</v>
      </c>
      <c r="I411" s="154">
        <f>+'[1]Budget 2025W'!P518</f>
        <v>0</v>
      </c>
      <c r="J411" s="154">
        <f>+'[1]Budget 2025W'!Q518</f>
        <v>0</v>
      </c>
      <c r="K411" s="154">
        <f>+'[1]Budget 2025W'!R518</f>
        <v>0</v>
      </c>
      <c r="L411" s="154">
        <f>+'[1]Budget 2025W'!S518</f>
        <v>0</v>
      </c>
      <c r="M411" s="154">
        <f>+'[1]Budget 2025W'!T518</f>
        <v>0</v>
      </c>
      <c r="N411" s="154">
        <f>+'[1]Budget 2025W'!U518</f>
        <v>0</v>
      </c>
      <c r="O411" s="154">
        <f>+'[1]Budget 2025W'!V518</f>
        <v>0</v>
      </c>
      <c r="P411" s="131"/>
      <c r="Q411" s="156">
        <f>SUM(D411:O411)</f>
        <v>0</v>
      </c>
    </row>
    <row r="412" spans="2:17" ht="17.25" thickTop="1" thickBot="1" x14ac:dyDescent="0.3">
      <c r="C412" s="162" t="s">
        <v>165</v>
      </c>
      <c r="D412" s="163">
        <f>+'[1]Budget 2025W'!K521</f>
        <v>0</v>
      </c>
      <c r="E412" s="163">
        <f>+'[1]Budget 2025W'!L521</f>
        <v>0</v>
      </c>
      <c r="F412" s="163">
        <f>+'[1]Budget 2025W'!M521</f>
        <v>0</v>
      </c>
      <c r="G412" s="163">
        <f>+'[1]Budget 2025W'!N521</f>
        <v>0</v>
      </c>
      <c r="H412" s="164">
        <f>+'[1]Budget 2025W'!O521</f>
        <v>0</v>
      </c>
      <c r="I412" s="164">
        <f>+'[1]Budget 2025W'!P521</f>
        <v>960</v>
      </c>
      <c r="J412" s="164">
        <f>+'[1]Budget 2025W'!Q521</f>
        <v>960</v>
      </c>
      <c r="K412" s="164">
        <f>+'[1]Budget 2025W'!R521</f>
        <v>960</v>
      </c>
      <c r="L412" s="164">
        <f>+'[1]Budget 2025W'!S521</f>
        <v>960</v>
      </c>
      <c r="M412" s="164">
        <f>+'[1]Budget 2025W'!T521</f>
        <v>960</v>
      </c>
      <c r="N412" s="164">
        <f>+'[1]Budget 2025W'!U521</f>
        <v>1920</v>
      </c>
      <c r="O412" s="164">
        <f>+'[1]Budget 2025W'!V521</f>
        <v>1920</v>
      </c>
      <c r="P412" s="131"/>
      <c r="Q412" s="165">
        <f>SUM(D412:O412)</f>
        <v>8640</v>
      </c>
    </row>
    <row r="413" spans="2:17" ht="16.5" thickTop="1" x14ac:dyDescent="0.25">
      <c r="C413" s="195" t="s">
        <v>97</v>
      </c>
      <c r="D413" s="196"/>
      <c r="E413" s="196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31"/>
      <c r="Q413" s="161"/>
    </row>
    <row r="414" spans="2:17" x14ac:dyDescent="0.2">
      <c r="C414" s="153" t="s">
        <v>98</v>
      </c>
      <c r="D414" s="75">
        <f>+'[1]Budget 2025W'!K495</f>
        <v>0</v>
      </c>
      <c r="E414" s="75">
        <f>+'[1]Budget 2025W'!L495</f>
        <v>0</v>
      </c>
      <c r="F414" s="154">
        <f>+'[1]Budget 2025W'!M495</f>
        <v>0</v>
      </c>
      <c r="G414" s="154">
        <f>+'[1]Budget 2025W'!N495</f>
        <v>0</v>
      </c>
      <c r="H414" s="154">
        <f>+'[1]Budget 2025W'!O495</f>
        <v>0</v>
      </c>
      <c r="I414" s="154">
        <f>+'[1]Budget 2025W'!P495</f>
        <v>108.69565217391305</v>
      </c>
      <c r="J414" s="154">
        <f>+'[1]Budget 2025W'!Q495</f>
        <v>108.69565217391305</v>
      </c>
      <c r="K414" s="154">
        <f>+'[1]Budget 2025W'!R495</f>
        <v>108.69565217391305</v>
      </c>
      <c r="L414" s="154">
        <f>+'[1]Budget 2025W'!S495</f>
        <v>108.69565217391305</v>
      </c>
      <c r="M414" s="154">
        <f>+'[1]Budget 2025W'!T495</f>
        <v>108.69565217391305</v>
      </c>
      <c r="N414" s="154">
        <f>+'[1]Budget 2025W'!U495</f>
        <v>108.69565217391305</v>
      </c>
      <c r="O414" s="154">
        <f>+'[1]Budget 2025W'!V495</f>
        <v>108.69565217391305</v>
      </c>
      <c r="P414" s="131"/>
      <c r="Q414" s="156">
        <f t="shared" ref="Q414:Q431" si="45">SUM(D414:O414)</f>
        <v>760.86956521739125</v>
      </c>
    </row>
    <row r="415" spans="2:17" x14ac:dyDescent="0.2">
      <c r="C415" s="153" t="s">
        <v>99</v>
      </c>
      <c r="D415" s="75">
        <f>+'[1]Budget 2025W'!K496</f>
        <v>0</v>
      </c>
      <c r="E415" s="75">
        <f>+'[1]Budget 2025W'!L496</f>
        <v>0</v>
      </c>
      <c r="F415" s="154">
        <f>+'[1]Budget 2025W'!M496</f>
        <v>0</v>
      </c>
      <c r="G415" s="154">
        <f>+'[1]Budget 2025W'!N496</f>
        <v>0</v>
      </c>
      <c r="H415" s="154">
        <f>+'[1]Budget 2025W'!O496</f>
        <v>0</v>
      </c>
      <c r="I415" s="154">
        <f>+'[1]Budget 2025W'!P496</f>
        <v>0</v>
      </c>
      <c r="J415" s="154">
        <f>+'[1]Budget 2025W'!Q496</f>
        <v>0</v>
      </c>
      <c r="K415" s="154">
        <f>+'[1]Budget 2025W'!R496</f>
        <v>0</v>
      </c>
      <c r="L415" s="154">
        <f>+'[1]Budget 2025W'!S496</f>
        <v>0</v>
      </c>
      <c r="M415" s="154">
        <f>+'[1]Budget 2025W'!T496</f>
        <v>0</v>
      </c>
      <c r="N415" s="154">
        <f>+'[1]Budget 2025W'!U496</f>
        <v>0</v>
      </c>
      <c r="O415" s="154">
        <f>+'[1]Budget 2025W'!V496</f>
        <v>0</v>
      </c>
      <c r="P415" s="131"/>
      <c r="Q415" s="156">
        <f t="shared" si="45"/>
        <v>0</v>
      </c>
    </row>
    <row r="416" spans="2:17" x14ac:dyDescent="0.2">
      <c r="C416" s="153" t="s">
        <v>100</v>
      </c>
      <c r="D416" s="75">
        <f>+'[1]Budget 2025W'!K497</f>
        <v>0</v>
      </c>
      <c r="E416" s="75">
        <f>+'[1]Budget 2025W'!L497</f>
        <v>0</v>
      </c>
      <c r="F416" s="154">
        <f>+'[1]Budget 2025W'!M497</f>
        <v>0</v>
      </c>
      <c r="G416" s="154">
        <f>+'[1]Budget 2025W'!N497</f>
        <v>0</v>
      </c>
      <c r="H416" s="154">
        <f>+'[1]Budget 2025W'!O497</f>
        <v>0</v>
      </c>
      <c r="I416" s="154">
        <f>+'[1]Budget 2025W'!P497</f>
        <v>0</v>
      </c>
      <c r="J416" s="154">
        <f>+'[1]Budget 2025W'!Q497</f>
        <v>0</v>
      </c>
      <c r="K416" s="154">
        <f>+'[1]Budget 2025W'!R497</f>
        <v>0</v>
      </c>
      <c r="L416" s="154">
        <f>+'[1]Budget 2025W'!S497</f>
        <v>0</v>
      </c>
      <c r="M416" s="154">
        <f>+'[1]Budget 2025W'!T497</f>
        <v>0</v>
      </c>
      <c r="N416" s="154">
        <f>+'[1]Budget 2025W'!U497</f>
        <v>0</v>
      </c>
      <c r="O416" s="154">
        <f>+'[1]Budget 2025W'!V497</f>
        <v>0</v>
      </c>
      <c r="P416" s="131"/>
      <c r="Q416" s="156">
        <f t="shared" si="45"/>
        <v>0</v>
      </c>
    </row>
    <row r="417" spans="3:17" x14ac:dyDescent="0.2">
      <c r="C417" s="153" t="s">
        <v>101</v>
      </c>
      <c r="D417" s="75">
        <f>+'[1]Budget 2025W'!K498</f>
        <v>0</v>
      </c>
      <c r="E417" s="75">
        <f>+'[1]Budget 2025W'!L498</f>
        <v>0</v>
      </c>
      <c r="F417" s="154">
        <f>+'[1]Budget 2025W'!M498</f>
        <v>0</v>
      </c>
      <c r="G417" s="154">
        <f>+'[1]Budget 2025W'!N498</f>
        <v>0</v>
      </c>
      <c r="H417" s="154">
        <f>+'[1]Budget 2025W'!O498</f>
        <v>0</v>
      </c>
      <c r="I417" s="154">
        <f>+'[1]Budget 2025W'!P498</f>
        <v>0</v>
      </c>
      <c r="J417" s="154">
        <f>+'[1]Budget 2025W'!Q498</f>
        <v>36.231884057971016</v>
      </c>
      <c r="K417" s="154">
        <f>+'[1]Budget 2025W'!R498</f>
        <v>108.69565217391305</v>
      </c>
      <c r="L417" s="154">
        <f>+'[1]Budget 2025W'!S498</f>
        <v>36.231884057971016</v>
      </c>
      <c r="M417" s="154">
        <f>+'[1]Budget 2025W'!T498</f>
        <v>0</v>
      </c>
      <c r="N417" s="154">
        <f>+'[1]Budget 2025W'!U498</f>
        <v>0</v>
      </c>
      <c r="O417" s="154">
        <f>+'[1]Budget 2025W'!V498</f>
        <v>72.463768115942031</v>
      </c>
      <c r="P417" s="131"/>
      <c r="Q417" s="156">
        <f t="shared" si="45"/>
        <v>253.62318840579709</v>
      </c>
    </row>
    <row r="418" spans="3:17" x14ac:dyDescent="0.2">
      <c r="C418" s="153" t="s">
        <v>102</v>
      </c>
      <c r="D418" s="75">
        <f>+'[1]Budget 2025W'!K499</f>
        <v>0</v>
      </c>
      <c r="E418" s="75">
        <f>+'[1]Budget 2025W'!L499</f>
        <v>0</v>
      </c>
      <c r="F418" s="154">
        <f>+'[1]Budget 2025W'!M499</f>
        <v>0</v>
      </c>
      <c r="G418" s="154">
        <f>+'[1]Budget 2025W'!N499</f>
        <v>0</v>
      </c>
      <c r="H418" s="154">
        <f>+'[1]Budget 2025W'!O499</f>
        <v>0</v>
      </c>
      <c r="I418" s="154">
        <f>+'[1]Budget 2025W'!P499</f>
        <v>0</v>
      </c>
      <c r="J418" s="154">
        <f>+'[1]Budget 2025W'!Q499</f>
        <v>0</v>
      </c>
      <c r="K418" s="154">
        <f>+'[1]Budget 2025W'!R499</f>
        <v>0</v>
      </c>
      <c r="L418" s="154">
        <f>+'[1]Budget 2025W'!S499</f>
        <v>0</v>
      </c>
      <c r="M418" s="154">
        <f>+'[1]Budget 2025W'!T499</f>
        <v>0</v>
      </c>
      <c r="N418" s="154">
        <f>+'[1]Budget 2025W'!U499</f>
        <v>0</v>
      </c>
      <c r="O418" s="154">
        <f>+'[1]Budget 2025W'!V499</f>
        <v>0</v>
      </c>
      <c r="P418" s="131"/>
      <c r="Q418" s="156">
        <f t="shared" si="45"/>
        <v>0</v>
      </c>
    </row>
    <row r="419" spans="3:17" x14ac:dyDescent="0.2">
      <c r="C419" s="153" t="s">
        <v>103</v>
      </c>
      <c r="D419" s="75">
        <f>+'[1]Budget 2025W'!K500</f>
        <v>0</v>
      </c>
      <c r="E419" s="75">
        <f>+'[1]Budget 2025W'!L500</f>
        <v>0</v>
      </c>
      <c r="F419" s="154">
        <f>+'[1]Budget 2025W'!M500</f>
        <v>0</v>
      </c>
      <c r="G419" s="154">
        <f>+'[1]Budget 2025W'!N500</f>
        <v>0</v>
      </c>
      <c r="H419" s="154">
        <f>+'[1]Budget 2025W'!O500</f>
        <v>0</v>
      </c>
      <c r="I419" s="154">
        <f>+'[1]Budget 2025W'!P500</f>
        <v>30.329565217391302</v>
      </c>
      <c r="J419" s="154">
        <f>+'[1]Budget 2025W'!Q500</f>
        <v>40.050579710144923</v>
      </c>
      <c r="K419" s="154">
        <f>+'[1]Budget 2025W'!R500</f>
        <v>59.492608695652173</v>
      </c>
      <c r="L419" s="154">
        <f>+'[1]Budget 2025W'!S500</f>
        <v>40.050579710144923</v>
      </c>
      <c r="M419" s="154">
        <f>+'[1]Budget 2025W'!T500</f>
        <v>30.329565217391302</v>
      </c>
      <c r="N419" s="154">
        <f>+'[1]Budget 2025W'!U500</f>
        <v>30.329565217391302</v>
      </c>
      <c r="O419" s="154">
        <f>+'[1]Budget 2025W'!V500</f>
        <v>49.771594202898548</v>
      </c>
      <c r="P419" s="131"/>
      <c r="Q419" s="156">
        <f t="shared" si="45"/>
        <v>280.35405797101447</v>
      </c>
    </row>
    <row r="420" spans="3:17" x14ac:dyDescent="0.2">
      <c r="C420" s="153" t="s">
        <v>104</v>
      </c>
      <c r="D420" s="75">
        <f>+'[1]Budget 2025W'!K501</f>
        <v>0</v>
      </c>
      <c r="E420" s="75">
        <f>+'[1]Budget 2025W'!L501</f>
        <v>0</v>
      </c>
      <c r="F420" s="154">
        <f>+'[1]Budget 2025W'!M501</f>
        <v>0</v>
      </c>
      <c r="G420" s="154">
        <f>+'[1]Budget 2025W'!N501</f>
        <v>0</v>
      </c>
      <c r="H420" s="154">
        <f>+'[1]Budget 2025W'!O501</f>
        <v>0</v>
      </c>
      <c r="I420" s="154">
        <f>+'[1]Budget 2025W'!P501</f>
        <v>9.420289855072463</v>
      </c>
      <c r="J420" s="154">
        <f>+'[1]Budget 2025W'!Q501</f>
        <v>12.439613526570048</v>
      </c>
      <c r="K420" s="154">
        <f>+'[1]Budget 2025W'!R501</f>
        <v>18.478260869565219</v>
      </c>
      <c r="L420" s="154">
        <f>+'[1]Budget 2025W'!S501</f>
        <v>12.439613526570048</v>
      </c>
      <c r="M420" s="154">
        <f>+'[1]Budget 2025W'!T501</f>
        <v>9.420289855072463</v>
      </c>
      <c r="N420" s="154">
        <f>+'[1]Budget 2025W'!U501</f>
        <v>9.420289855072463</v>
      </c>
      <c r="O420" s="154">
        <f>+'[1]Budget 2025W'!V501</f>
        <v>15.458937198067632</v>
      </c>
      <c r="P420" s="131"/>
      <c r="Q420" s="156">
        <f t="shared" si="45"/>
        <v>87.077294685990339</v>
      </c>
    </row>
    <row r="421" spans="3:17" x14ac:dyDescent="0.2">
      <c r="C421" s="153" t="s">
        <v>105</v>
      </c>
      <c r="D421" s="75">
        <f>+'[1]Budget 2025W'!K502</f>
        <v>0</v>
      </c>
      <c r="E421" s="75">
        <f>+'[1]Budget 2025W'!L502</f>
        <v>0</v>
      </c>
      <c r="F421" s="154">
        <f>+'[1]Budget 2025W'!M502</f>
        <v>0</v>
      </c>
      <c r="G421" s="154">
        <f>+'[1]Budget 2025W'!N502</f>
        <v>0</v>
      </c>
      <c r="H421" s="154">
        <f>+'[1]Budget 2025W'!O502</f>
        <v>0</v>
      </c>
      <c r="I421" s="154">
        <f>+'[1]Budget 2025W'!P502</f>
        <v>1.4130434782608696</v>
      </c>
      <c r="J421" s="154">
        <f>+'[1]Budget 2025W'!Q502</f>
        <v>1.8659420289855071</v>
      </c>
      <c r="K421" s="154">
        <f>+'[1]Budget 2025W'!R502</f>
        <v>2.7717391304347831</v>
      </c>
      <c r="L421" s="154">
        <f>+'[1]Budget 2025W'!S502</f>
        <v>1.8659420289855071</v>
      </c>
      <c r="M421" s="154">
        <f>+'[1]Budget 2025W'!T502</f>
        <v>1.4130434782608696</v>
      </c>
      <c r="N421" s="154">
        <f>+'[1]Budget 2025W'!U502</f>
        <v>1.4130434782608696</v>
      </c>
      <c r="O421" s="154">
        <f>+'[1]Budget 2025W'!V502</f>
        <v>2.318840579710145</v>
      </c>
      <c r="P421" s="131"/>
      <c r="Q421" s="156">
        <f t="shared" si="45"/>
        <v>13.061594202898551</v>
      </c>
    </row>
    <row r="422" spans="3:17" x14ac:dyDescent="0.2">
      <c r="C422" s="153" t="s">
        <v>106</v>
      </c>
      <c r="D422" s="75">
        <f>+'[1]Budget 2025W'!K503</f>
        <v>0</v>
      </c>
      <c r="E422" s="75">
        <f>+'[1]Budget 2025W'!L503</f>
        <v>0</v>
      </c>
      <c r="F422" s="154">
        <f>+'[1]Budget 2025W'!M503</f>
        <v>0</v>
      </c>
      <c r="G422" s="154">
        <f>+'[1]Budget 2025W'!N503</f>
        <v>0</v>
      </c>
      <c r="H422" s="154">
        <f>+'[1]Budget 2025W'!O503</f>
        <v>0</v>
      </c>
      <c r="I422" s="154">
        <f>+'[1]Budget 2025W'!P503</f>
        <v>0</v>
      </c>
      <c r="J422" s="154">
        <f>+'[1]Budget 2025W'!Q503</f>
        <v>0</v>
      </c>
      <c r="K422" s="154">
        <f>+'[1]Budget 2025W'!R503</f>
        <v>0</v>
      </c>
      <c r="L422" s="154">
        <f>+'[1]Budget 2025W'!S503</f>
        <v>0</v>
      </c>
      <c r="M422" s="154">
        <f>+'[1]Budget 2025W'!T503</f>
        <v>0</v>
      </c>
      <c r="N422" s="154">
        <f>+'[1]Budget 2025W'!U503</f>
        <v>0</v>
      </c>
      <c r="O422" s="154">
        <f>+'[1]Budget 2025W'!V503</f>
        <v>0</v>
      </c>
      <c r="P422" s="131"/>
      <c r="Q422" s="156">
        <f t="shared" si="45"/>
        <v>0</v>
      </c>
    </row>
    <row r="423" spans="3:17" x14ac:dyDescent="0.2">
      <c r="C423" s="153" t="s">
        <v>107</v>
      </c>
      <c r="D423" s="75">
        <f>+'[1]Budget 2025W'!K504</f>
        <v>0</v>
      </c>
      <c r="E423" s="75">
        <f>+'[1]Budget 2025W'!L504</f>
        <v>0</v>
      </c>
      <c r="F423" s="154">
        <f>+'[1]Budget 2025W'!M504</f>
        <v>0</v>
      </c>
      <c r="G423" s="154">
        <f>+'[1]Budget 2025W'!N504</f>
        <v>0</v>
      </c>
      <c r="H423" s="154">
        <f>+'[1]Budget 2025W'!O504</f>
        <v>0</v>
      </c>
      <c r="I423" s="154">
        <f>+'[1]Budget 2025W'!P504</f>
        <v>4.3478260869565224</v>
      </c>
      <c r="J423" s="154">
        <f>+'[1]Budget 2025W'!Q504</f>
        <v>4.3478260869565224</v>
      </c>
      <c r="K423" s="154">
        <f>+'[1]Budget 2025W'!R504</f>
        <v>4.3478260869565224</v>
      </c>
      <c r="L423" s="154">
        <f>+'[1]Budget 2025W'!S504</f>
        <v>4.3478260869565224</v>
      </c>
      <c r="M423" s="154">
        <f>+'[1]Budget 2025W'!T504</f>
        <v>4.3478260869565224</v>
      </c>
      <c r="N423" s="154">
        <f>+'[1]Budget 2025W'!U504</f>
        <v>4.3478260869565224</v>
      </c>
      <c r="O423" s="154">
        <f>+'[1]Budget 2025W'!V504</f>
        <v>4.3478260869565224</v>
      </c>
      <c r="P423" s="131"/>
      <c r="Q423" s="156">
        <f t="shared" si="45"/>
        <v>30.434782608695659</v>
      </c>
    </row>
    <row r="424" spans="3:17" x14ac:dyDescent="0.2">
      <c r="C424" s="153" t="s">
        <v>108</v>
      </c>
      <c r="D424" s="75">
        <f>+'[1]Budget 2025W'!K505</f>
        <v>0</v>
      </c>
      <c r="E424" s="75">
        <f>+'[1]Budget 2025W'!L505</f>
        <v>0</v>
      </c>
      <c r="F424" s="154">
        <f>+'[1]Budget 2025W'!M505</f>
        <v>0</v>
      </c>
      <c r="G424" s="154">
        <f>+'[1]Budget 2025W'!N505</f>
        <v>0</v>
      </c>
      <c r="H424" s="154">
        <f>+'[1]Budget 2025W'!O505</f>
        <v>0</v>
      </c>
      <c r="I424" s="154">
        <f>+'[1]Budget 2025W'!P505</f>
        <v>0</v>
      </c>
      <c r="J424" s="154">
        <f>+'[1]Budget 2025W'!Q505</f>
        <v>0</v>
      </c>
      <c r="K424" s="154">
        <f>+'[1]Budget 2025W'!R505</f>
        <v>0</v>
      </c>
      <c r="L424" s="154">
        <f>+'[1]Budget 2025W'!S505</f>
        <v>0</v>
      </c>
      <c r="M424" s="154">
        <f>+'[1]Budget 2025W'!T505</f>
        <v>0</v>
      </c>
      <c r="N424" s="154">
        <f>+'[1]Budget 2025W'!U505</f>
        <v>0</v>
      </c>
      <c r="O424" s="154">
        <f>+'[1]Budget 2025W'!V505</f>
        <v>0</v>
      </c>
      <c r="P424" s="131"/>
      <c r="Q424" s="156">
        <f t="shared" si="45"/>
        <v>0</v>
      </c>
    </row>
    <row r="425" spans="3:17" x14ac:dyDescent="0.2">
      <c r="C425" s="153" t="s">
        <v>109</v>
      </c>
      <c r="D425" s="75">
        <f>+'[1]Budget 2025W'!K506</f>
        <v>0</v>
      </c>
      <c r="E425" s="75">
        <f>+'[1]Budget 2025W'!L506</f>
        <v>0</v>
      </c>
      <c r="F425" s="154">
        <f>+'[1]Budget 2025W'!M506</f>
        <v>0</v>
      </c>
      <c r="G425" s="154">
        <f>+'[1]Budget 2025W'!N506</f>
        <v>0</v>
      </c>
      <c r="H425" s="154">
        <f>+'[1]Budget 2025W'!O506</f>
        <v>0</v>
      </c>
      <c r="I425" s="154">
        <f>+'[1]Budget 2025W'!P506</f>
        <v>0</v>
      </c>
      <c r="J425" s="154">
        <f>+'[1]Budget 2025W'!Q506</f>
        <v>0</v>
      </c>
      <c r="K425" s="154">
        <f>+'[1]Budget 2025W'!R506</f>
        <v>0</v>
      </c>
      <c r="L425" s="154">
        <f>+'[1]Budget 2025W'!S506</f>
        <v>0</v>
      </c>
      <c r="M425" s="154">
        <f>+'[1]Budget 2025W'!T506</f>
        <v>0</v>
      </c>
      <c r="N425" s="154">
        <f>+'[1]Budget 2025W'!U506</f>
        <v>0</v>
      </c>
      <c r="O425" s="154">
        <f>+'[1]Budget 2025W'!V506</f>
        <v>0</v>
      </c>
      <c r="P425" s="131"/>
      <c r="Q425" s="156">
        <f t="shared" si="45"/>
        <v>0</v>
      </c>
    </row>
    <row r="426" spans="3:17" x14ac:dyDescent="0.2">
      <c r="C426" s="153" t="s">
        <v>110</v>
      </c>
      <c r="D426" s="75">
        <f>+'[1]Budget 2025W'!K507</f>
        <v>0</v>
      </c>
      <c r="E426" s="75">
        <f>+'[1]Budget 2025W'!L507</f>
        <v>0</v>
      </c>
      <c r="F426" s="154">
        <f>+'[1]Budget 2025W'!M507</f>
        <v>0</v>
      </c>
      <c r="G426" s="154">
        <f>+'[1]Budget 2025W'!N507</f>
        <v>0</v>
      </c>
      <c r="H426" s="154">
        <f>+'[1]Budget 2025W'!O507</f>
        <v>0</v>
      </c>
      <c r="I426" s="154">
        <f>+'[1]Budget 2025W'!P507</f>
        <v>0</v>
      </c>
      <c r="J426" s="154">
        <f>+'[1]Budget 2025W'!Q507</f>
        <v>0</v>
      </c>
      <c r="K426" s="154">
        <f>+'[1]Budget 2025W'!R507</f>
        <v>0</v>
      </c>
      <c r="L426" s="154">
        <f>+'[1]Budget 2025W'!S507</f>
        <v>0</v>
      </c>
      <c r="M426" s="154">
        <f>+'[1]Budget 2025W'!T507</f>
        <v>0</v>
      </c>
      <c r="N426" s="154">
        <f>+'[1]Budget 2025W'!U507</f>
        <v>0</v>
      </c>
      <c r="O426" s="154">
        <f>+'[1]Budget 2025W'!V507</f>
        <v>0</v>
      </c>
      <c r="P426" s="131"/>
      <c r="Q426" s="156">
        <f t="shared" si="45"/>
        <v>0</v>
      </c>
    </row>
    <row r="427" spans="3:17" x14ac:dyDescent="0.2">
      <c r="C427" s="153" t="s">
        <v>111</v>
      </c>
      <c r="D427" s="75">
        <f>+'[1]Budget 2025W'!K508</f>
        <v>0</v>
      </c>
      <c r="E427" s="75">
        <f>+'[1]Budget 2025W'!L508</f>
        <v>0</v>
      </c>
      <c r="F427" s="154">
        <f>+'[1]Budget 2025W'!M508</f>
        <v>0</v>
      </c>
      <c r="G427" s="154">
        <f>+'[1]Budget 2025W'!N508</f>
        <v>0</v>
      </c>
      <c r="H427" s="154">
        <f>+'[1]Budget 2025W'!O508</f>
        <v>0</v>
      </c>
      <c r="I427" s="154">
        <f>+'[1]Budget 2025W'!P508</f>
        <v>0</v>
      </c>
      <c r="J427" s="154">
        <f>+'[1]Budget 2025W'!Q508</f>
        <v>0</v>
      </c>
      <c r="K427" s="154">
        <f>+'[1]Budget 2025W'!R508</f>
        <v>0</v>
      </c>
      <c r="L427" s="154">
        <f>+'[1]Budget 2025W'!S508</f>
        <v>0</v>
      </c>
      <c r="M427" s="154">
        <f>+'[1]Budget 2025W'!T508</f>
        <v>0</v>
      </c>
      <c r="N427" s="154">
        <f>+'[1]Budget 2025W'!U508</f>
        <v>0</v>
      </c>
      <c r="O427" s="154">
        <f>+'[1]Budget 2025W'!V508</f>
        <v>0</v>
      </c>
      <c r="P427" s="131"/>
      <c r="Q427" s="156">
        <f t="shared" si="45"/>
        <v>0</v>
      </c>
    </row>
    <row r="428" spans="3:17" x14ac:dyDescent="0.2">
      <c r="C428" s="153" t="s">
        <v>112</v>
      </c>
      <c r="D428" s="75">
        <f>+'[1]Budget 2025W'!K509</f>
        <v>0</v>
      </c>
      <c r="E428" s="75">
        <f>+'[1]Budget 2025W'!L509</f>
        <v>0</v>
      </c>
      <c r="F428" s="154">
        <f>+'[1]Budget 2025W'!M509</f>
        <v>0</v>
      </c>
      <c r="G428" s="154">
        <f>+'[1]Budget 2025W'!N509</f>
        <v>0</v>
      </c>
      <c r="H428" s="154">
        <f>+'[1]Budget 2025W'!O509</f>
        <v>0</v>
      </c>
      <c r="I428" s="154">
        <f>+'[1]Budget 2025W'!P509</f>
        <v>0</v>
      </c>
      <c r="J428" s="154">
        <f>+'[1]Budget 2025W'!Q509</f>
        <v>0</v>
      </c>
      <c r="K428" s="154">
        <f>+'[1]Budget 2025W'!R509</f>
        <v>0</v>
      </c>
      <c r="L428" s="154">
        <f>+'[1]Budget 2025W'!S509</f>
        <v>0</v>
      </c>
      <c r="M428" s="154">
        <f>+'[1]Budget 2025W'!T509</f>
        <v>0</v>
      </c>
      <c r="N428" s="154">
        <f>+'[1]Budget 2025W'!U509</f>
        <v>0</v>
      </c>
      <c r="O428" s="154">
        <f>+'[1]Budget 2025W'!V509</f>
        <v>0</v>
      </c>
      <c r="P428" s="131"/>
      <c r="Q428" s="156">
        <f t="shared" si="45"/>
        <v>0</v>
      </c>
    </row>
    <row r="429" spans="3:17" x14ac:dyDescent="0.2">
      <c r="C429" s="153" t="s">
        <v>113</v>
      </c>
      <c r="D429" s="75">
        <f>+'[1]Budget 2025W'!K510</f>
        <v>0</v>
      </c>
      <c r="E429" s="75">
        <f>+'[1]Budget 2025W'!L510</f>
        <v>0</v>
      </c>
      <c r="F429" s="154">
        <f>+'[1]Budget 2025W'!M510</f>
        <v>0</v>
      </c>
      <c r="G429" s="154">
        <f>+'[1]Budget 2025W'!N510</f>
        <v>0</v>
      </c>
      <c r="H429" s="154">
        <f>+'[1]Budget 2025W'!O510</f>
        <v>0</v>
      </c>
      <c r="I429" s="154">
        <f>+'[1]Budget 2025W'!P510</f>
        <v>0</v>
      </c>
      <c r="J429" s="154">
        <f>+'[1]Budget 2025W'!Q510</f>
        <v>0</v>
      </c>
      <c r="K429" s="154">
        <f>+'[1]Budget 2025W'!R510</f>
        <v>0</v>
      </c>
      <c r="L429" s="154">
        <f>+'[1]Budget 2025W'!S510</f>
        <v>0</v>
      </c>
      <c r="M429" s="154">
        <f>+'[1]Budget 2025W'!T510</f>
        <v>0</v>
      </c>
      <c r="N429" s="154">
        <f>+'[1]Budget 2025W'!U510</f>
        <v>0</v>
      </c>
      <c r="O429" s="154">
        <f>+'[1]Budget 2025W'!V510</f>
        <v>0</v>
      </c>
      <c r="P429" s="131"/>
      <c r="Q429" s="156">
        <f t="shared" si="45"/>
        <v>0</v>
      </c>
    </row>
    <row r="430" spans="3:17" ht="15.75" thickBot="1" x14ac:dyDescent="0.25">
      <c r="C430" s="153" t="s">
        <v>204</v>
      </c>
      <c r="D430" s="75">
        <f>+'[1]Budget 2025W'!K511</f>
        <v>0</v>
      </c>
      <c r="E430" s="75">
        <f>+'[1]Budget 2025W'!L511</f>
        <v>0</v>
      </c>
      <c r="F430" s="154">
        <f>+'[1]Budget 2025W'!M511</f>
        <v>0</v>
      </c>
      <c r="G430" s="154">
        <f>+'[1]Budget 2025W'!N511</f>
        <v>0</v>
      </c>
      <c r="H430" s="154">
        <f>+'[1]Budget 2025W'!O511</f>
        <v>0</v>
      </c>
      <c r="I430" s="154">
        <f>+'[1]Budget 2025W'!P511</f>
        <v>0</v>
      </c>
      <c r="J430" s="154">
        <f>+'[1]Budget 2025W'!Q511</f>
        <v>0</v>
      </c>
      <c r="K430" s="154">
        <f>+'[1]Budget 2025W'!R511</f>
        <v>0</v>
      </c>
      <c r="L430" s="154">
        <f>+'[1]Budget 2025W'!S511</f>
        <v>0</v>
      </c>
      <c r="M430" s="154">
        <f>+'[1]Budget 2025W'!T511</f>
        <v>0</v>
      </c>
      <c r="N430" s="154">
        <f>+'[1]Budget 2025W'!U511</f>
        <v>0</v>
      </c>
      <c r="O430" s="154">
        <f>+'[1]Budget 2025W'!V511</f>
        <v>0</v>
      </c>
      <c r="P430" s="131"/>
      <c r="Q430" s="156">
        <f t="shared" si="45"/>
        <v>0</v>
      </c>
    </row>
    <row r="431" spans="3:17" ht="17.25" thickTop="1" thickBot="1" x14ac:dyDescent="0.3">
      <c r="C431" s="162" t="s">
        <v>114</v>
      </c>
      <c r="D431" s="163">
        <f>+'[1]Budget 2025W'!K514</f>
        <v>0</v>
      </c>
      <c r="E431" s="163">
        <f>+'[1]Budget 2025W'!L514</f>
        <v>0</v>
      </c>
      <c r="F431" s="163">
        <f>+'[1]Budget 2025W'!M514</f>
        <v>0</v>
      </c>
      <c r="G431" s="163">
        <f>+'[1]Budget 2025W'!N514</f>
        <v>0</v>
      </c>
      <c r="H431" s="164">
        <f>+'[1]Budget 2025W'!O514</f>
        <v>0</v>
      </c>
      <c r="I431" s="164">
        <f>+'[1]Budget 2025W'!P514</f>
        <v>154.20637681159423</v>
      </c>
      <c r="J431" s="164">
        <f>+'[1]Budget 2025W'!Q514</f>
        <v>203.63149758454105</v>
      </c>
      <c r="K431" s="164">
        <f>+'[1]Budget 2025W'!R514</f>
        <v>302.48173913043485</v>
      </c>
      <c r="L431" s="164">
        <f>+'[1]Budget 2025W'!S514</f>
        <v>203.63149758454105</v>
      </c>
      <c r="M431" s="164">
        <f>+'[1]Budget 2025W'!T514</f>
        <v>154.20637681159423</v>
      </c>
      <c r="N431" s="164">
        <f>+'[1]Budget 2025W'!U514</f>
        <v>154.20637681159423</v>
      </c>
      <c r="O431" s="164">
        <f>+'[1]Budget 2025W'!V514</f>
        <v>253.05661835748793</v>
      </c>
      <c r="P431" s="131"/>
      <c r="Q431" s="165">
        <f t="shared" si="45"/>
        <v>1425.4204830917874</v>
      </c>
    </row>
    <row r="432" spans="3:17" ht="16.5" thickTop="1" thickBot="1" x14ac:dyDescent="0.25">
      <c r="C432" s="201"/>
      <c r="D432" s="168"/>
      <c r="E432" s="168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31"/>
      <c r="Q432" s="171"/>
    </row>
    <row r="433" spans="2:17" ht="15.75" x14ac:dyDescent="0.25">
      <c r="C433" s="195" t="s">
        <v>44</v>
      </c>
      <c r="D433" s="196"/>
      <c r="E433" s="196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31"/>
      <c r="Q433" s="161"/>
    </row>
    <row r="434" spans="2:17" x14ac:dyDescent="0.2">
      <c r="C434" s="153" t="s">
        <v>133</v>
      </c>
      <c r="D434" s="75">
        <f>+'[1]Budget 2025W'!K524</f>
        <v>0</v>
      </c>
      <c r="E434" s="75">
        <f>+'[1]Budget 2025W'!L524</f>
        <v>0</v>
      </c>
      <c r="F434" s="154">
        <f>+'[1]Budget 2025W'!M524</f>
        <v>0</v>
      </c>
      <c r="G434" s="154">
        <f>+'[1]Budget 2025W'!N524</f>
        <v>0</v>
      </c>
      <c r="H434" s="154">
        <f>+'[1]Budget 2025W'!O524</f>
        <v>0</v>
      </c>
      <c r="I434" s="154">
        <f>+'[1]Budget 2025W'!P524</f>
        <v>0</v>
      </c>
      <c r="J434" s="154">
        <f>+'[1]Budget 2025W'!Q524</f>
        <v>0</v>
      </c>
      <c r="K434" s="154">
        <f>+'[1]Budget 2025W'!R524</f>
        <v>0</v>
      </c>
      <c r="L434" s="154">
        <f>+'[1]Budget 2025W'!S524</f>
        <v>0</v>
      </c>
      <c r="M434" s="154">
        <f>+'[1]Budget 2025W'!T524</f>
        <v>0</v>
      </c>
      <c r="N434" s="154">
        <f>+'[1]Budget 2025W'!U524</f>
        <v>0</v>
      </c>
      <c r="O434" s="154">
        <f>+'[1]Budget 2025W'!V524</f>
        <v>0</v>
      </c>
      <c r="P434" s="131"/>
      <c r="Q434" s="156">
        <f t="shared" ref="Q434:Q441" si="46">SUM(D434:O434)</f>
        <v>0</v>
      </c>
    </row>
    <row r="435" spans="2:17" x14ac:dyDescent="0.2">
      <c r="C435" s="153" t="s">
        <v>134</v>
      </c>
      <c r="D435" s="75">
        <f>+'[1]Budget 2025W'!K525</f>
        <v>0</v>
      </c>
      <c r="E435" s="75">
        <f>+'[1]Budget 2025W'!L525</f>
        <v>0</v>
      </c>
      <c r="F435" s="154">
        <f>+'[1]Budget 2025W'!M525</f>
        <v>0</v>
      </c>
      <c r="G435" s="154">
        <f>+'[1]Budget 2025W'!N525</f>
        <v>0</v>
      </c>
      <c r="H435" s="154">
        <f>+'[1]Budget 2025W'!O525</f>
        <v>0</v>
      </c>
      <c r="I435" s="154">
        <f>+'[1]Budget 2025W'!P525</f>
        <v>0</v>
      </c>
      <c r="J435" s="154">
        <f>+'[1]Budget 2025W'!Q525</f>
        <v>0</v>
      </c>
      <c r="K435" s="154">
        <f>+'[1]Budget 2025W'!R525</f>
        <v>0</v>
      </c>
      <c r="L435" s="154">
        <f>+'[1]Budget 2025W'!S525</f>
        <v>0</v>
      </c>
      <c r="M435" s="154">
        <f>+'[1]Budget 2025W'!T525</f>
        <v>0</v>
      </c>
      <c r="N435" s="154">
        <f>+'[1]Budget 2025W'!U525</f>
        <v>0</v>
      </c>
      <c r="O435" s="154">
        <f>+'[1]Budget 2025W'!V525</f>
        <v>0</v>
      </c>
      <c r="P435" s="131"/>
      <c r="Q435" s="156">
        <f t="shared" si="46"/>
        <v>0</v>
      </c>
    </row>
    <row r="436" spans="2:17" x14ac:dyDescent="0.2">
      <c r="C436" s="153" t="s">
        <v>136</v>
      </c>
      <c r="D436" s="75">
        <f>+'[1]Budget 2025W'!K526</f>
        <v>0</v>
      </c>
      <c r="E436" s="75">
        <f>+'[1]Budget 2025W'!L526</f>
        <v>0</v>
      </c>
      <c r="F436" s="154">
        <f>+'[1]Budget 2025W'!M526</f>
        <v>0</v>
      </c>
      <c r="G436" s="154">
        <f>+'[1]Budget 2025W'!N526</f>
        <v>0</v>
      </c>
      <c r="H436" s="154">
        <f>+'[1]Budget 2025W'!O526</f>
        <v>0</v>
      </c>
      <c r="I436" s="154">
        <f>+'[1]Budget 2025W'!P526</f>
        <v>0</v>
      </c>
      <c r="J436" s="154">
        <f>+'[1]Budget 2025W'!Q526</f>
        <v>0</v>
      </c>
      <c r="K436" s="154">
        <f>+'[1]Budget 2025W'!R526</f>
        <v>0</v>
      </c>
      <c r="L436" s="154">
        <f>+'[1]Budget 2025W'!S526</f>
        <v>0</v>
      </c>
      <c r="M436" s="154">
        <f>+'[1]Budget 2025W'!T526</f>
        <v>0</v>
      </c>
      <c r="N436" s="154">
        <f>+'[1]Budget 2025W'!U526</f>
        <v>0</v>
      </c>
      <c r="O436" s="154">
        <f>+'[1]Budget 2025W'!V526</f>
        <v>0</v>
      </c>
      <c r="P436" s="131"/>
      <c r="Q436" s="156">
        <f t="shared" si="46"/>
        <v>0</v>
      </c>
    </row>
    <row r="437" spans="2:17" x14ac:dyDescent="0.2">
      <c r="C437" s="153" t="s">
        <v>139</v>
      </c>
      <c r="D437" s="75">
        <f>+'[1]Budget 2025W'!K527</f>
        <v>0</v>
      </c>
      <c r="E437" s="75">
        <f>+'[1]Budget 2025W'!L527</f>
        <v>0</v>
      </c>
      <c r="F437" s="154">
        <f>+'[1]Budget 2025W'!M527</f>
        <v>0</v>
      </c>
      <c r="G437" s="154">
        <f>+'[1]Budget 2025W'!N527</f>
        <v>0</v>
      </c>
      <c r="H437" s="154">
        <f>+'[1]Budget 2025W'!O527</f>
        <v>0</v>
      </c>
      <c r="I437" s="154">
        <f>+'[1]Budget 2025W'!P527</f>
        <v>0</v>
      </c>
      <c r="J437" s="154">
        <f>+'[1]Budget 2025W'!Q527</f>
        <v>0</v>
      </c>
      <c r="K437" s="154">
        <f>+'[1]Budget 2025W'!R527</f>
        <v>0</v>
      </c>
      <c r="L437" s="154">
        <f>+'[1]Budget 2025W'!S527</f>
        <v>0</v>
      </c>
      <c r="M437" s="154">
        <f>+'[1]Budget 2025W'!T527</f>
        <v>0</v>
      </c>
      <c r="N437" s="154">
        <f>+'[1]Budget 2025W'!U527</f>
        <v>0</v>
      </c>
      <c r="O437" s="154">
        <f>+'[1]Budget 2025W'!V527</f>
        <v>0</v>
      </c>
      <c r="P437" s="131"/>
      <c r="Q437" s="156">
        <f t="shared" si="46"/>
        <v>0</v>
      </c>
    </row>
    <row r="438" spans="2:17" x14ac:dyDescent="0.2">
      <c r="C438" s="153" t="s">
        <v>140</v>
      </c>
      <c r="D438" s="75">
        <f>+'[1]Budget 2025W'!K528</f>
        <v>0</v>
      </c>
      <c r="E438" s="75">
        <f>+'[1]Budget 2025W'!L528</f>
        <v>0</v>
      </c>
      <c r="F438" s="154">
        <f>+'[1]Budget 2025W'!M528</f>
        <v>0</v>
      </c>
      <c r="G438" s="154">
        <f>+'[1]Budget 2025W'!N528</f>
        <v>0</v>
      </c>
      <c r="H438" s="154">
        <f>+'[1]Budget 2025W'!O528</f>
        <v>0</v>
      </c>
      <c r="I438" s="154">
        <f>+'[1]Budget 2025W'!P528</f>
        <v>0</v>
      </c>
      <c r="J438" s="154">
        <f>+'[1]Budget 2025W'!Q528</f>
        <v>0</v>
      </c>
      <c r="K438" s="154">
        <f>+'[1]Budget 2025W'!R528</f>
        <v>0</v>
      </c>
      <c r="L438" s="154">
        <f>+'[1]Budget 2025W'!S528</f>
        <v>0</v>
      </c>
      <c r="M438" s="154">
        <f>+'[1]Budget 2025W'!T528</f>
        <v>0</v>
      </c>
      <c r="N438" s="154">
        <f>+'[1]Budget 2025W'!U528</f>
        <v>0</v>
      </c>
      <c r="O438" s="154">
        <f>+'[1]Budget 2025W'!V528</f>
        <v>0</v>
      </c>
      <c r="P438" s="131"/>
      <c r="Q438" s="156">
        <f t="shared" si="46"/>
        <v>0</v>
      </c>
    </row>
    <row r="439" spans="2:17" x14ac:dyDescent="0.2">
      <c r="C439" s="153" t="s">
        <v>141</v>
      </c>
      <c r="D439" s="75">
        <f>+'[1]Budget 2025W'!K529</f>
        <v>0</v>
      </c>
      <c r="E439" s="75">
        <f>+'[1]Budget 2025W'!L529</f>
        <v>0</v>
      </c>
      <c r="F439" s="154">
        <f>+'[1]Budget 2025W'!M529</f>
        <v>0</v>
      </c>
      <c r="G439" s="154">
        <f>+'[1]Budget 2025W'!N529</f>
        <v>0</v>
      </c>
      <c r="H439" s="154">
        <f>+'[1]Budget 2025W'!O529</f>
        <v>0</v>
      </c>
      <c r="I439" s="154">
        <f>+'[1]Budget 2025W'!P529</f>
        <v>0</v>
      </c>
      <c r="J439" s="154">
        <f>+'[1]Budget 2025W'!Q529</f>
        <v>0</v>
      </c>
      <c r="K439" s="154">
        <f>+'[1]Budget 2025W'!R529</f>
        <v>0</v>
      </c>
      <c r="L439" s="154">
        <f>+'[1]Budget 2025W'!S529</f>
        <v>0</v>
      </c>
      <c r="M439" s="154">
        <f>+'[1]Budget 2025W'!T529</f>
        <v>0</v>
      </c>
      <c r="N439" s="154">
        <f>+'[1]Budget 2025W'!U529</f>
        <v>0</v>
      </c>
      <c r="O439" s="154">
        <f>+'[1]Budget 2025W'!V529</f>
        <v>0</v>
      </c>
      <c r="P439" s="131"/>
      <c r="Q439" s="156">
        <f t="shared" si="46"/>
        <v>0</v>
      </c>
    </row>
    <row r="440" spans="2:17" x14ac:dyDescent="0.2">
      <c r="C440" s="153" t="s">
        <v>142</v>
      </c>
      <c r="D440" s="75">
        <f>+'[1]Budget 2025W'!K530</f>
        <v>0</v>
      </c>
      <c r="E440" s="75">
        <f>+'[1]Budget 2025W'!L530</f>
        <v>0</v>
      </c>
      <c r="F440" s="154">
        <f>+'[1]Budget 2025W'!M530</f>
        <v>0</v>
      </c>
      <c r="G440" s="154">
        <f>+'[1]Budget 2025W'!N530</f>
        <v>0</v>
      </c>
      <c r="H440" s="154">
        <f>+'[1]Budget 2025W'!O530</f>
        <v>0</v>
      </c>
      <c r="I440" s="154">
        <f>+'[1]Budget 2025W'!P530</f>
        <v>0</v>
      </c>
      <c r="J440" s="154">
        <f>+'[1]Budget 2025W'!Q530</f>
        <v>0</v>
      </c>
      <c r="K440" s="154">
        <f>+'[1]Budget 2025W'!R530</f>
        <v>0</v>
      </c>
      <c r="L440" s="154">
        <f>+'[1]Budget 2025W'!S530</f>
        <v>0</v>
      </c>
      <c r="M440" s="154">
        <f>+'[1]Budget 2025W'!T530</f>
        <v>0</v>
      </c>
      <c r="N440" s="154">
        <f>+'[1]Budget 2025W'!U530</f>
        <v>0</v>
      </c>
      <c r="O440" s="154">
        <f>+'[1]Budget 2025W'!V530</f>
        <v>0</v>
      </c>
      <c r="P440" s="131"/>
      <c r="Q440" s="156">
        <f t="shared" si="46"/>
        <v>0</v>
      </c>
    </row>
    <row r="441" spans="2:17" ht="15.75" thickBot="1" x14ac:dyDescent="0.25">
      <c r="C441" s="153" t="s">
        <v>143</v>
      </c>
      <c r="D441" s="75">
        <f>+'[1]Budget 2025W'!K531</f>
        <v>0</v>
      </c>
      <c r="E441" s="75">
        <f>+'[1]Budget 2025W'!L531</f>
        <v>0</v>
      </c>
      <c r="F441" s="154">
        <f>+'[1]Budget 2025W'!M531</f>
        <v>0</v>
      </c>
      <c r="G441" s="154">
        <f>+'[1]Budget 2025W'!N531</f>
        <v>0</v>
      </c>
      <c r="H441" s="154">
        <f>+'[1]Budget 2025W'!O531</f>
        <v>0</v>
      </c>
      <c r="I441" s="154">
        <f>+'[1]Budget 2025W'!P531</f>
        <v>0</v>
      </c>
      <c r="J441" s="154">
        <f>+'[1]Budget 2025W'!Q531</f>
        <v>0</v>
      </c>
      <c r="K441" s="154">
        <f>+'[1]Budget 2025W'!R531</f>
        <v>0</v>
      </c>
      <c r="L441" s="154">
        <f>+'[1]Budget 2025W'!S531</f>
        <v>0</v>
      </c>
      <c r="M441" s="154">
        <f>+'[1]Budget 2025W'!T531</f>
        <v>0</v>
      </c>
      <c r="N441" s="154">
        <f>+'[1]Budget 2025W'!U531</f>
        <v>0</v>
      </c>
      <c r="O441" s="154">
        <f>+'[1]Budget 2025W'!V531</f>
        <v>0</v>
      </c>
      <c r="P441" s="131"/>
      <c r="Q441" s="156">
        <f t="shared" si="46"/>
        <v>0</v>
      </c>
    </row>
    <row r="442" spans="2:17" ht="17.25" thickTop="1" thickBot="1" x14ac:dyDescent="0.3">
      <c r="C442" s="162" t="s">
        <v>144</v>
      </c>
      <c r="D442" s="163">
        <f t="shared" ref="D442:Q442" si="47">SUM(D434:D441)</f>
        <v>0</v>
      </c>
      <c r="E442" s="163">
        <f t="shared" si="47"/>
        <v>0</v>
      </c>
      <c r="F442" s="163">
        <f t="shared" si="47"/>
        <v>0</v>
      </c>
      <c r="G442" s="163">
        <f t="shared" si="47"/>
        <v>0</v>
      </c>
      <c r="H442" s="163">
        <f t="shared" si="47"/>
        <v>0</v>
      </c>
      <c r="I442" s="163">
        <f t="shared" si="47"/>
        <v>0</v>
      </c>
      <c r="J442" s="163">
        <f t="shared" si="47"/>
        <v>0</v>
      </c>
      <c r="K442" s="163">
        <f t="shared" si="47"/>
        <v>0</v>
      </c>
      <c r="L442" s="163">
        <f t="shared" si="47"/>
        <v>0</v>
      </c>
      <c r="M442" s="163">
        <f t="shared" si="47"/>
        <v>0</v>
      </c>
      <c r="N442" s="163">
        <f t="shared" si="47"/>
        <v>0</v>
      </c>
      <c r="O442" s="163">
        <f t="shared" si="47"/>
        <v>0</v>
      </c>
      <c r="P442" s="131"/>
      <c r="Q442" s="207">
        <f t="shared" si="47"/>
        <v>0</v>
      </c>
    </row>
    <row r="443" spans="2:17" ht="16.5" thickTop="1" thickBot="1" x14ac:dyDescent="0.25">
      <c r="C443" s="201"/>
      <c r="D443" s="168"/>
      <c r="E443" s="168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31"/>
      <c r="Q443" s="171"/>
    </row>
    <row r="444" spans="2:17" ht="16.5" thickBot="1" x14ac:dyDescent="0.3">
      <c r="B444" s="141"/>
      <c r="C444" s="203" t="s">
        <v>205</v>
      </c>
      <c r="D444" s="204">
        <f t="shared" ref="D444:O444" si="48">D408-D412-D431-D442</f>
        <v>0</v>
      </c>
      <c r="E444" s="204">
        <f t="shared" si="48"/>
        <v>0</v>
      </c>
      <c r="F444" s="205">
        <f t="shared" si="48"/>
        <v>0</v>
      </c>
      <c r="G444" s="205">
        <f t="shared" si="48"/>
        <v>0</v>
      </c>
      <c r="H444" s="205">
        <f t="shared" si="48"/>
        <v>0</v>
      </c>
      <c r="I444" s="205">
        <f t="shared" si="48"/>
        <v>85.793623188405775</v>
      </c>
      <c r="J444" s="205">
        <f t="shared" si="48"/>
        <v>36.368502415458948</v>
      </c>
      <c r="K444" s="205">
        <f t="shared" si="48"/>
        <v>-62.481739130434846</v>
      </c>
      <c r="L444" s="205">
        <f t="shared" si="48"/>
        <v>36.368502415458948</v>
      </c>
      <c r="M444" s="205">
        <f t="shared" si="48"/>
        <v>85.793623188405775</v>
      </c>
      <c r="N444" s="205">
        <f t="shared" si="48"/>
        <v>325.79362318840577</v>
      </c>
      <c r="O444" s="205">
        <f t="shared" si="48"/>
        <v>226.94338164251207</v>
      </c>
      <c r="P444" s="131"/>
      <c r="Q444" s="183">
        <f>SUM(D444:O444)</f>
        <v>734.57951690821244</v>
      </c>
    </row>
    <row r="445" spans="2:17" ht="16.5" thickTop="1" thickBot="1" x14ac:dyDescent="0.25">
      <c r="C445" s="206"/>
      <c r="D445" s="186"/>
      <c r="E445" s="186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31"/>
      <c r="Q445" s="171"/>
    </row>
    <row r="446" spans="2:17" ht="16.5" hidden="1" thickBot="1" x14ac:dyDescent="0.3">
      <c r="B446" s="141"/>
      <c r="C446" s="142" t="s">
        <v>206</v>
      </c>
      <c r="D446" s="208"/>
      <c r="E446" s="208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131"/>
      <c r="Q446" s="191"/>
    </row>
    <row r="447" spans="2:17" ht="16.5" hidden="1" thickBot="1" x14ac:dyDescent="0.3">
      <c r="C447" s="157" t="s">
        <v>26</v>
      </c>
      <c r="D447" s="158"/>
      <c r="E447" s="158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31"/>
      <c r="Q447" s="161"/>
    </row>
    <row r="448" spans="2:17" ht="15.75" hidden="1" thickBot="1" x14ac:dyDescent="0.25">
      <c r="C448" s="153" t="s">
        <v>207</v>
      </c>
      <c r="D448" s="75">
        <f>+'[1]Budget 2025W'!K541</f>
        <v>0</v>
      </c>
      <c r="E448" s="75">
        <f>+'[1]Budget 2025W'!L541</f>
        <v>0</v>
      </c>
      <c r="F448" s="154">
        <f>+'[1]Budget 2025W'!M541</f>
        <v>0</v>
      </c>
      <c r="G448" s="154">
        <f>+'[1]Budget 2025W'!N541</f>
        <v>0</v>
      </c>
      <c r="H448" s="154">
        <f>+'[1]Budget 2025W'!O541</f>
        <v>0</v>
      </c>
      <c r="I448" s="154">
        <f>+'[1]Budget 2025W'!P541</f>
        <v>0</v>
      </c>
      <c r="J448" s="154">
        <f>+'[1]Budget 2025W'!Q541</f>
        <v>0</v>
      </c>
      <c r="K448" s="154">
        <f>+'[1]Budget 2025W'!R541</f>
        <v>0</v>
      </c>
      <c r="L448" s="154">
        <f>+'[1]Budget 2025W'!S541</f>
        <v>0</v>
      </c>
      <c r="M448" s="154">
        <f>+'[1]Budget 2025W'!T541</f>
        <v>0</v>
      </c>
      <c r="N448" s="154">
        <f>+'[1]Budget 2025W'!U541</f>
        <v>0</v>
      </c>
      <c r="O448" s="154">
        <f>+'[1]Budget 2025W'!V541</f>
        <v>0</v>
      </c>
      <c r="P448" s="131"/>
      <c r="Q448" s="156">
        <f>SUM(D448:O448)</f>
        <v>0</v>
      </c>
    </row>
    <row r="449" spans="3:17" ht="15.75" hidden="1" thickBot="1" x14ac:dyDescent="0.25">
      <c r="C449" s="153" t="s">
        <v>207</v>
      </c>
      <c r="D449" s="75">
        <f>+'[1]Budget 2025W'!K542</f>
        <v>0</v>
      </c>
      <c r="E449" s="75">
        <f>+'[1]Budget 2025W'!L542</f>
        <v>0</v>
      </c>
      <c r="F449" s="154">
        <f>+'[1]Budget 2025W'!M542</f>
        <v>0</v>
      </c>
      <c r="G449" s="154">
        <f>+'[1]Budget 2025W'!N542</f>
        <v>0</v>
      </c>
      <c r="H449" s="154">
        <f>+'[1]Budget 2025W'!O542</f>
        <v>0</v>
      </c>
      <c r="I449" s="154">
        <f>+'[1]Budget 2025W'!P542</f>
        <v>0</v>
      </c>
      <c r="J449" s="154">
        <f>+'[1]Budget 2025W'!Q542</f>
        <v>0</v>
      </c>
      <c r="K449" s="154">
        <f>+'[1]Budget 2025W'!R542</f>
        <v>0</v>
      </c>
      <c r="L449" s="154">
        <f>+'[1]Budget 2025W'!S542</f>
        <v>0</v>
      </c>
      <c r="M449" s="154">
        <f>+'[1]Budget 2025W'!T542</f>
        <v>0</v>
      </c>
      <c r="N449" s="154">
        <f>+'[1]Budget 2025W'!U542</f>
        <v>0</v>
      </c>
      <c r="O449" s="154">
        <f>+'[1]Budget 2025W'!V542</f>
        <v>0</v>
      </c>
      <c r="P449" s="131"/>
      <c r="Q449" s="156">
        <f>SUM(D449:O449)</f>
        <v>0</v>
      </c>
    </row>
    <row r="450" spans="3:17" ht="15.75" hidden="1" thickBot="1" x14ac:dyDescent="0.25">
      <c r="C450" s="153" t="s">
        <v>207</v>
      </c>
      <c r="D450" s="75">
        <f>+'[1]Budget 2025W'!K543</f>
        <v>0</v>
      </c>
      <c r="E450" s="75">
        <f>+'[1]Budget 2025W'!L543</f>
        <v>0</v>
      </c>
      <c r="F450" s="154">
        <f>+'[1]Budget 2025W'!M543</f>
        <v>0</v>
      </c>
      <c r="G450" s="154">
        <f>+'[1]Budget 2025W'!N543</f>
        <v>0</v>
      </c>
      <c r="H450" s="154">
        <f>+'[1]Budget 2025W'!O543</f>
        <v>0</v>
      </c>
      <c r="I450" s="154">
        <f>+'[1]Budget 2025W'!P543</f>
        <v>0</v>
      </c>
      <c r="J450" s="154">
        <f>+'[1]Budget 2025W'!Q543</f>
        <v>0</v>
      </c>
      <c r="K450" s="154">
        <f>+'[1]Budget 2025W'!R543</f>
        <v>0</v>
      </c>
      <c r="L450" s="154">
        <f>+'[1]Budget 2025W'!S543</f>
        <v>0</v>
      </c>
      <c r="M450" s="154">
        <f>+'[1]Budget 2025W'!T543</f>
        <v>0</v>
      </c>
      <c r="N450" s="154">
        <f>+'[1]Budget 2025W'!U543</f>
        <v>0</v>
      </c>
      <c r="O450" s="154">
        <f>+'[1]Budget 2025W'!V543</f>
        <v>0</v>
      </c>
      <c r="P450" s="131"/>
      <c r="Q450" s="156">
        <f>SUM(D450:O450)</f>
        <v>0</v>
      </c>
    </row>
    <row r="451" spans="3:17" ht="15.75" hidden="1" thickBot="1" x14ac:dyDescent="0.25">
      <c r="C451" s="153" t="s">
        <v>207</v>
      </c>
      <c r="D451" s="75">
        <f>+'[1]Budget 2025W'!K544</f>
        <v>0</v>
      </c>
      <c r="E451" s="75">
        <f>+'[1]Budget 2025W'!L544</f>
        <v>0</v>
      </c>
      <c r="F451" s="154">
        <f>+'[1]Budget 2025W'!M544</f>
        <v>0</v>
      </c>
      <c r="G451" s="154">
        <f>+'[1]Budget 2025W'!N544</f>
        <v>0</v>
      </c>
      <c r="H451" s="154">
        <f>+'[1]Budget 2025W'!O544</f>
        <v>0</v>
      </c>
      <c r="I451" s="154">
        <f>+'[1]Budget 2025W'!P544</f>
        <v>0</v>
      </c>
      <c r="J451" s="154">
        <f>+'[1]Budget 2025W'!Q544</f>
        <v>0</v>
      </c>
      <c r="K451" s="154">
        <f>+'[1]Budget 2025W'!R544</f>
        <v>0</v>
      </c>
      <c r="L451" s="154">
        <f>+'[1]Budget 2025W'!S544</f>
        <v>0</v>
      </c>
      <c r="M451" s="154">
        <f>+'[1]Budget 2025W'!T544</f>
        <v>0</v>
      </c>
      <c r="N451" s="154">
        <f>+'[1]Budget 2025W'!U544</f>
        <v>0</v>
      </c>
      <c r="O451" s="154">
        <f>+'[1]Budget 2025W'!V544</f>
        <v>0</v>
      </c>
      <c r="P451" s="131"/>
      <c r="Q451" s="156">
        <f>SUM(D451:O451)</f>
        <v>0</v>
      </c>
    </row>
    <row r="452" spans="3:17" ht="17.25" hidden="1" thickTop="1" thickBot="1" x14ac:dyDescent="0.3">
      <c r="C452" s="192" t="s">
        <v>208</v>
      </c>
      <c r="D452" s="193">
        <f>+'[1]Budget 2025W'!K547</f>
        <v>0</v>
      </c>
      <c r="E452" s="193">
        <f>+'[1]Budget 2025W'!L547</f>
        <v>0</v>
      </c>
      <c r="F452" s="194">
        <f>+'[1]Budget 2025W'!M547</f>
        <v>0</v>
      </c>
      <c r="G452" s="194">
        <f>+'[1]Budget 2025W'!N547</f>
        <v>0</v>
      </c>
      <c r="H452" s="194">
        <f>+'[1]Budget 2025W'!O547</f>
        <v>0</v>
      </c>
      <c r="I452" s="194">
        <f>+'[1]Budget 2025W'!P547</f>
        <v>0</v>
      </c>
      <c r="J452" s="194">
        <f>+'[1]Budget 2025W'!Q547</f>
        <v>0</v>
      </c>
      <c r="K452" s="194">
        <f>+'[1]Budget 2025W'!R547</f>
        <v>0</v>
      </c>
      <c r="L452" s="194">
        <f>+'[1]Budget 2025W'!S547</f>
        <v>0</v>
      </c>
      <c r="M452" s="194">
        <f>+'[1]Budget 2025W'!T547</f>
        <v>0</v>
      </c>
      <c r="N452" s="194">
        <f>+'[1]Budget 2025W'!U547</f>
        <v>0</v>
      </c>
      <c r="O452" s="194">
        <f>+'[1]Budget 2025W'!V547</f>
        <v>0</v>
      </c>
      <c r="P452" s="131"/>
      <c r="Q452" s="165">
        <f>SUM(D452:O452)</f>
        <v>0</v>
      </c>
    </row>
    <row r="453" spans="3:17" ht="16.5" hidden="1" thickBot="1" x14ac:dyDescent="0.3">
      <c r="C453" s="195" t="s">
        <v>154</v>
      </c>
      <c r="D453" s="196"/>
      <c r="E453" s="196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31"/>
      <c r="Q453" s="161"/>
    </row>
    <row r="454" spans="3:17" ht="15.75" hidden="1" thickBot="1" x14ac:dyDescent="0.25">
      <c r="C454" s="153" t="s">
        <v>209</v>
      </c>
      <c r="D454" s="75">
        <f>+'[1]Budget 2025W'!K571</f>
        <v>0</v>
      </c>
      <c r="E454" s="75">
        <f>+'[1]Budget 2025W'!L571</f>
        <v>0</v>
      </c>
      <c r="F454" s="154">
        <f>+'[1]Budget 2025W'!M571</f>
        <v>0</v>
      </c>
      <c r="G454" s="154">
        <f>+'[1]Budget 2025W'!N571</f>
        <v>0</v>
      </c>
      <c r="H454" s="154">
        <f>+'[1]Budget 2025W'!O571</f>
        <v>0</v>
      </c>
      <c r="I454" s="154">
        <f>+'[1]Budget 2025W'!P571</f>
        <v>0</v>
      </c>
      <c r="J454" s="154">
        <f>+'[1]Budget 2025W'!Q571</f>
        <v>0</v>
      </c>
      <c r="K454" s="154">
        <f>+'[1]Budget 2025W'!R571</f>
        <v>0</v>
      </c>
      <c r="L454" s="154">
        <f>+'[1]Budget 2025W'!S571</f>
        <v>0</v>
      </c>
      <c r="M454" s="154">
        <f>+'[1]Budget 2025W'!T571</f>
        <v>0</v>
      </c>
      <c r="N454" s="154">
        <f>+'[1]Budget 2025W'!U571</f>
        <v>0</v>
      </c>
      <c r="O454" s="154">
        <f>+'[1]Budget 2025W'!V571</f>
        <v>0</v>
      </c>
      <c r="P454" s="131"/>
      <c r="Q454" s="156">
        <f t="shared" ref="Q454:Q460" si="49">SUM(D454:O454)</f>
        <v>0</v>
      </c>
    </row>
    <row r="455" spans="3:17" ht="15.75" hidden="1" thickBot="1" x14ac:dyDescent="0.25">
      <c r="C455" s="153" t="s">
        <v>210</v>
      </c>
      <c r="D455" s="75">
        <f>+'[1]Budget 2025W'!K572</f>
        <v>0</v>
      </c>
      <c r="E455" s="75">
        <f>+'[1]Budget 2025W'!L572</f>
        <v>0</v>
      </c>
      <c r="F455" s="154">
        <f>+'[1]Budget 2025W'!M572</f>
        <v>0</v>
      </c>
      <c r="G455" s="154">
        <f>+'[1]Budget 2025W'!N572</f>
        <v>0</v>
      </c>
      <c r="H455" s="154">
        <f>+'[1]Budget 2025W'!O572</f>
        <v>0</v>
      </c>
      <c r="I455" s="154">
        <f>+'[1]Budget 2025W'!P572</f>
        <v>0</v>
      </c>
      <c r="J455" s="154">
        <f>+'[1]Budget 2025W'!Q572</f>
        <v>0</v>
      </c>
      <c r="K455" s="154">
        <f>+'[1]Budget 2025W'!R572</f>
        <v>0</v>
      </c>
      <c r="L455" s="154">
        <f>+'[1]Budget 2025W'!S572</f>
        <v>0</v>
      </c>
      <c r="M455" s="154">
        <f>+'[1]Budget 2025W'!T572</f>
        <v>0</v>
      </c>
      <c r="N455" s="154">
        <f>+'[1]Budget 2025W'!U572</f>
        <v>0</v>
      </c>
      <c r="O455" s="154">
        <f>+'[1]Budget 2025W'!V572</f>
        <v>0</v>
      </c>
      <c r="P455" s="131"/>
      <c r="Q455" s="156">
        <f t="shared" si="49"/>
        <v>0</v>
      </c>
    </row>
    <row r="456" spans="3:17" ht="15.75" hidden="1" thickBot="1" x14ac:dyDescent="0.25">
      <c r="C456" s="153" t="s">
        <v>211</v>
      </c>
      <c r="D456" s="75">
        <f>+'[1]Budget 2025W'!K573</f>
        <v>0</v>
      </c>
      <c r="E456" s="75">
        <f>+'[1]Budget 2025W'!L573</f>
        <v>0</v>
      </c>
      <c r="F456" s="154">
        <f>+'[1]Budget 2025W'!M573</f>
        <v>0</v>
      </c>
      <c r="G456" s="154">
        <f>+'[1]Budget 2025W'!N573</f>
        <v>0</v>
      </c>
      <c r="H456" s="154">
        <f>+'[1]Budget 2025W'!O573</f>
        <v>0</v>
      </c>
      <c r="I456" s="154">
        <f>+'[1]Budget 2025W'!P573</f>
        <v>0</v>
      </c>
      <c r="J456" s="154">
        <f>+'[1]Budget 2025W'!Q573</f>
        <v>0</v>
      </c>
      <c r="K456" s="154">
        <f>+'[1]Budget 2025W'!R573</f>
        <v>0</v>
      </c>
      <c r="L456" s="154">
        <f>+'[1]Budget 2025W'!S573</f>
        <v>0</v>
      </c>
      <c r="M456" s="154">
        <f>+'[1]Budget 2025W'!T573</f>
        <v>0</v>
      </c>
      <c r="N456" s="154">
        <f>+'[1]Budget 2025W'!U573</f>
        <v>0</v>
      </c>
      <c r="O456" s="154">
        <f>+'[1]Budget 2025W'!V573</f>
        <v>0</v>
      </c>
      <c r="P456" s="131"/>
      <c r="Q456" s="156">
        <f t="shared" si="49"/>
        <v>0</v>
      </c>
    </row>
    <row r="457" spans="3:17" ht="15.75" hidden="1" thickBot="1" x14ac:dyDescent="0.25">
      <c r="C457" s="153" t="s">
        <v>212</v>
      </c>
      <c r="D457" s="75">
        <f>+'[1]Budget 2025W'!K574</f>
        <v>0</v>
      </c>
      <c r="E457" s="75">
        <f>+'[1]Budget 2025W'!L574</f>
        <v>0</v>
      </c>
      <c r="F457" s="154">
        <f>+'[1]Budget 2025W'!M574</f>
        <v>0</v>
      </c>
      <c r="G457" s="154">
        <f>+'[1]Budget 2025W'!N574</f>
        <v>0</v>
      </c>
      <c r="H457" s="154">
        <f>+'[1]Budget 2025W'!O574</f>
        <v>0</v>
      </c>
      <c r="I457" s="154">
        <f>+'[1]Budget 2025W'!P574</f>
        <v>0</v>
      </c>
      <c r="J457" s="154">
        <f>+'[1]Budget 2025W'!Q574</f>
        <v>0</v>
      </c>
      <c r="K457" s="154">
        <f>+'[1]Budget 2025W'!R574</f>
        <v>0</v>
      </c>
      <c r="L457" s="154">
        <f>+'[1]Budget 2025W'!S574</f>
        <v>0</v>
      </c>
      <c r="M457" s="154">
        <f>+'[1]Budget 2025W'!T574</f>
        <v>0</v>
      </c>
      <c r="N457" s="154">
        <f>+'[1]Budget 2025W'!U574</f>
        <v>0</v>
      </c>
      <c r="O457" s="154">
        <f>+'[1]Budget 2025W'!V574</f>
        <v>0</v>
      </c>
      <c r="P457" s="131"/>
      <c r="Q457" s="156">
        <f t="shared" si="49"/>
        <v>0</v>
      </c>
    </row>
    <row r="458" spans="3:17" ht="15.75" hidden="1" thickBot="1" x14ac:dyDescent="0.25">
      <c r="C458" s="153" t="s">
        <v>213</v>
      </c>
      <c r="D458" s="75">
        <f>+'[1]Budget 2025W'!K575</f>
        <v>0</v>
      </c>
      <c r="E458" s="75">
        <f>+'[1]Budget 2025W'!L575</f>
        <v>0</v>
      </c>
      <c r="F458" s="154">
        <f>+'[1]Budget 2025W'!M575</f>
        <v>0</v>
      </c>
      <c r="G458" s="154">
        <f>+'[1]Budget 2025W'!N575</f>
        <v>0</v>
      </c>
      <c r="H458" s="154">
        <f>+'[1]Budget 2025W'!O575</f>
        <v>0</v>
      </c>
      <c r="I458" s="154">
        <f>+'[1]Budget 2025W'!P575</f>
        <v>0</v>
      </c>
      <c r="J458" s="154">
        <f>+'[1]Budget 2025W'!Q575</f>
        <v>0</v>
      </c>
      <c r="K458" s="154">
        <f>+'[1]Budget 2025W'!R575</f>
        <v>0</v>
      </c>
      <c r="L458" s="154">
        <f>+'[1]Budget 2025W'!S575</f>
        <v>0</v>
      </c>
      <c r="M458" s="154">
        <f>+'[1]Budget 2025W'!T575</f>
        <v>0</v>
      </c>
      <c r="N458" s="154">
        <f>+'[1]Budget 2025W'!U575</f>
        <v>0</v>
      </c>
      <c r="O458" s="154">
        <f>+'[1]Budget 2025W'!V575</f>
        <v>0</v>
      </c>
      <c r="P458" s="131"/>
      <c r="Q458" s="156">
        <f t="shared" si="49"/>
        <v>0</v>
      </c>
    </row>
    <row r="459" spans="3:17" ht="15.75" hidden="1" thickBot="1" x14ac:dyDescent="0.25">
      <c r="C459" s="153" t="s">
        <v>214</v>
      </c>
      <c r="D459" s="75">
        <f>+'[1]Budget 2025W'!K576</f>
        <v>0</v>
      </c>
      <c r="E459" s="75">
        <f>+'[1]Budget 2025W'!L576</f>
        <v>0</v>
      </c>
      <c r="F459" s="154">
        <f>+'[1]Budget 2025W'!M576</f>
        <v>0</v>
      </c>
      <c r="G459" s="154">
        <f>+'[1]Budget 2025W'!N576</f>
        <v>0</v>
      </c>
      <c r="H459" s="154">
        <f>+'[1]Budget 2025W'!O576</f>
        <v>0</v>
      </c>
      <c r="I459" s="154">
        <f>+'[1]Budget 2025W'!P576</f>
        <v>0</v>
      </c>
      <c r="J459" s="154">
        <f>+'[1]Budget 2025W'!Q576</f>
        <v>0</v>
      </c>
      <c r="K459" s="154">
        <f>+'[1]Budget 2025W'!R576</f>
        <v>0</v>
      </c>
      <c r="L459" s="154">
        <f>+'[1]Budget 2025W'!S576</f>
        <v>0</v>
      </c>
      <c r="M459" s="154">
        <f>+'[1]Budget 2025W'!T576</f>
        <v>0</v>
      </c>
      <c r="N459" s="154">
        <f>+'[1]Budget 2025W'!U576</f>
        <v>0</v>
      </c>
      <c r="O459" s="154">
        <f>+'[1]Budget 2025W'!V576</f>
        <v>0</v>
      </c>
      <c r="P459" s="131"/>
      <c r="Q459" s="156">
        <f t="shared" si="49"/>
        <v>0</v>
      </c>
    </row>
    <row r="460" spans="3:17" ht="17.25" hidden="1" thickTop="1" thickBot="1" x14ac:dyDescent="0.3">
      <c r="C460" s="192" t="s">
        <v>165</v>
      </c>
      <c r="D460" s="193">
        <f>+'[1]Budget 2025W'!K580</f>
        <v>0</v>
      </c>
      <c r="E460" s="193">
        <f>+'[1]Budget 2025W'!L580</f>
        <v>0</v>
      </c>
      <c r="F460" s="194">
        <f>+'[1]Budget 2025W'!M580</f>
        <v>0</v>
      </c>
      <c r="G460" s="194">
        <f>+'[1]Budget 2025W'!N580</f>
        <v>0</v>
      </c>
      <c r="H460" s="194">
        <f>+'[1]Budget 2025W'!O580</f>
        <v>0</v>
      </c>
      <c r="I460" s="194">
        <f>+'[1]Budget 2025W'!P580</f>
        <v>0</v>
      </c>
      <c r="J460" s="194">
        <f>+'[1]Budget 2025W'!Q580</f>
        <v>0</v>
      </c>
      <c r="K460" s="194">
        <f>+'[1]Budget 2025W'!R580</f>
        <v>0</v>
      </c>
      <c r="L460" s="194">
        <f>+'[1]Budget 2025W'!S580</f>
        <v>0</v>
      </c>
      <c r="M460" s="194">
        <f>+'[1]Budget 2025W'!T580</f>
        <v>0</v>
      </c>
      <c r="N460" s="194">
        <f>+'[1]Budget 2025W'!U580</f>
        <v>0</v>
      </c>
      <c r="O460" s="194">
        <f>+'[1]Budget 2025W'!V580</f>
        <v>0</v>
      </c>
      <c r="P460" s="131"/>
      <c r="Q460" s="165">
        <f t="shared" si="49"/>
        <v>0</v>
      </c>
    </row>
    <row r="461" spans="3:17" ht="16.5" hidden="1" thickBot="1" x14ac:dyDescent="0.3">
      <c r="C461" s="195" t="s">
        <v>97</v>
      </c>
      <c r="D461" s="196"/>
      <c r="E461" s="196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31"/>
      <c r="Q461" s="161"/>
    </row>
    <row r="462" spans="3:17" ht="15.75" hidden="1" thickBot="1" x14ac:dyDescent="0.25">
      <c r="C462" s="153" t="s">
        <v>98</v>
      </c>
      <c r="D462" s="75">
        <f>+'[1]Budget 2025W'!K550</f>
        <v>0</v>
      </c>
      <c r="E462" s="75">
        <f>+'[1]Budget 2025W'!L550</f>
        <v>0</v>
      </c>
      <c r="F462" s="154">
        <f>+'[1]Budget 2025W'!M550</f>
        <v>0</v>
      </c>
      <c r="G462" s="154">
        <f>+'[1]Budget 2025W'!N550</f>
        <v>0</v>
      </c>
      <c r="H462" s="154">
        <f>+'[1]Budget 2025W'!O550</f>
        <v>0</v>
      </c>
      <c r="I462" s="154">
        <f>+'[1]Budget 2025W'!P550</f>
        <v>0</v>
      </c>
      <c r="J462" s="154">
        <f>+'[1]Budget 2025W'!Q550</f>
        <v>0</v>
      </c>
      <c r="K462" s="154">
        <f>+'[1]Budget 2025W'!R550</f>
        <v>0</v>
      </c>
      <c r="L462" s="154">
        <f>+'[1]Budget 2025W'!S550</f>
        <v>0</v>
      </c>
      <c r="M462" s="154">
        <f>+'[1]Budget 2025W'!T550</f>
        <v>0</v>
      </c>
      <c r="N462" s="154">
        <f>+'[1]Budget 2025W'!U550</f>
        <v>0</v>
      </c>
      <c r="O462" s="154">
        <f>+'[1]Budget 2025W'!V550</f>
        <v>0</v>
      </c>
      <c r="P462" s="131"/>
      <c r="Q462" s="156">
        <f t="shared" ref="Q462:Q478" si="50">SUM(D462:O462)</f>
        <v>0</v>
      </c>
    </row>
    <row r="463" spans="3:17" ht="15.75" hidden="1" thickBot="1" x14ac:dyDescent="0.25">
      <c r="C463" s="153" t="s">
        <v>99</v>
      </c>
      <c r="D463" s="75">
        <f>+'[1]Budget 2025W'!K551</f>
        <v>0</v>
      </c>
      <c r="E463" s="75">
        <f>+'[1]Budget 2025W'!L551</f>
        <v>0</v>
      </c>
      <c r="F463" s="154">
        <f>+'[1]Budget 2025W'!M551</f>
        <v>0</v>
      </c>
      <c r="G463" s="154">
        <f>+'[1]Budget 2025W'!N551</f>
        <v>0</v>
      </c>
      <c r="H463" s="154">
        <f>+'[1]Budget 2025W'!O551</f>
        <v>0</v>
      </c>
      <c r="I463" s="154">
        <f>+'[1]Budget 2025W'!P551</f>
        <v>0</v>
      </c>
      <c r="J463" s="154">
        <f>+'[1]Budget 2025W'!Q551</f>
        <v>0</v>
      </c>
      <c r="K463" s="154">
        <f>+'[1]Budget 2025W'!R551</f>
        <v>0</v>
      </c>
      <c r="L463" s="154">
        <f>+'[1]Budget 2025W'!S551</f>
        <v>0</v>
      </c>
      <c r="M463" s="154">
        <f>+'[1]Budget 2025W'!T551</f>
        <v>0</v>
      </c>
      <c r="N463" s="154">
        <f>+'[1]Budget 2025W'!U551</f>
        <v>0</v>
      </c>
      <c r="O463" s="154">
        <f>+'[1]Budget 2025W'!V551</f>
        <v>0</v>
      </c>
      <c r="P463" s="131"/>
      <c r="Q463" s="156">
        <f t="shared" si="50"/>
        <v>0</v>
      </c>
    </row>
    <row r="464" spans="3:17" ht="15.75" hidden="1" thickBot="1" x14ac:dyDescent="0.25">
      <c r="C464" s="153" t="s">
        <v>100</v>
      </c>
      <c r="D464" s="75">
        <f>+'[1]Budget 2025W'!K552</f>
        <v>0</v>
      </c>
      <c r="E464" s="75">
        <f>+'[1]Budget 2025W'!L552</f>
        <v>0</v>
      </c>
      <c r="F464" s="154">
        <f>+'[1]Budget 2025W'!M552</f>
        <v>0</v>
      </c>
      <c r="G464" s="154">
        <f>+'[1]Budget 2025W'!N552</f>
        <v>0</v>
      </c>
      <c r="H464" s="154">
        <f>+'[1]Budget 2025W'!O552</f>
        <v>0</v>
      </c>
      <c r="I464" s="154">
        <f>+'[1]Budget 2025W'!P552</f>
        <v>0</v>
      </c>
      <c r="J464" s="154">
        <f>+'[1]Budget 2025W'!Q552</f>
        <v>0</v>
      </c>
      <c r="K464" s="154">
        <f>+'[1]Budget 2025W'!R552</f>
        <v>0</v>
      </c>
      <c r="L464" s="154">
        <f>+'[1]Budget 2025W'!S552</f>
        <v>0</v>
      </c>
      <c r="M464" s="154">
        <f>+'[1]Budget 2025W'!T552</f>
        <v>0</v>
      </c>
      <c r="N464" s="154">
        <f>+'[1]Budget 2025W'!U552</f>
        <v>0</v>
      </c>
      <c r="O464" s="154">
        <f>+'[1]Budget 2025W'!V552</f>
        <v>0</v>
      </c>
      <c r="P464" s="131"/>
      <c r="Q464" s="156">
        <f t="shared" si="50"/>
        <v>0</v>
      </c>
    </row>
    <row r="465" spans="3:17" ht="15.75" hidden="1" thickBot="1" x14ac:dyDescent="0.25">
      <c r="C465" s="153" t="s">
        <v>101</v>
      </c>
      <c r="D465" s="75">
        <f>+'[1]Budget 2025W'!K553</f>
        <v>0</v>
      </c>
      <c r="E465" s="75">
        <f>+'[1]Budget 2025W'!L553</f>
        <v>0</v>
      </c>
      <c r="F465" s="154">
        <f>+'[1]Budget 2025W'!M553</f>
        <v>0</v>
      </c>
      <c r="G465" s="154">
        <f>+'[1]Budget 2025W'!N553</f>
        <v>0</v>
      </c>
      <c r="H465" s="154">
        <f>+'[1]Budget 2025W'!O553</f>
        <v>0</v>
      </c>
      <c r="I465" s="154">
        <f>+'[1]Budget 2025W'!P553</f>
        <v>0</v>
      </c>
      <c r="J465" s="154">
        <f>+'[1]Budget 2025W'!Q553</f>
        <v>0</v>
      </c>
      <c r="K465" s="154">
        <f>+'[1]Budget 2025W'!R553</f>
        <v>0</v>
      </c>
      <c r="L465" s="154">
        <f>+'[1]Budget 2025W'!S553</f>
        <v>0</v>
      </c>
      <c r="M465" s="154">
        <f>+'[1]Budget 2025W'!T553</f>
        <v>0</v>
      </c>
      <c r="N465" s="154">
        <f>+'[1]Budget 2025W'!U553</f>
        <v>0</v>
      </c>
      <c r="O465" s="154">
        <f>+'[1]Budget 2025W'!V553</f>
        <v>0</v>
      </c>
      <c r="P465" s="131"/>
      <c r="Q465" s="156">
        <f t="shared" si="50"/>
        <v>0</v>
      </c>
    </row>
    <row r="466" spans="3:17" ht="15.75" hidden="1" thickBot="1" x14ac:dyDescent="0.25">
      <c r="C466" s="153" t="s">
        <v>102</v>
      </c>
      <c r="D466" s="75">
        <f>+'[1]Budget 2025W'!K554</f>
        <v>0</v>
      </c>
      <c r="E466" s="75">
        <f>+'[1]Budget 2025W'!L554</f>
        <v>0</v>
      </c>
      <c r="F466" s="154">
        <f>+'[1]Budget 2025W'!M554</f>
        <v>0</v>
      </c>
      <c r="G466" s="154">
        <f>+'[1]Budget 2025W'!N554</f>
        <v>0</v>
      </c>
      <c r="H466" s="154">
        <f>+'[1]Budget 2025W'!O554</f>
        <v>0</v>
      </c>
      <c r="I466" s="154">
        <f>+'[1]Budget 2025W'!P554</f>
        <v>0</v>
      </c>
      <c r="J466" s="154">
        <f>+'[1]Budget 2025W'!Q554</f>
        <v>0</v>
      </c>
      <c r="K466" s="154">
        <f>+'[1]Budget 2025W'!R554</f>
        <v>0</v>
      </c>
      <c r="L466" s="154">
        <f>+'[1]Budget 2025W'!S554</f>
        <v>0</v>
      </c>
      <c r="M466" s="154">
        <f>+'[1]Budget 2025W'!T554</f>
        <v>0</v>
      </c>
      <c r="N466" s="154">
        <f>+'[1]Budget 2025W'!U554</f>
        <v>0</v>
      </c>
      <c r="O466" s="154">
        <f>+'[1]Budget 2025W'!V554</f>
        <v>0</v>
      </c>
      <c r="P466" s="131"/>
      <c r="Q466" s="156">
        <f t="shared" si="50"/>
        <v>0</v>
      </c>
    </row>
    <row r="467" spans="3:17" ht="15.75" hidden="1" thickBot="1" x14ac:dyDescent="0.25">
      <c r="C467" s="153" t="s">
        <v>103</v>
      </c>
      <c r="D467" s="75">
        <f>+'[1]Budget 2025W'!K555</f>
        <v>0</v>
      </c>
      <c r="E467" s="75">
        <f>+'[1]Budget 2025W'!L555</f>
        <v>0</v>
      </c>
      <c r="F467" s="154">
        <f>+'[1]Budget 2025W'!M555</f>
        <v>0</v>
      </c>
      <c r="G467" s="154">
        <f>+'[1]Budget 2025W'!N555</f>
        <v>0</v>
      </c>
      <c r="H467" s="154">
        <f>+'[1]Budget 2025W'!O555</f>
        <v>0</v>
      </c>
      <c r="I467" s="154">
        <f>+'[1]Budget 2025W'!P555</f>
        <v>0</v>
      </c>
      <c r="J467" s="154">
        <f>+'[1]Budget 2025W'!Q555</f>
        <v>0</v>
      </c>
      <c r="K467" s="154">
        <f>+'[1]Budget 2025W'!R555</f>
        <v>0</v>
      </c>
      <c r="L467" s="154">
        <f>+'[1]Budget 2025W'!S555</f>
        <v>0</v>
      </c>
      <c r="M467" s="154">
        <f>+'[1]Budget 2025W'!T555</f>
        <v>0</v>
      </c>
      <c r="N467" s="154">
        <f>+'[1]Budget 2025W'!U555</f>
        <v>0</v>
      </c>
      <c r="O467" s="154">
        <f>+'[1]Budget 2025W'!V555</f>
        <v>0</v>
      </c>
      <c r="P467" s="131"/>
      <c r="Q467" s="156">
        <f t="shared" si="50"/>
        <v>0</v>
      </c>
    </row>
    <row r="468" spans="3:17" ht="15.75" hidden="1" thickBot="1" x14ac:dyDescent="0.25">
      <c r="C468" s="153" t="s">
        <v>104</v>
      </c>
      <c r="D468" s="75">
        <f>+'[1]Budget 2025W'!K556</f>
        <v>0</v>
      </c>
      <c r="E468" s="75">
        <f>+'[1]Budget 2025W'!L556</f>
        <v>0</v>
      </c>
      <c r="F468" s="154">
        <f>+'[1]Budget 2025W'!M556</f>
        <v>0</v>
      </c>
      <c r="G468" s="154">
        <f>+'[1]Budget 2025W'!N556</f>
        <v>0</v>
      </c>
      <c r="H468" s="154">
        <f>+'[1]Budget 2025W'!O556</f>
        <v>0</v>
      </c>
      <c r="I468" s="154">
        <f>+'[1]Budget 2025W'!P556</f>
        <v>0</v>
      </c>
      <c r="J468" s="154">
        <f>+'[1]Budget 2025W'!Q556</f>
        <v>0</v>
      </c>
      <c r="K468" s="154">
        <f>+'[1]Budget 2025W'!R556</f>
        <v>0</v>
      </c>
      <c r="L468" s="154">
        <f>+'[1]Budget 2025W'!S556</f>
        <v>0</v>
      </c>
      <c r="M468" s="154">
        <f>+'[1]Budget 2025W'!T556</f>
        <v>0</v>
      </c>
      <c r="N468" s="154">
        <f>+'[1]Budget 2025W'!U556</f>
        <v>0</v>
      </c>
      <c r="O468" s="154">
        <f>+'[1]Budget 2025W'!V556</f>
        <v>0</v>
      </c>
      <c r="P468" s="131"/>
      <c r="Q468" s="156">
        <f t="shared" si="50"/>
        <v>0</v>
      </c>
    </row>
    <row r="469" spans="3:17" ht="15.75" hidden="1" thickBot="1" x14ac:dyDescent="0.25">
      <c r="C469" s="153" t="s">
        <v>105</v>
      </c>
      <c r="D469" s="75">
        <f>+'[1]Budget 2025W'!K557</f>
        <v>0</v>
      </c>
      <c r="E469" s="75">
        <f>+'[1]Budget 2025W'!L557</f>
        <v>0</v>
      </c>
      <c r="F469" s="154">
        <f>+'[1]Budget 2025W'!M557</f>
        <v>0</v>
      </c>
      <c r="G469" s="154">
        <f>+'[1]Budget 2025W'!N557</f>
        <v>0</v>
      </c>
      <c r="H469" s="154">
        <f>+'[1]Budget 2025W'!O557</f>
        <v>0</v>
      </c>
      <c r="I469" s="154">
        <f>+'[1]Budget 2025W'!P557</f>
        <v>0</v>
      </c>
      <c r="J469" s="154">
        <f>+'[1]Budget 2025W'!Q557</f>
        <v>0</v>
      </c>
      <c r="K469" s="154">
        <f>+'[1]Budget 2025W'!R557</f>
        <v>0</v>
      </c>
      <c r="L469" s="154">
        <f>+'[1]Budget 2025W'!S557</f>
        <v>0</v>
      </c>
      <c r="M469" s="154">
        <f>+'[1]Budget 2025W'!T557</f>
        <v>0</v>
      </c>
      <c r="N469" s="154">
        <f>+'[1]Budget 2025W'!U557</f>
        <v>0</v>
      </c>
      <c r="O469" s="154">
        <f>+'[1]Budget 2025W'!V557</f>
        <v>0</v>
      </c>
      <c r="P469" s="131"/>
      <c r="Q469" s="156">
        <f t="shared" si="50"/>
        <v>0</v>
      </c>
    </row>
    <row r="470" spans="3:17" ht="15.75" hidden="1" thickBot="1" x14ac:dyDescent="0.25">
      <c r="C470" s="153" t="s">
        <v>106</v>
      </c>
      <c r="D470" s="75">
        <f>+'[1]Budget 2025W'!K558</f>
        <v>0</v>
      </c>
      <c r="E470" s="75">
        <f>+'[1]Budget 2025W'!L558</f>
        <v>0</v>
      </c>
      <c r="F470" s="154">
        <f>+'[1]Budget 2025W'!M558</f>
        <v>0</v>
      </c>
      <c r="G470" s="154">
        <f>+'[1]Budget 2025W'!N558</f>
        <v>0</v>
      </c>
      <c r="H470" s="154">
        <f>+'[1]Budget 2025W'!O558</f>
        <v>0</v>
      </c>
      <c r="I470" s="154">
        <f>+'[1]Budget 2025W'!P558</f>
        <v>0</v>
      </c>
      <c r="J470" s="154">
        <f>+'[1]Budget 2025W'!Q558</f>
        <v>0</v>
      </c>
      <c r="K470" s="154">
        <f>+'[1]Budget 2025W'!R558</f>
        <v>0</v>
      </c>
      <c r="L470" s="154">
        <f>+'[1]Budget 2025W'!S558</f>
        <v>0</v>
      </c>
      <c r="M470" s="154">
        <f>+'[1]Budget 2025W'!T558</f>
        <v>0</v>
      </c>
      <c r="N470" s="154">
        <f>+'[1]Budget 2025W'!U558</f>
        <v>0</v>
      </c>
      <c r="O470" s="154">
        <f>+'[1]Budget 2025W'!V558</f>
        <v>0</v>
      </c>
      <c r="P470" s="131"/>
      <c r="Q470" s="156">
        <f t="shared" si="50"/>
        <v>0</v>
      </c>
    </row>
    <row r="471" spans="3:17" ht="15.75" hidden="1" thickBot="1" x14ac:dyDescent="0.25">
      <c r="C471" s="153" t="s">
        <v>107</v>
      </c>
      <c r="D471" s="75">
        <f>+'[1]Budget 2025W'!K559</f>
        <v>0</v>
      </c>
      <c r="E471" s="75">
        <f>+'[1]Budget 2025W'!L559</f>
        <v>0</v>
      </c>
      <c r="F471" s="154">
        <f>+'[1]Budget 2025W'!M559</f>
        <v>0</v>
      </c>
      <c r="G471" s="154">
        <f>+'[1]Budget 2025W'!N559</f>
        <v>0</v>
      </c>
      <c r="H471" s="154">
        <f>+'[1]Budget 2025W'!O559</f>
        <v>0</v>
      </c>
      <c r="I471" s="154">
        <f>+'[1]Budget 2025W'!P559</f>
        <v>0</v>
      </c>
      <c r="J471" s="154">
        <f>+'[1]Budget 2025W'!Q559</f>
        <v>0</v>
      </c>
      <c r="K471" s="154">
        <f>+'[1]Budget 2025W'!R559</f>
        <v>0</v>
      </c>
      <c r="L471" s="154">
        <f>+'[1]Budget 2025W'!S559</f>
        <v>0</v>
      </c>
      <c r="M471" s="154">
        <f>+'[1]Budget 2025W'!T559</f>
        <v>0</v>
      </c>
      <c r="N471" s="154">
        <f>+'[1]Budget 2025W'!U559</f>
        <v>0</v>
      </c>
      <c r="O471" s="154">
        <f>+'[1]Budget 2025W'!V559</f>
        <v>0</v>
      </c>
      <c r="P471" s="131"/>
      <c r="Q471" s="156">
        <f t="shared" si="50"/>
        <v>0</v>
      </c>
    </row>
    <row r="472" spans="3:17" ht="15.75" hidden="1" thickBot="1" x14ac:dyDescent="0.25">
      <c r="C472" s="153" t="s">
        <v>108</v>
      </c>
      <c r="D472" s="75">
        <f>+'[1]Budget 2025W'!K560</f>
        <v>0</v>
      </c>
      <c r="E472" s="75">
        <f>+'[1]Budget 2025W'!L560</f>
        <v>0</v>
      </c>
      <c r="F472" s="154">
        <f>+'[1]Budget 2025W'!M560</f>
        <v>0</v>
      </c>
      <c r="G472" s="154">
        <f>+'[1]Budget 2025W'!N560</f>
        <v>0</v>
      </c>
      <c r="H472" s="154">
        <f>+'[1]Budget 2025W'!O560</f>
        <v>0</v>
      </c>
      <c r="I472" s="154">
        <f>+'[1]Budget 2025W'!P560</f>
        <v>0</v>
      </c>
      <c r="J472" s="154">
        <f>+'[1]Budget 2025W'!Q560</f>
        <v>0</v>
      </c>
      <c r="K472" s="154">
        <f>+'[1]Budget 2025W'!R560</f>
        <v>0</v>
      </c>
      <c r="L472" s="154">
        <f>+'[1]Budget 2025W'!S560</f>
        <v>0</v>
      </c>
      <c r="M472" s="154">
        <f>+'[1]Budget 2025W'!T560</f>
        <v>0</v>
      </c>
      <c r="N472" s="154">
        <f>+'[1]Budget 2025W'!U560</f>
        <v>0</v>
      </c>
      <c r="O472" s="154">
        <f>+'[1]Budget 2025W'!V560</f>
        <v>0</v>
      </c>
      <c r="P472" s="131"/>
      <c r="Q472" s="156">
        <f t="shared" si="50"/>
        <v>0</v>
      </c>
    </row>
    <row r="473" spans="3:17" ht="15.75" hidden="1" thickBot="1" x14ac:dyDescent="0.25">
      <c r="C473" s="153" t="s">
        <v>109</v>
      </c>
      <c r="D473" s="75">
        <f>+'[1]Budget 2025W'!K561</f>
        <v>0</v>
      </c>
      <c r="E473" s="75">
        <f>+'[1]Budget 2025W'!L561</f>
        <v>0</v>
      </c>
      <c r="F473" s="154">
        <f>+'[1]Budget 2025W'!M561</f>
        <v>0</v>
      </c>
      <c r="G473" s="154">
        <f>+'[1]Budget 2025W'!N561</f>
        <v>0</v>
      </c>
      <c r="H473" s="154">
        <f>+'[1]Budget 2025W'!O561</f>
        <v>0</v>
      </c>
      <c r="I473" s="154">
        <f>+'[1]Budget 2025W'!P561</f>
        <v>0</v>
      </c>
      <c r="J473" s="154">
        <f>+'[1]Budget 2025W'!Q561</f>
        <v>0</v>
      </c>
      <c r="K473" s="154">
        <f>+'[1]Budget 2025W'!R561</f>
        <v>0</v>
      </c>
      <c r="L473" s="154">
        <f>+'[1]Budget 2025W'!S561</f>
        <v>0</v>
      </c>
      <c r="M473" s="154">
        <f>+'[1]Budget 2025W'!T561</f>
        <v>0</v>
      </c>
      <c r="N473" s="154">
        <f>+'[1]Budget 2025W'!U561</f>
        <v>0</v>
      </c>
      <c r="O473" s="154">
        <f>+'[1]Budget 2025W'!V561</f>
        <v>0</v>
      </c>
      <c r="P473" s="131"/>
      <c r="Q473" s="156">
        <f t="shared" si="50"/>
        <v>0</v>
      </c>
    </row>
    <row r="474" spans="3:17" ht="15.75" hidden="1" thickBot="1" x14ac:dyDescent="0.25">
      <c r="C474" s="153" t="s">
        <v>110</v>
      </c>
      <c r="D474" s="75">
        <f>+'[1]Budget 2025W'!K562</f>
        <v>0</v>
      </c>
      <c r="E474" s="75">
        <f>+'[1]Budget 2025W'!L562</f>
        <v>0</v>
      </c>
      <c r="F474" s="154">
        <f>+'[1]Budget 2025W'!M562</f>
        <v>0</v>
      </c>
      <c r="G474" s="154">
        <f>+'[1]Budget 2025W'!N562</f>
        <v>0</v>
      </c>
      <c r="H474" s="154">
        <f>+'[1]Budget 2025W'!O562</f>
        <v>0</v>
      </c>
      <c r="I474" s="154">
        <f>+'[1]Budget 2025W'!P562</f>
        <v>0</v>
      </c>
      <c r="J474" s="154">
        <f>+'[1]Budget 2025W'!Q562</f>
        <v>0</v>
      </c>
      <c r="K474" s="154">
        <f>+'[1]Budget 2025W'!R562</f>
        <v>0</v>
      </c>
      <c r="L474" s="154">
        <f>+'[1]Budget 2025W'!S562</f>
        <v>0</v>
      </c>
      <c r="M474" s="154">
        <f>+'[1]Budget 2025W'!T562</f>
        <v>0</v>
      </c>
      <c r="N474" s="154">
        <f>+'[1]Budget 2025W'!U562</f>
        <v>0</v>
      </c>
      <c r="O474" s="154">
        <f>+'[1]Budget 2025W'!V562</f>
        <v>0</v>
      </c>
      <c r="P474" s="131"/>
      <c r="Q474" s="156">
        <f t="shared" si="50"/>
        <v>0</v>
      </c>
    </row>
    <row r="475" spans="3:17" ht="15.75" hidden="1" thickBot="1" x14ac:dyDescent="0.25">
      <c r="C475" s="153" t="s">
        <v>111</v>
      </c>
      <c r="D475" s="75">
        <f>+'[1]Budget 2025W'!K563</f>
        <v>0</v>
      </c>
      <c r="E475" s="75">
        <f>+'[1]Budget 2025W'!L563</f>
        <v>0</v>
      </c>
      <c r="F475" s="154">
        <f>+'[1]Budget 2025W'!M563</f>
        <v>0</v>
      </c>
      <c r="G475" s="154">
        <f>+'[1]Budget 2025W'!N563</f>
        <v>0</v>
      </c>
      <c r="H475" s="154">
        <f>+'[1]Budget 2025W'!O563</f>
        <v>0</v>
      </c>
      <c r="I475" s="154">
        <f>+'[1]Budget 2025W'!P563</f>
        <v>0</v>
      </c>
      <c r="J475" s="154">
        <f>+'[1]Budget 2025W'!Q563</f>
        <v>0</v>
      </c>
      <c r="K475" s="154">
        <f>+'[1]Budget 2025W'!R563</f>
        <v>0</v>
      </c>
      <c r="L475" s="154">
        <f>+'[1]Budget 2025W'!S563</f>
        <v>0</v>
      </c>
      <c r="M475" s="154">
        <f>+'[1]Budget 2025W'!T563</f>
        <v>0</v>
      </c>
      <c r="N475" s="154">
        <f>+'[1]Budget 2025W'!U563</f>
        <v>0</v>
      </c>
      <c r="O475" s="154">
        <f>+'[1]Budget 2025W'!V563</f>
        <v>0</v>
      </c>
      <c r="P475" s="131"/>
      <c r="Q475" s="156">
        <f t="shared" si="50"/>
        <v>0</v>
      </c>
    </row>
    <row r="476" spans="3:17" ht="15.75" hidden="1" thickBot="1" x14ac:dyDescent="0.25">
      <c r="C476" s="153" t="s">
        <v>112</v>
      </c>
      <c r="D476" s="75">
        <f>+'[1]Budget 2025W'!K564</f>
        <v>0</v>
      </c>
      <c r="E476" s="75">
        <f>+'[1]Budget 2025W'!L564</f>
        <v>0</v>
      </c>
      <c r="F476" s="154">
        <f>+'[1]Budget 2025W'!M564</f>
        <v>0</v>
      </c>
      <c r="G476" s="154">
        <f>+'[1]Budget 2025W'!N564</f>
        <v>0</v>
      </c>
      <c r="H476" s="154">
        <f>+'[1]Budget 2025W'!O564</f>
        <v>0</v>
      </c>
      <c r="I476" s="154">
        <f>+'[1]Budget 2025W'!P564</f>
        <v>0</v>
      </c>
      <c r="J476" s="154">
        <f>+'[1]Budget 2025W'!Q564</f>
        <v>0</v>
      </c>
      <c r="K476" s="154">
        <f>+'[1]Budget 2025W'!R564</f>
        <v>0</v>
      </c>
      <c r="L476" s="154">
        <f>+'[1]Budget 2025W'!S564</f>
        <v>0</v>
      </c>
      <c r="M476" s="154">
        <f>+'[1]Budget 2025W'!T564</f>
        <v>0</v>
      </c>
      <c r="N476" s="154">
        <f>+'[1]Budget 2025W'!U564</f>
        <v>0</v>
      </c>
      <c r="O476" s="154">
        <f>+'[1]Budget 2025W'!V564</f>
        <v>0</v>
      </c>
      <c r="P476" s="131"/>
      <c r="Q476" s="156">
        <f t="shared" si="50"/>
        <v>0</v>
      </c>
    </row>
    <row r="477" spans="3:17" ht="15.75" hidden="1" thickBot="1" x14ac:dyDescent="0.25">
      <c r="C477" s="153" t="s">
        <v>113</v>
      </c>
      <c r="D477" s="75">
        <f>+'[1]Budget 2025W'!K565</f>
        <v>0</v>
      </c>
      <c r="E477" s="75">
        <f>+'[1]Budget 2025W'!L565</f>
        <v>0</v>
      </c>
      <c r="F477" s="154">
        <f>+'[1]Budget 2025W'!M565</f>
        <v>0</v>
      </c>
      <c r="G477" s="154">
        <f>+'[1]Budget 2025W'!N565</f>
        <v>0</v>
      </c>
      <c r="H477" s="154">
        <f>+'[1]Budget 2025W'!O565</f>
        <v>0</v>
      </c>
      <c r="I477" s="154">
        <f>+'[1]Budget 2025W'!P565</f>
        <v>0</v>
      </c>
      <c r="J477" s="154">
        <f>+'[1]Budget 2025W'!Q565</f>
        <v>0</v>
      </c>
      <c r="K477" s="154">
        <f>+'[1]Budget 2025W'!R565</f>
        <v>0</v>
      </c>
      <c r="L477" s="154">
        <f>+'[1]Budget 2025W'!S565</f>
        <v>0</v>
      </c>
      <c r="M477" s="154">
        <f>+'[1]Budget 2025W'!T565</f>
        <v>0</v>
      </c>
      <c r="N477" s="154">
        <f>+'[1]Budget 2025W'!U565</f>
        <v>0</v>
      </c>
      <c r="O477" s="154">
        <f>+'[1]Budget 2025W'!V565</f>
        <v>0</v>
      </c>
      <c r="P477" s="131"/>
      <c r="Q477" s="156">
        <f t="shared" si="50"/>
        <v>0</v>
      </c>
    </row>
    <row r="478" spans="3:17" ht="17.25" hidden="1" thickTop="1" thickBot="1" x14ac:dyDescent="0.3">
      <c r="C478" s="198" t="s">
        <v>114</v>
      </c>
      <c r="D478" s="199">
        <f>+'[1]Budget 2025W'!K568</f>
        <v>0</v>
      </c>
      <c r="E478" s="199">
        <f>+'[1]Budget 2025W'!L568</f>
        <v>0</v>
      </c>
      <c r="F478" s="200">
        <f>+'[1]Budget 2025W'!M568</f>
        <v>0</v>
      </c>
      <c r="G478" s="200">
        <f>+'[1]Budget 2025W'!N568</f>
        <v>0</v>
      </c>
      <c r="H478" s="200">
        <f>+'[1]Budget 2025W'!O568</f>
        <v>0</v>
      </c>
      <c r="I478" s="200">
        <f>+'[1]Budget 2025W'!P568</f>
        <v>0</v>
      </c>
      <c r="J478" s="200">
        <f>+'[1]Budget 2025W'!Q568</f>
        <v>0</v>
      </c>
      <c r="K478" s="200">
        <f>+'[1]Budget 2025W'!R568</f>
        <v>0</v>
      </c>
      <c r="L478" s="200">
        <f>+'[1]Budget 2025W'!S568</f>
        <v>0</v>
      </c>
      <c r="M478" s="200">
        <f>+'[1]Budget 2025W'!T568</f>
        <v>0</v>
      </c>
      <c r="N478" s="200">
        <f>+'[1]Budget 2025W'!U568</f>
        <v>0</v>
      </c>
      <c r="O478" s="200">
        <f>+'[1]Budget 2025W'!V568</f>
        <v>0</v>
      </c>
      <c r="P478" s="131"/>
      <c r="Q478" s="165">
        <f t="shared" si="50"/>
        <v>0</v>
      </c>
    </row>
    <row r="479" spans="3:17" ht="16.5" hidden="1" thickTop="1" thickBot="1" x14ac:dyDescent="0.25">
      <c r="C479" s="201" t="s">
        <v>166</v>
      </c>
      <c r="D479" s="168" t="str">
        <f t="shared" ref="D479:O479" si="51">IFERROR(D478/D452,"")</f>
        <v/>
      </c>
      <c r="E479" s="168" t="str">
        <f t="shared" si="51"/>
        <v/>
      </c>
      <c r="F479" s="169" t="str">
        <f t="shared" si="51"/>
        <v/>
      </c>
      <c r="G479" s="169" t="str">
        <f t="shared" si="51"/>
        <v/>
      </c>
      <c r="H479" s="169" t="str">
        <f t="shared" si="51"/>
        <v/>
      </c>
      <c r="I479" s="169" t="str">
        <f t="shared" si="51"/>
        <v/>
      </c>
      <c r="J479" s="169" t="str">
        <f t="shared" si="51"/>
        <v/>
      </c>
      <c r="K479" s="169" t="str">
        <f t="shared" si="51"/>
        <v/>
      </c>
      <c r="L479" s="169" t="str">
        <f t="shared" si="51"/>
        <v/>
      </c>
      <c r="M479" s="169" t="str">
        <f t="shared" si="51"/>
        <v/>
      </c>
      <c r="N479" s="169" t="str">
        <f t="shared" si="51"/>
        <v/>
      </c>
      <c r="O479" s="169" t="str">
        <f t="shared" si="51"/>
        <v/>
      </c>
      <c r="P479" s="131"/>
      <c r="Q479" s="171"/>
    </row>
    <row r="480" spans="3:17" ht="16.5" hidden="1" thickBot="1" x14ac:dyDescent="0.3">
      <c r="C480" s="195" t="s">
        <v>44</v>
      </c>
      <c r="D480" s="196"/>
      <c r="E480" s="196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31"/>
      <c r="Q480" s="161"/>
    </row>
    <row r="481" spans="2:17" ht="15.75" hidden="1" thickBot="1" x14ac:dyDescent="0.25">
      <c r="C481" s="153" t="s">
        <v>196</v>
      </c>
      <c r="D481" s="75">
        <f>+'[1]Budget 2025W'!K585</f>
        <v>0</v>
      </c>
      <c r="E481" s="75">
        <f>+'[1]Budget 2025W'!L585</f>
        <v>0</v>
      </c>
      <c r="F481" s="154">
        <f>+'[1]Budget 2025W'!M585</f>
        <v>0</v>
      </c>
      <c r="G481" s="154">
        <f>+'[1]Budget 2025W'!N585</f>
        <v>0</v>
      </c>
      <c r="H481" s="154">
        <f>+'[1]Budget 2025W'!O585</f>
        <v>0</v>
      </c>
      <c r="I481" s="154">
        <f>+'[1]Budget 2025W'!P585</f>
        <v>0</v>
      </c>
      <c r="J481" s="154">
        <f>+'[1]Budget 2025W'!Q585</f>
        <v>0</v>
      </c>
      <c r="K481" s="154">
        <f>+'[1]Budget 2025W'!R585</f>
        <v>0</v>
      </c>
      <c r="L481" s="154">
        <f>+'[1]Budget 2025W'!S585</f>
        <v>0</v>
      </c>
      <c r="M481" s="154">
        <f>+'[1]Budget 2025W'!T585</f>
        <v>0</v>
      </c>
      <c r="N481" s="154">
        <f>+'[1]Budget 2025W'!U585</f>
        <v>0</v>
      </c>
      <c r="O481" s="154">
        <f>+'[1]Budget 2025W'!V585</f>
        <v>0</v>
      </c>
      <c r="P481" s="131"/>
      <c r="Q481" s="156">
        <f t="shared" ref="Q481:Q489" si="52">SUM(D481:O481)</f>
        <v>0</v>
      </c>
    </row>
    <row r="482" spans="2:17" ht="15.75" hidden="1" thickBot="1" x14ac:dyDescent="0.25">
      <c r="C482" s="153" t="s">
        <v>134</v>
      </c>
      <c r="D482" s="75">
        <f>+'[1]Budget 2025W'!K586</f>
        <v>0</v>
      </c>
      <c r="E482" s="75">
        <f>+'[1]Budget 2025W'!L586</f>
        <v>0</v>
      </c>
      <c r="F482" s="154">
        <f>+'[1]Budget 2025W'!M586</f>
        <v>0</v>
      </c>
      <c r="G482" s="154">
        <f>+'[1]Budget 2025W'!N586</f>
        <v>0</v>
      </c>
      <c r="H482" s="154">
        <f>+'[1]Budget 2025W'!O586</f>
        <v>0</v>
      </c>
      <c r="I482" s="154">
        <f>+'[1]Budget 2025W'!P586</f>
        <v>0</v>
      </c>
      <c r="J482" s="154">
        <f>+'[1]Budget 2025W'!Q586</f>
        <v>0</v>
      </c>
      <c r="K482" s="154">
        <f>+'[1]Budget 2025W'!R586</f>
        <v>0</v>
      </c>
      <c r="L482" s="154">
        <f>+'[1]Budget 2025W'!S586</f>
        <v>0</v>
      </c>
      <c r="M482" s="154">
        <f>+'[1]Budget 2025W'!T586</f>
        <v>0</v>
      </c>
      <c r="N482" s="154">
        <f>+'[1]Budget 2025W'!U586</f>
        <v>0</v>
      </c>
      <c r="O482" s="154">
        <f>+'[1]Budget 2025W'!V586</f>
        <v>0</v>
      </c>
      <c r="P482" s="131"/>
      <c r="Q482" s="156">
        <f t="shared" si="52"/>
        <v>0</v>
      </c>
    </row>
    <row r="483" spans="2:17" ht="15.75" hidden="1" thickBot="1" x14ac:dyDescent="0.25">
      <c r="C483" s="153" t="s">
        <v>136</v>
      </c>
      <c r="D483" s="75">
        <f>+'[1]Budget 2025W'!K587</f>
        <v>0</v>
      </c>
      <c r="E483" s="75">
        <f>+'[1]Budget 2025W'!L587</f>
        <v>0</v>
      </c>
      <c r="F483" s="154">
        <f>+'[1]Budget 2025W'!M587</f>
        <v>0</v>
      </c>
      <c r="G483" s="154">
        <f>+'[1]Budget 2025W'!N587</f>
        <v>0</v>
      </c>
      <c r="H483" s="154">
        <f>+'[1]Budget 2025W'!O587</f>
        <v>0</v>
      </c>
      <c r="I483" s="154">
        <f>+'[1]Budget 2025W'!P587</f>
        <v>0</v>
      </c>
      <c r="J483" s="154">
        <f>+'[1]Budget 2025W'!Q587</f>
        <v>0</v>
      </c>
      <c r="K483" s="154">
        <f>+'[1]Budget 2025W'!R587</f>
        <v>0</v>
      </c>
      <c r="L483" s="154">
        <f>+'[1]Budget 2025W'!S587</f>
        <v>0</v>
      </c>
      <c r="M483" s="154">
        <f>+'[1]Budget 2025W'!T587</f>
        <v>0</v>
      </c>
      <c r="N483" s="154">
        <f>+'[1]Budget 2025W'!U587</f>
        <v>0</v>
      </c>
      <c r="O483" s="154">
        <f>+'[1]Budget 2025W'!V587</f>
        <v>0</v>
      </c>
      <c r="P483" s="131"/>
      <c r="Q483" s="156">
        <f t="shared" si="52"/>
        <v>0</v>
      </c>
    </row>
    <row r="484" spans="2:17" ht="15.75" hidden="1" thickBot="1" x14ac:dyDescent="0.25">
      <c r="C484" s="153" t="s">
        <v>139</v>
      </c>
      <c r="D484" s="75">
        <f>+'[1]Budget 2025W'!K588</f>
        <v>0</v>
      </c>
      <c r="E484" s="75">
        <f>+'[1]Budget 2025W'!L588</f>
        <v>0</v>
      </c>
      <c r="F484" s="154">
        <f>+'[1]Budget 2025W'!M588</f>
        <v>0</v>
      </c>
      <c r="G484" s="154">
        <f>+'[1]Budget 2025W'!N588</f>
        <v>0</v>
      </c>
      <c r="H484" s="154">
        <f>+'[1]Budget 2025W'!O588</f>
        <v>0</v>
      </c>
      <c r="I484" s="154">
        <f>+'[1]Budget 2025W'!P588</f>
        <v>0</v>
      </c>
      <c r="J484" s="154">
        <f>+'[1]Budget 2025W'!Q588</f>
        <v>0</v>
      </c>
      <c r="K484" s="154">
        <f>+'[1]Budget 2025W'!R588</f>
        <v>0</v>
      </c>
      <c r="L484" s="154">
        <f>+'[1]Budget 2025W'!S588</f>
        <v>0</v>
      </c>
      <c r="M484" s="154">
        <f>+'[1]Budget 2025W'!T588</f>
        <v>0</v>
      </c>
      <c r="N484" s="154">
        <f>+'[1]Budget 2025W'!U588</f>
        <v>0</v>
      </c>
      <c r="O484" s="154">
        <f>+'[1]Budget 2025W'!V588</f>
        <v>0</v>
      </c>
      <c r="P484" s="131"/>
      <c r="Q484" s="156">
        <f t="shared" si="52"/>
        <v>0</v>
      </c>
    </row>
    <row r="485" spans="2:17" ht="15.75" hidden="1" thickBot="1" x14ac:dyDescent="0.25">
      <c r="C485" s="153" t="s">
        <v>140</v>
      </c>
      <c r="D485" s="75">
        <f>+'[1]Budget 2025W'!K589</f>
        <v>0</v>
      </c>
      <c r="E485" s="75">
        <f>+'[1]Budget 2025W'!L589</f>
        <v>0</v>
      </c>
      <c r="F485" s="154">
        <f>+'[1]Budget 2025W'!M589</f>
        <v>0</v>
      </c>
      <c r="G485" s="154">
        <f>+'[1]Budget 2025W'!N589</f>
        <v>0</v>
      </c>
      <c r="H485" s="154">
        <f>+'[1]Budget 2025W'!O589</f>
        <v>0</v>
      </c>
      <c r="I485" s="154">
        <f>+'[1]Budget 2025W'!P589</f>
        <v>0</v>
      </c>
      <c r="J485" s="154">
        <f>+'[1]Budget 2025W'!Q589</f>
        <v>0</v>
      </c>
      <c r="K485" s="154">
        <f>+'[1]Budget 2025W'!R589</f>
        <v>0</v>
      </c>
      <c r="L485" s="154">
        <f>+'[1]Budget 2025W'!S589</f>
        <v>0</v>
      </c>
      <c r="M485" s="154">
        <f>+'[1]Budget 2025W'!T589</f>
        <v>0</v>
      </c>
      <c r="N485" s="154">
        <f>+'[1]Budget 2025W'!U589</f>
        <v>0</v>
      </c>
      <c r="O485" s="154">
        <f>+'[1]Budget 2025W'!V589</f>
        <v>0</v>
      </c>
      <c r="P485" s="131"/>
      <c r="Q485" s="156">
        <f t="shared" si="52"/>
        <v>0</v>
      </c>
    </row>
    <row r="486" spans="2:17" ht="15.75" hidden="1" thickBot="1" x14ac:dyDescent="0.25">
      <c r="C486" s="153" t="s">
        <v>141</v>
      </c>
      <c r="D486" s="75">
        <f>+'[1]Budget 2025W'!K590</f>
        <v>0</v>
      </c>
      <c r="E486" s="75">
        <f>+'[1]Budget 2025W'!L590</f>
        <v>0</v>
      </c>
      <c r="F486" s="154">
        <f>+'[1]Budget 2025W'!M590</f>
        <v>0</v>
      </c>
      <c r="G486" s="154">
        <f>+'[1]Budget 2025W'!N590</f>
        <v>0</v>
      </c>
      <c r="H486" s="154">
        <f>+'[1]Budget 2025W'!O590</f>
        <v>0</v>
      </c>
      <c r="I486" s="154">
        <f>+'[1]Budget 2025W'!P590</f>
        <v>0</v>
      </c>
      <c r="J486" s="154">
        <f>+'[1]Budget 2025W'!Q590</f>
        <v>0</v>
      </c>
      <c r="K486" s="154">
        <f>+'[1]Budget 2025W'!R590</f>
        <v>0</v>
      </c>
      <c r="L486" s="154">
        <f>+'[1]Budget 2025W'!S590</f>
        <v>0</v>
      </c>
      <c r="M486" s="154">
        <f>+'[1]Budget 2025W'!T590</f>
        <v>0</v>
      </c>
      <c r="N486" s="154">
        <f>+'[1]Budget 2025W'!U590</f>
        <v>0</v>
      </c>
      <c r="O486" s="154">
        <f>+'[1]Budget 2025W'!V590</f>
        <v>0</v>
      </c>
      <c r="P486" s="131"/>
      <c r="Q486" s="156">
        <f t="shared" si="52"/>
        <v>0</v>
      </c>
    </row>
    <row r="487" spans="2:17" ht="15.75" hidden="1" thickBot="1" x14ac:dyDescent="0.25">
      <c r="C487" s="153" t="s">
        <v>142</v>
      </c>
      <c r="D487" s="75">
        <f>+'[1]Budget 2025W'!K591</f>
        <v>0</v>
      </c>
      <c r="E487" s="75">
        <f>+'[1]Budget 2025W'!L591</f>
        <v>0</v>
      </c>
      <c r="F487" s="154">
        <f>+'[1]Budget 2025W'!M591</f>
        <v>0</v>
      </c>
      <c r="G487" s="154">
        <f>+'[1]Budget 2025W'!N591</f>
        <v>0</v>
      </c>
      <c r="H487" s="154">
        <f>+'[1]Budget 2025W'!O591</f>
        <v>0</v>
      </c>
      <c r="I487" s="154">
        <f>+'[1]Budget 2025W'!P591</f>
        <v>0</v>
      </c>
      <c r="J487" s="154">
        <f>+'[1]Budget 2025W'!Q591</f>
        <v>0</v>
      </c>
      <c r="K487" s="154">
        <f>+'[1]Budget 2025W'!R591</f>
        <v>0</v>
      </c>
      <c r="L487" s="154">
        <f>+'[1]Budget 2025W'!S591</f>
        <v>0</v>
      </c>
      <c r="M487" s="154">
        <f>+'[1]Budget 2025W'!T591</f>
        <v>0</v>
      </c>
      <c r="N487" s="154">
        <f>+'[1]Budget 2025W'!U591</f>
        <v>0</v>
      </c>
      <c r="O487" s="154">
        <f>+'[1]Budget 2025W'!V591</f>
        <v>0</v>
      </c>
      <c r="P487" s="131"/>
      <c r="Q487" s="156">
        <f t="shared" si="52"/>
        <v>0</v>
      </c>
    </row>
    <row r="488" spans="2:17" ht="15.75" hidden="1" thickBot="1" x14ac:dyDescent="0.25">
      <c r="C488" s="153" t="s">
        <v>143</v>
      </c>
      <c r="D488" s="75">
        <f>+'[1]Budget 2025W'!K592</f>
        <v>0</v>
      </c>
      <c r="E488" s="75">
        <f>+'[1]Budget 2025W'!L592</f>
        <v>0</v>
      </c>
      <c r="F488" s="154">
        <f>+'[1]Budget 2025W'!M592</f>
        <v>0</v>
      </c>
      <c r="G488" s="154">
        <f>+'[1]Budget 2025W'!N592</f>
        <v>0</v>
      </c>
      <c r="H488" s="154">
        <f>+'[1]Budget 2025W'!O592</f>
        <v>0</v>
      </c>
      <c r="I488" s="154">
        <f>+'[1]Budget 2025W'!P592</f>
        <v>0</v>
      </c>
      <c r="J488" s="154">
        <f>+'[1]Budget 2025W'!Q592</f>
        <v>0</v>
      </c>
      <c r="K488" s="154">
        <f>+'[1]Budget 2025W'!R592</f>
        <v>0</v>
      </c>
      <c r="L488" s="154">
        <f>+'[1]Budget 2025W'!S592</f>
        <v>0</v>
      </c>
      <c r="M488" s="154">
        <f>+'[1]Budget 2025W'!T592</f>
        <v>0</v>
      </c>
      <c r="N488" s="154">
        <f>+'[1]Budget 2025W'!U592</f>
        <v>0</v>
      </c>
      <c r="O488" s="154">
        <f>+'[1]Budget 2025W'!V592</f>
        <v>0</v>
      </c>
      <c r="P488" s="131"/>
      <c r="Q488" s="156">
        <f t="shared" si="52"/>
        <v>0</v>
      </c>
    </row>
    <row r="489" spans="2:17" ht="17.25" hidden="1" thickTop="1" thickBot="1" x14ac:dyDescent="0.3">
      <c r="C489" s="198" t="s">
        <v>144</v>
      </c>
      <c r="D489" s="199">
        <f>+'[1]Budget 2025W'!K596</f>
        <v>0</v>
      </c>
      <c r="E489" s="199">
        <f>+'[1]Budget 2025W'!L596</f>
        <v>0</v>
      </c>
      <c r="F489" s="200">
        <f>+'[1]Budget 2025W'!M596</f>
        <v>0</v>
      </c>
      <c r="G489" s="200">
        <f>+'[1]Budget 2025W'!N596</f>
        <v>0</v>
      </c>
      <c r="H489" s="200">
        <f>+'[1]Budget 2025W'!O596</f>
        <v>0</v>
      </c>
      <c r="I489" s="200">
        <f>+'[1]Budget 2025W'!P596</f>
        <v>0</v>
      </c>
      <c r="J489" s="200">
        <f>+'[1]Budget 2025W'!Q596</f>
        <v>0</v>
      </c>
      <c r="K489" s="200">
        <f>+'[1]Budget 2025W'!R596</f>
        <v>0</v>
      </c>
      <c r="L489" s="200">
        <f>+'[1]Budget 2025W'!S596</f>
        <v>0</v>
      </c>
      <c r="M489" s="200">
        <f>+'[1]Budget 2025W'!T596</f>
        <v>0</v>
      </c>
      <c r="N489" s="200">
        <f>+'[1]Budget 2025W'!U596</f>
        <v>0</v>
      </c>
      <c r="O489" s="200">
        <f>+'[1]Budget 2025W'!V596</f>
        <v>0</v>
      </c>
      <c r="P489" s="131"/>
      <c r="Q489" s="165">
        <f t="shared" si="52"/>
        <v>0</v>
      </c>
    </row>
    <row r="490" spans="2:17" ht="16.5" hidden="1" thickTop="1" thickBot="1" x14ac:dyDescent="0.25">
      <c r="C490" s="201" t="s">
        <v>166</v>
      </c>
      <c r="D490" s="168" t="str">
        <f t="shared" ref="D490:O490" si="53">IFERROR(D489/D452,"")</f>
        <v/>
      </c>
      <c r="E490" s="168" t="str">
        <f t="shared" si="53"/>
        <v/>
      </c>
      <c r="F490" s="169" t="str">
        <f t="shared" si="53"/>
        <v/>
      </c>
      <c r="G490" s="169" t="str">
        <f t="shared" si="53"/>
        <v/>
      </c>
      <c r="H490" s="169" t="str">
        <f t="shared" si="53"/>
        <v/>
      </c>
      <c r="I490" s="169" t="str">
        <f t="shared" si="53"/>
        <v/>
      </c>
      <c r="J490" s="169" t="str">
        <f t="shared" si="53"/>
        <v/>
      </c>
      <c r="K490" s="169" t="str">
        <f t="shared" si="53"/>
        <v/>
      </c>
      <c r="L490" s="169" t="str">
        <f t="shared" si="53"/>
        <v/>
      </c>
      <c r="M490" s="169" t="str">
        <f t="shared" si="53"/>
        <v/>
      </c>
      <c r="N490" s="169" t="str">
        <f t="shared" si="53"/>
        <v/>
      </c>
      <c r="O490" s="169" t="str">
        <f t="shared" si="53"/>
        <v/>
      </c>
      <c r="P490" s="131"/>
      <c r="Q490" s="171"/>
    </row>
    <row r="491" spans="2:17" ht="16.5" hidden="1" thickBot="1" x14ac:dyDescent="0.3">
      <c r="B491" s="141"/>
      <c r="C491" s="203" t="s">
        <v>215</v>
      </c>
      <c r="D491" s="204">
        <f t="shared" ref="D491:O491" si="54">D452-D460-D478-D489</f>
        <v>0</v>
      </c>
      <c r="E491" s="204">
        <f t="shared" si="54"/>
        <v>0</v>
      </c>
      <c r="F491" s="205">
        <f t="shared" si="54"/>
        <v>0</v>
      </c>
      <c r="G491" s="205">
        <f t="shared" si="54"/>
        <v>0</v>
      </c>
      <c r="H491" s="205">
        <f t="shared" si="54"/>
        <v>0</v>
      </c>
      <c r="I491" s="205">
        <f t="shared" si="54"/>
        <v>0</v>
      </c>
      <c r="J491" s="205">
        <f t="shared" si="54"/>
        <v>0</v>
      </c>
      <c r="K491" s="205">
        <f t="shared" si="54"/>
        <v>0</v>
      </c>
      <c r="L491" s="205">
        <f t="shared" si="54"/>
        <v>0</v>
      </c>
      <c r="M491" s="205">
        <f t="shared" si="54"/>
        <v>0</v>
      </c>
      <c r="N491" s="205">
        <f t="shared" si="54"/>
        <v>0</v>
      </c>
      <c r="O491" s="205">
        <f t="shared" si="54"/>
        <v>0</v>
      </c>
      <c r="P491" s="131"/>
      <c r="Q491" s="183">
        <f>SUM(D491:O491)</f>
        <v>0</v>
      </c>
    </row>
    <row r="492" spans="2:17" ht="16.5" hidden="1" thickTop="1" thickBot="1" x14ac:dyDescent="0.25">
      <c r="C492" s="206" t="s">
        <v>185</v>
      </c>
      <c r="D492" s="186" t="str">
        <f t="shared" ref="D492:O492" si="55">IFERROR(D491/D452,"")</f>
        <v/>
      </c>
      <c r="E492" s="186" t="str">
        <f t="shared" si="55"/>
        <v/>
      </c>
      <c r="F492" s="187" t="str">
        <f t="shared" si="55"/>
        <v/>
      </c>
      <c r="G492" s="187" t="str">
        <f t="shared" si="55"/>
        <v/>
      </c>
      <c r="H492" s="187" t="str">
        <f t="shared" si="55"/>
        <v/>
      </c>
      <c r="I492" s="187" t="str">
        <f t="shared" si="55"/>
        <v/>
      </c>
      <c r="J492" s="187" t="str">
        <f t="shared" si="55"/>
        <v/>
      </c>
      <c r="K492" s="187" t="str">
        <f t="shared" si="55"/>
        <v/>
      </c>
      <c r="L492" s="187" t="str">
        <f t="shared" si="55"/>
        <v/>
      </c>
      <c r="M492" s="187" t="str">
        <f t="shared" si="55"/>
        <v/>
      </c>
      <c r="N492" s="187" t="str">
        <f t="shared" si="55"/>
        <v/>
      </c>
      <c r="O492" s="187" t="str">
        <f t="shared" si="55"/>
        <v/>
      </c>
      <c r="P492" s="131"/>
      <c r="Q492" s="171"/>
    </row>
    <row r="493" spans="2:17" ht="16.5" hidden="1" thickBot="1" x14ac:dyDescent="0.3">
      <c r="B493" s="141"/>
      <c r="C493" s="142" t="s">
        <v>216</v>
      </c>
      <c r="D493" s="208"/>
      <c r="E493" s="208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131"/>
      <c r="Q493" s="191"/>
    </row>
    <row r="494" spans="2:17" ht="16.5" hidden="1" thickBot="1" x14ac:dyDescent="0.3">
      <c r="C494" s="157" t="s">
        <v>26</v>
      </c>
      <c r="D494" s="158"/>
      <c r="E494" s="158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31"/>
      <c r="Q494" s="161"/>
    </row>
    <row r="495" spans="2:17" ht="15.75" hidden="1" thickBot="1" x14ac:dyDescent="0.25">
      <c r="C495" s="153" t="s">
        <v>35</v>
      </c>
      <c r="D495" s="75">
        <f>+'[1]Budget 2025W'!K601</f>
        <v>0</v>
      </c>
      <c r="E495" s="75">
        <f>+'[1]Budget 2025W'!L601</f>
        <v>0</v>
      </c>
      <c r="F495" s="154">
        <f>+'[1]Budget 2025W'!M601</f>
        <v>0</v>
      </c>
      <c r="G495" s="154">
        <f>+'[1]Budget 2025W'!N601</f>
        <v>0</v>
      </c>
      <c r="H495" s="154">
        <f>+'[1]Budget 2025W'!O601</f>
        <v>0</v>
      </c>
      <c r="I495" s="154">
        <f>+'[1]Budget 2025W'!P601</f>
        <v>0</v>
      </c>
      <c r="J495" s="154">
        <f>+'[1]Budget 2025W'!Q601</f>
        <v>0</v>
      </c>
      <c r="K495" s="154">
        <f>+'[1]Budget 2025W'!R601</f>
        <v>0</v>
      </c>
      <c r="L495" s="154">
        <f>+'[1]Budget 2025W'!S601</f>
        <v>0</v>
      </c>
      <c r="M495" s="154">
        <f>+'[1]Budget 2025W'!T601</f>
        <v>0</v>
      </c>
      <c r="N495" s="154">
        <f>+'[1]Budget 2025W'!U601</f>
        <v>0</v>
      </c>
      <c r="O495" s="154">
        <f>+'[1]Budget 2025W'!V601</f>
        <v>0</v>
      </c>
      <c r="P495" s="131"/>
      <c r="Q495" s="156">
        <f>SUM(D495:O495)</f>
        <v>0</v>
      </c>
    </row>
    <row r="496" spans="2:17" ht="15.75" hidden="1" thickBot="1" x14ac:dyDescent="0.25">
      <c r="C496" s="153" t="s">
        <v>35</v>
      </c>
      <c r="D496" s="75">
        <f>+'[1]Budget 2025W'!K602</f>
        <v>0</v>
      </c>
      <c r="E496" s="75">
        <f>+'[1]Budget 2025W'!L602</f>
        <v>0</v>
      </c>
      <c r="F496" s="154">
        <f>+'[1]Budget 2025W'!M602</f>
        <v>0</v>
      </c>
      <c r="G496" s="154">
        <f>+'[1]Budget 2025W'!N602</f>
        <v>0</v>
      </c>
      <c r="H496" s="154">
        <f>+'[1]Budget 2025W'!O602</f>
        <v>0</v>
      </c>
      <c r="I496" s="154">
        <f>+'[1]Budget 2025W'!P602</f>
        <v>0</v>
      </c>
      <c r="J496" s="154">
        <f>+'[1]Budget 2025W'!Q602</f>
        <v>0</v>
      </c>
      <c r="K496" s="154">
        <f>+'[1]Budget 2025W'!R602</f>
        <v>0</v>
      </c>
      <c r="L496" s="154">
        <f>+'[1]Budget 2025W'!S602</f>
        <v>0</v>
      </c>
      <c r="M496" s="154">
        <f>+'[1]Budget 2025W'!T602</f>
        <v>0</v>
      </c>
      <c r="N496" s="154">
        <f>+'[1]Budget 2025W'!U602</f>
        <v>0</v>
      </c>
      <c r="O496" s="154">
        <f>+'[1]Budget 2025W'!V602</f>
        <v>0</v>
      </c>
      <c r="P496" s="131"/>
      <c r="Q496" s="156">
        <f>SUM(D496:O496)</f>
        <v>0</v>
      </c>
    </row>
    <row r="497" spans="3:17" ht="15.75" hidden="1" thickBot="1" x14ac:dyDescent="0.25">
      <c r="C497" s="153" t="s">
        <v>35</v>
      </c>
      <c r="D497" s="75">
        <f>+'[1]Budget 2025W'!K603</f>
        <v>0</v>
      </c>
      <c r="E497" s="75">
        <f>+'[1]Budget 2025W'!L603</f>
        <v>0</v>
      </c>
      <c r="F497" s="154">
        <f>+'[1]Budget 2025W'!M603</f>
        <v>0</v>
      </c>
      <c r="G497" s="154">
        <f>+'[1]Budget 2025W'!N603</f>
        <v>0</v>
      </c>
      <c r="H497" s="154">
        <f>+'[1]Budget 2025W'!O603</f>
        <v>0</v>
      </c>
      <c r="I497" s="154">
        <f>+'[1]Budget 2025W'!P603</f>
        <v>0</v>
      </c>
      <c r="J497" s="154">
        <f>+'[1]Budget 2025W'!Q603</f>
        <v>0</v>
      </c>
      <c r="K497" s="154">
        <f>+'[1]Budget 2025W'!R603</f>
        <v>0</v>
      </c>
      <c r="L497" s="154">
        <f>+'[1]Budget 2025W'!S603</f>
        <v>0</v>
      </c>
      <c r="M497" s="154">
        <f>+'[1]Budget 2025W'!T603</f>
        <v>0</v>
      </c>
      <c r="N497" s="154">
        <f>+'[1]Budget 2025W'!U603</f>
        <v>0</v>
      </c>
      <c r="O497" s="154">
        <f>+'[1]Budget 2025W'!V603</f>
        <v>0</v>
      </c>
      <c r="P497" s="131"/>
      <c r="Q497" s="156">
        <f>SUM(D497:O497)</f>
        <v>0</v>
      </c>
    </row>
    <row r="498" spans="3:17" ht="15.75" hidden="1" thickBot="1" x14ac:dyDescent="0.25">
      <c r="C498" s="153" t="s">
        <v>35</v>
      </c>
      <c r="D498" s="75">
        <f>+'[1]Budget 2025W'!K604</f>
        <v>0</v>
      </c>
      <c r="E498" s="75">
        <f>+'[1]Budget 2025W'!L604</f>
        <v>0</v>
      </c>
      <c r="F498" s="154">
        <f>+'[1]Budget 2025W'!M604</f>
        <v>0</v>
      </c>
      <c r="G498" s="154">
        <f>+'[1]Budget 2025W'!N604</f>
        <v>0</v>
      </c>
      <c r="H498" s="154">
        <f>+'[1]Budget 2025W'!O604</f>
        <v>0</v>
      </c>
      <c r="I498" s="154">
        <f>+'[1]Budget 2025W'!P604</f>
        <v>0</v>
      </c>
      <c r="J498" s="154">
        <f>+'[1]Budget 2025W'!Q604</f>
        <v>0</v>
      </c>
      <c r="K498" s="154">
        <f>+'[1]Budget 2025W'!R604</f>
        <v>0</v>
      </c>
      <c r="L498" s="154">
        <f>+'[1]Budget 2025W'!S604</f>
        <v>0</v>
      </c>
      <c r="M498" s="154">
        <f>+'[1]Budget 2025W'!T604</f>
        <v>0</v>
      </c>
      <c r="N498" s="154">
        <f>+'[1]Budget 2025W'!U604</f>
        <v>0</v>
      </c>
      <c r="O498" s="154">
        <f>+'[1]Budget 2025W'!V604</f>
        <v>0</v>
      </c>
      <c r="P498" s="131"/>
      <c r="Q498" s="156">
        <f>SUM(D498:O498)</f>
        <v>0</v>
      </c>
    </row>
    <row r="499" spans="3:17" ht="17.25" hidden="1" thickTop="1" thickBot="1" x14ac:dyDescent="0.3">
      <c r="C499" s="192" t="s">
        <v>217</v>
      </c>
      <c r="D499" s="193">
        <f>+'[1]Budget 2025W'!K609</f>
        <v>0</v>
      </c>
      <c r="E499" s="193">
        <f>+'[1]Budget 2025W'!L609</f>
        <v>0</v>
      </c>
      <c r="F499" s="194">
        <f>+'[1]Budget 2025W'!M609</f>
        <v>0</v>
      </c>
      <c r="G499" s="194">
        <f>+'[1]Budget 2025W'!N609</f>
        <v>0</v>
      </c>
      <c r="H499" s="194">
        <f>+'[1]Budget 2025W'!O609</f>
        <v>0</v>
      </c>
      <c r="I499" s="194">
        <f>+'[1]Budget 2025W'!P609</f>
        <v>0</v>
      </c>
      <c r="J499" s="194">
        <f>+'[1]Budget 2025W'!Q609</f>
        <v>0</v>
      </c>
      <c r="K499" s="194">
        <f>+'[1]Budget 2025W'!R609</f>
        <v>0</v>
      </c>
      <c r="L499" s="194">
        <f>+'[1]Budget 2025W'!S609</f>
        <v>0</v>
      </c>
      <c r="M499" s="194">
        <f>+'[1]Budget 2025W'!T609</f>
        <v>0</v>
      </c>
      <c r="N499" s="194">
        <f>+'[1]Budget 2025W'!U609</f>
        <v>0</v>
      </c>
      <c r="O499" s="194">
        <f>+'[1]Budget 2025W'!V609</f>
        <v>0</v>
      </c>
      <c r="P499" s="131"/>
      <c r="Q499" s="165">
        <f>SUM(D499:O499)</f>
        <v>0</v>
      </c>
    </row>
    <row r="500" spans="3:17" ht="16.5" hidden="1" thickBot="1" x14ac:dyDescent="0.3">
      <c r="C500" s="195" t="s">
        <v>154</v>
      </c>
      <c r="D500" s="196"/>
      <c r="E500" s="196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31"/>
      <c r="Q500" s="161"/>
    </row>
    <row r="501" spans="3:17" ht="15.75" hidden="1" thickBot="1" x14ac:dyDescent="0.25">
      <c r="C501" s="153" t="s">
        <v>218</v>
      </c>
      <c r="D501" s="75">
        <f>+'[1]Budget 2025W'!K633</f>
        <v>0</v>
      </c>
      <c r="E501" s="75">
        <f>+'[1]Budget 2025W'!L633</f>
        <v>0</v>
      </c>
      <c r="F501" s="154">
        <f>+'[1]Budget 2025W'!M633</f>
        <v>0</v>
      </c>
      <c r="G501" s="154">
        <f>+'[1]Budget 2025W'!N633</f>
        <v>0</v>
      </c>
      <c r="H501" s="154">
        <f>+'[1]Budget 2025W'!O633</f>
        <v>0</v>
      </c>
      <c r="I501" s="154">
        <f>+'[1]Budget 2025W'!P633</f>
        <v>0</v>
      </c>
      <c r="J501" s="154">
        <f>+'[1]Budget 2025W'!Q633</f>
        <v>0</v>
      </c>
      <c r="K501" s="154">
        <f>+'[1]Budget 2025W'!R633</f>
        <v>0</v>
      </c>
      <c r="L501" s="154">
        <f>+'[1]Budget 2025W'!S633</f>
        <v>0</v>
      </c>
      <c r="M501" s="154">
        <f>+'[1]Budget 2025W'!T633</f>
        <v>0</v>
      </c>
      <c r="N501" s="154">
        <f>+'[1]Budget 2025W'!U633</f>
        <v>0</v>
      </c>
      <c r="O501" s="154">
        <f>+'[1]Budget 2025W'!V633</f>
        <v>0</v>
      </c>
      <c r="P501" s="131"/>
      <c r="Q501" s="156">
        <f>SUM(D501:O501)</f>
        <v>0</v>
      </c>
    </row>
    <row r="502" spans="3:17" ht="15.75" hidden="1" thickBot="1" x14ac:dyDescent="0.25">
      <c r="C502" s="153" t="s">
        <v>218</v>
      </c>
      <c r="D502" s="75">
        <f>+'[1]Budget 2025W'!K634</f>
        <v>0</v>
      </c>
      <c r="E502" s="75">
        <f>+'[1]Budget 2025W'!L634</f>
        <v>0</v>
      </c>
      <c r="F502" s="154">
        <f>+'[1]Budget 2025W'!M634</f>
        <v>0</v>
      </c>
      <c r="G502" s="154">
        <f>+'[1]Budget 2025W'!N634</f>
        <v>0</v>
      </c>
      <c r="H502" s="154">
        <f>+'[1]Budget 2025W'!O634</f>
        <v>0</v>
      </c>
      <c r="I502" s="154">
        <f>+'[1]Budget 2025W'!P634</f>
        <v>0</v>
      </c>
      <c r="J502" s="154">
        <f>+'[1]Budget 2025W'!Q634</f>
        <v>0</v>
      </c>
      <c r="K502" s="154">
        <f>+'[1]Budget 2025W'!R634</f>
        <v>0</v>
      </c>
      <c r="L502" s="154">
        <f>+'[1]Budget 2025W'!S634</f>
        <v>0</v>
      </c>
      <c r="M502" s="154">
        <f>+'[1]Budget 2025W'!T634</f>
        <v>0</v>
      </c>
      <c r="N502" s="154">
        <f>+'[1]Budget 2025W'!U634</f>
        <v>0</v>
      </c>
      <c r="O502" s="154">
        <f>+'[1]Budget 2025W'!V634</f>
        <v>0</v>
      </c>
      <c r="P502" s="131"/>
      <c r="Q502" s="156">
        <f>SUM(D502:O502)</f>
        <v>0</v>
      </c>
    </row>
    <row r="503" spans="3:17" ht="15.75" hidden="1" thickBot="1" x14ac:dyDescent="0.25">
      <c r="C503" s="153" t="s">
        <v>218</v>
      </c>
      <c r="D503" s="75">
        <f>+'[1]Budget 2025W'!K635</f>
        <v>0</v>
      </c>
      <c r="E503" s="75">
        <f>+'[1]Budget 2025W'!L635</f>
        <v>0</v>
      </c>
      <c r="F503" s="154">
        <f>+'[1]Budget 2025W'!M635</f>
        <v>0</v>
      </c>
      <c r="G503" s="154">
        <f>+'[1]Budget 2025W'!N635</f>
        <v>0</v>
      </c>
      <c r="H503" s="154">
        <f>+'[1]Budget 2025W'!O635</f>
        <v>0</v>
      </c>
      <c r="I503" s="154">
        <f>+'[1]Budget 2025W'!P635</f>
        <v>0</v>
      </c>
      <c r="J503" s="154">
        <f>+'[1]Budget 2025W'!Q635</f>
        <v>0</v>
      </c>
      <c r="K503" s="154">
        <f>+'[1]Budget 2025W'!R635</f>
        <v>0</v>
      </c>
      <c r="L503" s="154">
        <f>+'[1]Budget 2025W'!S635</f>
        <v>0</v>
      </c>
      <c r="M503" s="154">
        <f>+'[1]Budget 2025W'!T635</f>
        <v>0</v>
      </c>
      <c r="N503" s="154">
        <f>+'[1]Budget 2025W'!U635</f>
        <v>0</v>
      </c>
      <c r="O503" s="154">
        <f>+'[1]Budget 2025W'!V635</f>
        <v>0</v>
      </c>
      <c r="P503" s="131"/>
      <c r="Q503" s="156">
        <f>SUM(D503:O503)</f>
        <v>0</v>
      </c>
    </row>
    <row r="504" spans="3:17" ht="17.25" hidden="1" thickTop="1" thickBot="1" x14ac:dyDescent="0.3">
      <c r="C504" s="192" t="s">
        <v>165</v>
      </c>
      <c r="D504" s="193">
        <f>+'[1]Budget 2025W'!K637</f>
        <v>0</v>
      </c>
      <c r="E504" s="193">
        <f>+'[1]Budget 2025W'!L637</f>
        <v>0</v>
      </c>
      <c r="F504" s="194">
        <f>+'[1]Budget 2025W'!M637</f>
        <v>0</v>
      </c>
      <c r="G504" s="194">
        <f>+'[1]Budget 2025W'!N637</f>
        <v>0</v>
      </c>
      <c r="H504" s="194">
        <f>+'[1]Budget 2025W'!O637</f>
        <v>0</v>
      </c>
      <c r="I504" s="194">
        <f>+'[1]Budget 2025W'!P637</f>
        <v>0</v>
      </c>
      <c r="J504" s="194">
        <f>+'[1]Budget 2025W'!Q637</f>
        <v>0</v>
      </c>
      <c r="K504" s="194">
        <f>+'[1]Budget 2025W'!R637</f>
        <v>0</v>
      </c>
      <c r="L504" s="194">
        <f>+'[1]Budget 2025W'!S637</f>
        <v>0</v>
      </c>
      <c r="M504" s="194">
        <f>+'[1]Budget 2025W'!T637</f>
        <v>0</v>
      </c>
      <c r="N504" s="194">
        <f>+'[1]Budget 2025W'!U637</f>
        <v>0</v>
      </c>
      <c r="O504" s="194">
        <f>+'[1]Budget 2025W'!V637</f>
        <v>0</v>
      </c>
      <c r="P504" s="131"/>
      <c r="Q504" s="165">
        <f>SUM(D504:O504)</f>
        <v>0</v>
      </c>
    </row>
    <row r="505" spans="3:17" ht="16.5" hidden="1" thickBot="1" x14ac:dyDescent="0.3">
      <c r="C505" s="195" t="s">
        <v>97</v>
      </c>
      <c r="D505" s="196"/>
      <c r="E505" s="196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31"/>
      <c r="Q505" s="161"/>
    </row>
    <row r="506" spans="3:17" ht="15.75" hidden="1" thickBot="1" x14ac:dyDescent="0.25">
      <c r="C506" s="153" t="s">
        <v>98</v>
      </c>
      <c r="D506" s="75">
        <f>+'[1]Budget 2025W'!K612</f>
        <v>0</v>
      </c>
      <c r="E506" s="75">
        <f>+'[1]Budget 2025W'!L612</f>
        <v>0</v>
      </c>
      <c r="F506" s="154">
        <f>+'[1]Budget 2025W'!M612</f>
        <v>0</v>
      </c>
      <c r="G506" s="154">
        <f>+'[1]Budget 2025W'!N612</f>
        <v>0</v>
      </c>
      <c r="H506" s="154">
        <f>+'[1]Budget 2025W'!O612</f>
        <v>0</v>
      </c>
      <c r="I506" s="154">
        <f>+'[1]Budget 2025W'!P612</f>
        <v>0</v>
      </c>
      <c r="J506" s="154">
        <f>+'[1]Budget 2025W'!Q612</f>
        <v>0</v>
      </c>
      <c r="K506" s="154">
        <f>+'[1]Budget 2025W'!R612</f>
        <v>0</v>
      </c>
      <c r="L506" s="154">
        <f>+'[1]Budget 2025W'!S612</f>
        <v>0</v>
      </c>
      <c r="M506" s="154">
        <f>+'[1]Budget 2025W'!T612</f>
        <v>0</v>
      </c>
      <c r="N506" s="154">
        <f>+'[1]Budget 2025W'!U612</f>
        <v>0</v>
      </c>
      <c r="O506" s="154">
        <f>+'[1]Budget 2025W'!V612</f>
        <v>0</v>
      </c>
      <c r="P506" s="131"/>
      <c r="Q506" s="156">
        <f t="shared" ref="Q506:Q522" si="56">SUM(D506:O506)</f>
        <v>0</v>
      </c>
    </row>
    <row r="507" spans="3:17" ht="15.75" hidden="1" thickBot="1" x14ac:dyDescent="0.25">
      <c r="C507" s="153" t="s">
        <v>99</v>
      </c>
      <c r="D507" s="75">
        <f>+'[1]Budget 2025W'!K613</f>
        <v>0</v>
      </c>
      <c r="E507" s="75">
        <f>+'[1]Budget 2025W'!L613</f>
        <v>0</v>
      </c>
      <c r="F507" s="154">
        <f>+'[1]Budget 2025W'!M613</f>
        <v>0</v>
      </c>
      <c r="G507" s="154">
        <f>+'[1]Budget 2025W'!N613</f>
        <v>0</v>
      </c>
      <c r="H507" s="154">
        <f>+'[1]Budget 2025W'!O613</f>
        <v>0</v>
      </c>
      <c r="I507" s="154">
        <f>+'[1]Budget 2025W'!P613</f>
        <v>0</v>
      </c>
      <c r="J507" s="154">
        <f>+'[1]Budget 2025W'!Q613</f>
        <v>0</v>
      </c>
      <c r="K507" s="154">
        <f>+'[1]Budget 2025W'!R613</f>
        <v>0</v>
      </c>
      <c r="L507" s="154">
        <f>+'[1]Budget 2025W'!S613</f>
        <v>0</v>
      </c>
      <c r="M507" s="154">
        <f>+'[1]Budget 2025W'!T613</f>
        <v>0</v>
      </c>
      <c r="N507" s="154">
        <f>+'[1]Budget 2025W'!U613</f>
        <v>0</v>
      </c>
      <c r="O507" s="154">
        <f>+'[1]Budget 2025W'!V613</f>
        <v>0</v>
      </c>
      <c r="P507" s="131"/>
      <c r="Q507" s="156">
        <f t="shared" si="56"/>
        <v>0</v>
      </c>
    </row>
    <row r="508" spans="3:17" ht="15.75" hidden="1" thickBot="1" x14ac:dyDescent="0.25">
      <c r="C508" s="153" t="s">
        <v>100</v>
      </c>
      <c r="D508" s="75">
        <f>+'[1]Budget 2025W'!K614</f>
        <v>0</v>
      </c>
      <c r="E508" s="75">
        <f>+'[1]Budget 2025W'!L614</f>
        <v>0</v>
      </c>
      <c r="F508" s="154">
        <f>+'[1]Budget 2025W'!M614</f>
        <v>0</v>
      </c>
      <c r="G508" s="154">
        <f>+'[1]Budget 2025W'!N614</f>
        <v>0</v>
      </c>
      <c r="H508" s="154">
        <f>+'[1]Budget 2025W'!O614</f>
        <v>0</v>
      </c>
      <c r="I508" s="154">
        <f>+'[1]Budget 2025W'!P614</f>
        <v>0</v>
      </c>
      <c r="J508" s="154">
        <f>+'[1]Budget 2025W'!Q614</f>
        <v>0</v>
      </c>
      <c r="K508" s="154">
        <f>+'[1]Budget 2025W'!R614</f>
        <v>0</v>
      </c>
      <c r="L508" s="154">
        <f>+'[1]Budget 2025W'!S614</f>
        <v>0</v>
      </c>
      <c r="M508" s="154">
        <f>+'[1]Budget 2025W'!T614</f>
        <v>0</v>
      </c>
      <c r="N508" s="154">
        <f>+'[1]Budget 2025W'!U614</f>
        <v>0</v>
      </c>
      <c r="O508" s="154">
        <f>+'[1]Budget 2025W'!V614</f>
        <v>0</v>
      </c>
      <c r="P508" s="131"/>
      <c r="Q508" s="156">
        <f t="shared" si="56"/>
        <v>0</v>
      </c>
    </row>
    <row r="509" spans="3:17" ht="15.75" hidden="1" thickBot="1" x14ac:dyDescent="0.25">
      <c r="C509" s="153" t="s">
        <v>101</v>
      </c>
      <c r="D509" s="75">
        <f>+'[1]Budget 2025W'!K615</f>
        <v>0</v>
      </c>
      <c r="E509" s="75">
        <f>+'[1]Budget 2025W'!L615</f>
        <v>0</v>
      </c>
      <c r="F509" s="154">
        <f>+'[1]Budget 2025W'!M615</f>
        <v>0</v>
      </c>
      <c r="G509" s="154">
        <f>+'[1]Budget 2025W'!N615</f>
        <v>0</v>
      </c>
      <c r="H509" s="154">
        <f>+'[1]Budget 2025W'!O615</f>
        <v>0</v>
      </c>
      <c r="I509" s="154">
        <f>+'[1]Budget 2025W'!P615</f>
        <v>0</v>
      </c>
      <c r="J509" s="154">
        <f>+'[1]Budget 2025W'!Q615</f>
        <v>0</v>
      </c>
      <c r="K509" s="154">
        <f>+'[1]Budget 2025W'!R615</f>
        <v>0</v>
      </c>
      <c r="L509" s="154">
        <f>+'[1]Budget 2025W'!S615</f>
        <v>0</v>
      </c>
      <c r="M509" s="154">
        <f>+'[1]Budget 2025W'!T615</f>
        <v>0</v>
      </c>
      <c r="N509" s="154">
        <f>+'[1]Budget 2025W'!U615</f>
        <v>0</v>
      </c>
      <c r="O509" s="154">
        <f>+'[1]Budget 2025W'!V615</f>
        <v>0</v>
      </c>
      <c r="P509" s="131"/>
      <c r="Q509" s="156">
        <f t="shared" si="56"/>
        <v>0</v>
      </c>
    </row>
    <row r="510" spans="3:17" ht="15.75" hidden="1" thickBot="1" x14ac:dyDescent="0.25">
      <c r="C510" s="153" t="s">
        <v>102</v>
      </c>
      <c r="D510" s="75">
        <f>+'[1]Budget 2025W'!K616</f>
        <v>0</v>
      </c>
      <c r="E510" s="75">
        <f>+'[1]Budget 2025W'!L616</f>
        <v>0</v>
      </c>
      <c r="F510" s="154">
        <f>+'[1]Budget 2025W'!M616</f>
        <v>0</v>
      </c>
      <c r="G510" s="154">
        <f>+'[1]Budget 2025W'!N616</f>
        <v>0</v>
      </c>
      <c r="H510" s="154">
        <f>+'[1]Budget 2025W'!O616</f>
        <v>0</v>
      </c>
      <c r="I510" s="154">
        <f>+'[1]Budget 2025W'!P616</f>
        <v>0</v>
      </c>
      <c r="J510" s="154">
        <f>+'[1]Budget 2025W'!Q616</f>
        <v>0</v>
      </c>
      <c r="K510" s="154">
        <f>+'[1]Budget 2025W'!R616</f>
        <v>0</v>
      </c>
      <c r="L510" s="154">
        <f>+'[1]Budget 2025W'!S616</f>
        <v>0</v>
      </c>
      <c r="M510" s="154">
        <f>+'[1]Budget 2025W'!T616</f>
        <v>0</v>
      </c>
      <c r="N510" s="154">
        <f>+'[1]Budget 2025W'!U616</f>
        <v>0</v>
      </c>
      <c r="O510" s="154">
        <f>+'[1]Budget 2025W'!V616</f>
        <v>0</v>
      </c>
      <c r="P510" s="131"/>
      <c r="Q510" s="156">
        <f t="shared" si="56"/>
        <v>0</v>
      </c>
    </row>
    <row r="511" spans="3:17" ht="15.75" hidden="1" thickBot="1" x14ac:dyDescent="0.25">
      <c r="C511" s="153" t="s">
        <v>103</v>
      </c>
      <c r="D511" s="75">
        <f>+'[1]Budget 2025W'!K617</f>
        <v>0</v>
      </c>
      <c r="E511" s="75">
        <f>+'[1]Budget 2025W'!L617</f>
        <v>0</v>
      </c>
      <c r="F511" s="154">
        <f>+'[1]Budget 2025W'!M617</f>
        <v>0</v>
      </c>
      <c r="G511" s="154">
        <f>+'[1]Budget 2025W'!N617</f>
        <v>0</v>
      </c>
      <c r="H511" s="154">
        <f>+'[1]Budget 2025W'!O617</f>
        <v>0</v>
      </c>
      <c r="I511" s="154">
        <f>+'[1]Budget 2025W'!P617</f>
        <v>0</v>
      </c>
      <c r="J511" s="154">
        <f>+'[1]Budget 2025W'!Q617</f>
        <v>0</v>
      </c>
      <c r="K511" s="154">
        <f>+'[1]Budget 2025W'!R617</f>
        <v>0</v>
      </c>
      <c r="L511" s="154">
        <f>+'[1]Budget 2025W'!S617</f>
        <v>0</v>
      </c>
      <c r="M511" s="154">
        <f>+'[1]Budget 2025W'!T617</f>
        <v>0</v>
      </c>
      <c r="N511" s="154">
        <f>+'[1]Budget 2025W'!U617</f>
        <v>0</v>
      </c>
      <c r="O511" s="154">
        <f>+'[1]Budget 2025W'!V617</f>
        <v>0</v>
      </c>
      <c r="P511" s="131"/>
      <c r="Q511" s="156">
        <f t="shared" si="56"/>
        <v>0</v>
      </c>
    </row>
    <row r="512" spans="3:17" ht="15.75" hidden="1" thickBot="1" x14ac:dyDescent="0.25">
      <c r="C512" s="153" t="s">
        <v>104</v>
      </c>
      <c r="D512" s="75">
        <f>+'[1]Budget 2025W'!K618</f>
        <v>0</v>
      </c>
      <c r="E512" s="75">
        <f>+'[1]Budget 2025W'!L618</f>
        <v>0</v>
      </c>
      <c r="F512" s="154">
        <f>+'[1]Budget 2025W'!M618</f>
        <v>0</v>
      </c>
      <c r="G512" s="154">
        <f>+'[1]Budget 2025W'!N618</f>
        <v>0</v>
      </c>
      <c r="H512" s="154">
        <f>+'[1]Budget 2025W'!O618</f>
        <v>0</v>
      </c>
      <c r="I512" s="154">
        <f>+'[1]Budget 2025W'!P618</f>
        <v>0</v>
      </c>
      <c r="J512" s="154">
        <f>+'[1]Budget 2025W'!Q618</f>
        <v>0</v>
      </c>
      <c r="K512" s="154">
        <f>+'[1]Budget 2025W'!R618</f>
        <v>0</v>
      </c>
      <c r="L512" s="154">
        <f>+'[1]Budget 2025W'!S618</f>
        <v>0</v>
      </c>
      <c r="M512" s="154">
        <f>+'[1]Budget 2025W'!T618</f>
        <v>0</v>
      </c>
      <c r="N512" s="154">
        <f>+'[1]Budget 2025W'!U618</f>
        <v>0</v>
      </c>
      <c r="O512" s="154">
        <f>+'[1]Budget 2025W'!V618</f>
        <v>0</v>
      </c>
      <c r="P512" s="131"/>
      <c r="Q512" s="156">
        <f t="shared" si="56"/>
        <v>0</v>
      </c>
    </row>
    <row r="513" spans="3:17" ht="15.75" hidden="1" thickBot="1" x14ac:dyDescent="0.25">
      <c r="C513" s="153" t="s">
        <v>105</v>
      </c>
      <c r="D513" s="75">
        <f>+'[1]Budget 2025W'!K619</f>
        <v>0</v>
      </c>
      <c r="E513" s="75">
        <f>+'[1]Budget 2025W'!L619</f>
        <v>0</v>
      </c>
      <c r="F513" s="154">
        <f>+'[1]Budget 2025W'!M619</f>
        <v>0</v>
      </c>
      <c r="G513" s="154">
        <f>+'[1]Budget 2025W'!N619</f>
        <v>0</v>
      </c>
      <c r="H513" s="154">
        <f>+'[1]Budget 2025W'!O619</f>
        <v>0</v>
      </c>
      <c r="I513" s="154">
        <f>+'[1]Budget 2025W'!P619</f>
        <v>0</v>
      </c>
      <c r="J513" s="154">
        <f>+'[1]Budget 2025W'!Q619</f>
        <v>0</v>
      </c>
      <c r="K513" s="154">
        <f>+'[1]Budget 2025W'!R619</f>
        <v>0</v>
      </c>
      <c r="L513" s="154">
        <f>+'[1]Budget 2025W'!S619</f>
        <v>0</v>
      </c>
      <c r="M513" s="154">
        <f>+'[1]Budget 2025W'!T619</f>
        <v>0</v>
      </c>
      <c r="N513" s="154">
        <f>+'[1]Budget 2025W'!U619</f>
        <v>0</v>
      </c>
      <c r="O513" s="154">
        <f>+'[1]Budget 2025W'!V619</f>
        <v>0</v>
      </c>
      <c r="P513" s="131"/>
      <c r="Q513" s="156">
        <f t="shared" si="56"/>
        <v>0</v>
      </c>
    </row>
    <row r="514" spans="3:17" ht="15.75" hidden="1" thickBot="1" x14ac:dyDescent="0.25">
      <c r="C514" s="153" t="s">
        <v>106</v>
      </c>
      <c r="D514" s="75">
        <f>+'[1]Budget 2025W'!K620</f>
        <v>0</v>
      </c>
      <c r="E514" s="75">
        <f>+'[1]Budget 2025W'!L620</f>
        <v>0</v>
      </c>
      <c r="F514" s="154">
        <f>+'[1]Budget 2025W'!M620</f>
        <v>0</v>
      </c>
      <c r="G514" s="154">
        <f>+'[1]Budget 2025W'!N620</f>
        <v>0</v>
      </c>
      <c r="H514" s="154">
        <f>+'[1]Budget 2025W'!O620</f>
        <v>0</v>
      </c>
      <c r="I514" s="154">
        <f>+'[1]Budget 2025W'!P620</f>
        <v>0</v>
      </c>
      <c r="J514" s="154">
        <f>+'[1]Budget 2025W'!Q620</f>
        <v>0</v>
      </c>
      <c r="K514" s="154">
        <f>+'[1]Budget 2025W'!R620</f>
        <v>0</v>
      </c>
      <c r="L514" s="154">
        <f>+'[1]Budget 2025W'!S620</f>
        <v>0</v>
      </c>
      <c r="M514" s="154">
        <f>+'[1]Budget 2025W'!T620</f>
        <v>0</v>
      </c>
      <c r="N514" s="154">
        <f>+'[1]Budget 2025W'!U620</f>
        <v>0</v>
      </c>
      <c r="O514" s="154">
        <f>+'[1]Budget 2025W'!V620</f>
        <v>0</v>
      </c>
      <c r="P514" s="131"/>
      <c r="Q514" s="156">
        <f t="shared" si="56"/>
        <v>0</v>
      </c>
    </row>
    <row r="515" spans="3:17" ht="15.75" hidden="1" thickBot="1" x14ac:dyDescent="0.25">
      <c r="C515" s="153" t="s">
        <v>107</v>
      </c>
      <c r="D515" s="75">
        <f>+'[1]Budget 2025W'!K621</f>
        <v>0</v>
      </c>
      <c r="E515" s="75">
        <f>+'[1]Budget 2025W'!L621</f>
        <v>0</v>
      </c>
      <c r="F515" s="154">
        <f>+'[1]Budget 2025W'!M621</f>
        <v>0</v>
      </c>
      <c r="G515" s="154">
        <f>+'[1]Budget 2025W'!N621</f>
        <v>0</v>
      </c>
      <c r="H515" s="154">
        <f>+'[1]Budget 2025W'!O621</f>
        <v>0</v>
      </c>
      <c r="I515" s="154">
        <f>+'[1]Budget 2025W'!P621</f>
        <v>0</v>
      </c>
      <c r="J515" s="154">
        <f>+'[1]Budget 2025W'!Q621</f>
        <v>0</v>
      </c>
      <c r="K515" s="154">
        <f>+'[1]Budget 2025W'!R621</f>
        <v>0</v>
      </c>
      <c r="L515" s="154">
        <f>+'[1]Budget 2025W'!S621</f>
        <v>0</v>
      </c>
      <c r="M515" s="154">
        <f>+'[1]Budget 2025W'!T621</f>
        <v>0</v>
      </c>
      <c r="N515" s="154">
        <f>+'[1]Budget 2025W'!U621</f>
        <v>0</v>
      </c>
      <c r="O515" s="154">
        <f>+'[1]Budget 2025W'!V621</f>
        <v>0</v>
      </c>
      <c r="P515" s="131"/>
      <c r="Q515" s="156">
        <f t="shared" si="56"/>
        <v>0</v>
      </c>
    </row>
    <row r="516" spans="3:17" ht="15.75" hidden="1" thickBot="1" x14ac:dyDescent="0.25">
      <c r="C516" s="153" t="s">
        <v>108</v>
      </c>
      <c r="D516" s="75">
        <f>+'[1]Budget 2025W'!K622</f>
        <v>0</v>
      </c>
      <c r="E516" s="75">
        <f>+'[1]Budget 2025W'!L622</f>
        <v>0</v>
      </c>
      <c r="F516" s="154">
        <f>+'[1]Budget 2025W'!M622</f>
        <v>0</v>
      </c>
      <c r="G516" s="154">
        <f>+'[1]Budget 2025W'!N622</f>
        <v>0</v>
      </c>
      <c r="H516" s="154">
        <f>+'[1]Budget 2025W'!O622</f>
        <v>0</v>
      </c>
      <c r="I516" s="154">
        <f>+'[1]Budget 2025W'!P622</f>
        <v>0</v>
      </c>
      <c r="J516" s="154">
        <f>+'[1]Budget 2025W'!Q622</f>
        <v>0</v>
      </c>
      <c r="K516" s="154">
        <f>+'[1]Budget 2025W'!R622</f>
        <v>0</v>
      </c>
      <c r="L516" s="154">
        <f>+'[1]Budget 2025W'!S622</f>
        <v>0</v>
      </c>
      <c r="M516" s="154">
        <f>+'[1]Budget 2025W'!T622</f>
        <v>0</v>
      </c>
      <c r="N516" s="154">
        <f>+'[1]Budget 2025W'!U622</f>
        <v>0</v>
      </c>
      <c r="O516" s="154">
        <f>+'[1]Budget 2025W'!V622</f>
        <v>0</v>
      </c>
      <c r="P516" s="131"/>
      <c r="Q516" s="156">
        <f t="shared" si="56"/>
        <v>0</v>
      </c>
    </row>
    <row r="517" spans="3:17" ht="15.75" hidden="1" thickBot="1" x14ac:dyDescent="0.25">
      <c r="C517" s="153" t="s">
        <v>109</v>
      </c>
      <c r="D517" s="75">
        <f>+'[1]Budget 2025W'!K623</f>
        <v>0</v>
      </c>
      <c r="E517" s="75">
        <f>+'[1]Budget 2025W'!L623</f>
        <v>0</v>
      </c>
      <c r="F517" s="154">
        <f>+'[1]Budget 2025W'!M623</f>
        <v>0</v>
      </c>
      <c r="G517" s="154">
        <f>+'[1]Budget 2025W'!N623</f>
        <v>0</v>
      </c>
      <c r="H517" s="154">
        <f>+'[1]Budget 2025W'!O623</f>
        <v>0</v>
      </c>
      <c r="I517" s="154">
        <f>+'[1]Budget 2025W'!P623</f>
        <v>0</v>
      </c>
      <c r="J517" s="154">
        <f>+'[1]Budget 2025W'!Q623</f>
        <v>0</v>
      </c>
      <c r="K517" s="154">
        <f>+'[1]Budget 2025W'!R623</f>
        <v>0</v>
      </c>
      <c r="L517" s="154">
        <f>+'[1]Budget 2025W'!S623</f>
        <v>0</v>
      </c>
      <c r="M517" s="154">
        <f>+'[1]Budget 2025W'!T623</f>
        <v>0</v>
      </c>
      <c r="N517" s="154">
        <f>+'[1]Budget 2025W'!U623</f>
        <v>0</v>
      </c>
      <c r="O517" s="154">
        <f>+'[1]Budget 2025W'!V623</f>
        <v>0</v>
      </c>
      <c r="P517" s="131"/>
      <c r="Q517" s="156">
        <f t="shared" si="56"/>
        <v>0</v>
      </c>
    </row>
    <row r="518" spans="3:17" ht="15.75" hidden="1" thickBot="1" x14ac:dyDescent="0.25">
      <c r="C518" s="153" t="s">
        <v>110</v>
      </c>
      <c r="D518" s="75">
        <f>+'[1]Budget 2025W'!K624</f>
        <v>0</v>
      </c>
      <c r="E518" s="75">
        <f>+'[1]Budget 2025W'!L624</f>
        <v>0</v>
      </c>
      <c r="F518" s="154">
        <f>+'[1]Budget 2025W'!M624</f>
        <v>0</v>
      </c>
      <c r="G518" s="154">
        <f>+'[1]Budget 2025W'!N624</f>
        <v>0</v>
      </c>
      <c r="H518" s="154">
        <f>+'[1]Budget 2025W'!O624</f>
        <v>0</v>
      </c>
      <c r="I518" s="154">
        <f>+'[1]Budget 2025W'!P624</f>
        <v>0</v>
      </c>
      <c r="J518" s="154">
        <f>+'[1]Budget 2025W'!Q624</f>
        <v>0</v>
      </c>
      <c r="K518" s="154">
        <f>+'[1]Budget 2025W'!R624</f>
        <v>0</v>
      </c>
      <c r="L518" s="154">
        <f>+'[1]Budget 2025W'!S624</f>
        <v>0</v>
      </c>
      <c r="M518" s="154">
        <f>+'[1]Budget 2025W'!T624</f>
        <v>0</v>
      </c>
      <c r="N518" s="154">
        <f>+'[1]Budget 2025W'!U624</f>
        <v>0</v>
      </c>
      <c r="O518" s="154">
        <f>+'[1]Budget 2025W'!V624</f>
        <v>0</v>
      </c>
      <c r="P518" s="131"/>
      <c r="Q518" s="156">
        <f t="shared" si="56"/>
        <v>0</v>
      </c>
    </row>
    <row r="519" spans="3:17" ht="15.75" hidden="1" thickBot="1" x14ac:dyDescent="0.25">
      <c r="C519" s="153" t="s">
        <v>111</v>
      </c>
      <c r="D519" s="75">
        <f>+'[1]Budget 2025W'!K625</f>
        <v>0</v>
      </c>
      <c r="E519" s="75">
        <f>+'[1]Budget 2025W'!L625</f>
        <v>0</v>
      </c>
      <c r="F519" s="154">
        <f>+'[1]Budget 2025W'!M625</f>
        <v>0</v>
      </c>
      <c r="G519" s="154">
        <f>+'[1]Budget 2025W'!N625</f>
        <v>0</v>
      </c>
      <c r="H519" s="154">
        <f>+'[1]Budget 2025W'!O625</f>
        <v>0</v>
      </c>
      <c r="I519" s="154">
        <f>+'[1]Budget 2025W'!P625</f>
        <v>0</v>
      </c>
      <c r="J519" s="154">
        <f>+'[1]Budget 2025W'!Q625</f>
        <v>0</v>
      </c>
      <c r="K519" s="154">
        <f>+'[1]Budget 2025W'!R625</f>
        <v>0</v>
      </c>
      <c r="L519" s="154">
        <f>+'[1]Budget 2025W'!S625</f>
        <v>0</v>
      </c>
      <c r="M519" s="154">
        <f>+'[1]Budget 2025W'!T625</f>
        <v>0</v>
      </c>
      <c r="N519" s="154">
        <f>+'[1]Budget 2025W'!U625</f>
        <v>0</v>
      </c>
      <c r="O519" s="154">
        <f>+'[1]Budget 2025W'!V625</f>
        <v>0</v>
      </c>
      <c r="P519" s="131"/>
      <c r="Q519" s="156">
        <f t="shared" si="56"/>
        <v>0</v>
      </c>
    </row>
    <row r="520" spans="3:17" ht="15.75" hidden="1" thickBot="1" x14ac:dyDescent="0.25">
      <c r="C520" s="153" t="s">
        <v>112</v>
      </c>
      <c r="D520" s="75">
        <f>+'[1]Budget 2025W'!K626</f>
        <v>0</v>
      </c>
      <c r="E520" s="75">
        <f>+'[1]Budget 2025W'!L626</f>
        <v>0</v>
      </c>
      <c r="F520" s="154">
        <f>+'[1]Budget 2025W'!M626</f>
        <v>0</v>
      </c>
      <c r="G520" s="154">
        <f>+'[1]Budget 2025W'!N626</f>
        <v>0</v>
      </c>
      <c r="H520" s="154">
        <f>+'[1]Budget 2025W'!O626</f>
        <v>0</v>
      </c>
      <c r="I520" s="154">
        <f>+'[1]Budget 2025W'!P626</f>
        <v>0</v>
      </c>
      <c r="J520" s="154">
        <f>+'[1]Budget 2025W'!Q626</f>
        <v>0</v>
      </c>
      <c r="K520" s="154">
        <f>+'[1]Budget 2025W'!R626</f>
        <v>0</v>
      </c>
      <c r="L520" s="154">
        <f>+'[1]Budget 2025W'!S626</f>
        <v>0</v>
      </c>
      <c r="M520" s="154">
        <f>+'[1]Budget 2025W'!T626</f>
        <v>0</v>
      </c>
      <c r="N520" s="154">
        <f>+'[1]Budget 2025W'!U626</f>
        <v>0</v>
      </c>
      <c r="O520" s="154">
        <f>+'[1]Budget 2025W'!V626</f>
        <v>0</v>
      </c>
      <c r="P520" s="131"/>
      <c r="Q520" s="156">
        <f t="shared" si="56"/>
        <v>0</v>
      </c>
    </row>
    <row r="521" spans="3:17" ht="15.75" hidden="1" thickBot="1" x14ac:dyDescent="0.25">
      <c r="C521" s="153" t="s">
        <v>113</v>
      </c>
      <c r="D521" s="75">
        <f>+'[1]Budget 2025W'!K627</f>
        <v>0</v>
      </c>
      <c r="E521" s="75">
        <f>+'[1]Budget 2025W'!L627</f>
        <v>0</v>
      </c>
      <c r="F521" s="154">
        <f>+'[1]Budget 2025W'!M627</f>
        <v>0</v>
      </c>
      <c r="G521" s="154">
        <f>+'[1]Budget 2025W'!N627</f>
        <v>0</v>
      </c>
      <c r="H521" s="154">
        <f>+'[1]Budget 2025W'!O627</f>
        <v>0</v>
      </c>
      <c r="I521" s="154">
        <f>+'[1]Budget 2025W'!P627</f>
        <v>0</v>
      </c>
      <c r="J521" s="154">
        <f>+'[1]Budget 2025W'!Q627</f>
        <v>0</v>
      </c>
      <c r="K521" s="154">
        <f>+'[1]Budget 2025W'!R627</f>
        <v>0</v>
      </c>
      <c r="L521" s="154">
        <f>+'[1]Budget 2025W'!S627</f>
        <v>0</v>
      </c>
      <c r="M521" s="154">
        <f>+'[1]Budget 2025W'!T627</f>
        <v>0</v>
      </c>
      <c r="N521" s="154">
        <f>+'[1]Budget 2025W'!U627</f>
        <v>0</v>
      </c>
      <c r="O521" s="154">
        <f>+'[1]Budget 2025W'!V627</f>
        <v>0</v>
      </c>
      <c r="P521" s="131"/>
      <c r="Q521" s="156">
        <f t="shared" si="56"/>
        <v>0</v>
      </c>
    </row>
    <row r="522" spans="3:17" ht="17.25" hidden="1" thickTop="1" thickBot="1" x14ac:dyDescent="0.3">
      <c r="C522" s="198" t="s">
        <v>114</v>
      </c>
      <c r="D522" s="199">
        <f>+'[1]Budget 2025W'!K630</f>
        <v>0</v>
      </c>
      <c r="E522" s="199">
        <f>+'[1]Budget 2025W'!L630</f>
        <v>0</v>
      </c>
      <c r="F522" s="200">
        <f>+'[1]Budget 2025W'!M630</f>
        <v>0</v>
      </c>
      <c r="G522" s="200">
        <f>+'[1]Budget 2025W'!N630</f>
        <v>0</v>
      </c>
      <c r="H522" s="200">
        <f>+'[1]Budget 2025W'!O630</f>
        <v>0</v>
      </c>
      <c r="I522" s="200">
        <f>+'[1]Budget 2025W'!P630</f>
        <v>0</v>
      </c>
      <c r="J522" s="200">
        <f>+'[1]Budget 2025W'!Q630</f>
        <v>0</v>
      </c>
      <c r="K522" s="200">
        <f>+'[1]Budget 2025W'!R630</f>
        <v>0</v>
      </c>
      <c r="L522" s="200">
        <f>+'[1]Budget 2025W'!S630</f>
        <v>0</v>
      </c>
      <c r="M522" s="200">
        <f>+'[1]Budget 2025W'!T630</f>
        <v>0</v>
      </c>
      <c r="N522" s="200">
        <f>+'[1]Budget 2025W'!U630</f>
        <v>0</v>
      </c>
      <c r="O522" s="200">
        <f>+'[1]Budget 2025W'!V630</f>
        <v>0</v>
      </c>
      <c r="P522" s="131"/>
      <c r="Q522" s="165">
        <f t="shared" si="56"/>
        <v>0</v>
      </c>
    </row>
    <row r="523" spans="3:17" ht="16.5" hidden="1" thickTop="1" thickBot="1" x14ac:dyDescent="0.25">
      <c r="C523" s="201" t="s">
        <v>166</v>
      </c>
      <c r="D523" s="168" t="str">
        <f t="shared" ref="D523:O523" si="57">IFERROR(D522/D499,"")</f>
        <v/>
      </c>
      <c r="E523" s="168" t="str">
        <f t="shared" si="57"/>
        <v/>
      </c>
      <c r="F523" s="169" t="str">
        <f t="shared" si="57"/>
        <v/>
      </c>
      <c r="G523" s="169" t="str">
        <f t="shared" si="57"/>
        <v/>
      </c>
      <c r="H523" s="169" t="str">
        <f t="shared" si="57"/>
        <v/>
      </c>
      <c r="I523" s="169" t="str">
        <f t="shared" si="57"/>
        <v/>
      </c>
      <c r="J523" s="169" t="str">
        <f t="shared" si="57"/>
        <v/>
      </c>
      <c r="K523" s="169" t="str">
        <f t="shared" si="57"/>
        <v/>
      </c>
      <c r="L523" s="169" t="str">
        <f t="shared" si="57"/>
        <v/>
      </c>
      <c r="M523" s="169" t="str">
        <f t="shared" si="57"/>
        <v/>
      </c>
      <c r="N523" s="169" t="str">
        <f t="shared" si="57"/>
        <v/>
      </c>
      <c r="O523" s="169" t="str">
        <f t="shared" si="57"/>
        <v/>
      </c>
      <c r="P523" s="131"/>
      <c r="Q523" s="171"/>
    </row>
    <row r="524" spans="3:17" ht="16.5" hidden="1" thickBot="1" x14ac:dyDescent="0.3">
      <c r="C524" s="195" t="s">
        <v>44</v>
      </c>
      <c r="D524" s="196"/>
      <c r="E524" s="196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31"/>
      <c r="Q524" s="161"/>
    </row>
    <row r="525" spans="3:17" ht="15.75" hidden="1" thickBot="1" x14ac:dyDescent="0.25">
      <c r="C525" s="153" t="s">
        <v>196</v>
      </c>
      <c r="D525" s="75">
        <f>+'[1]Budget 2025W'!K640</f>
        <v>0</v>
      </c>
      <c r="E525" s="75">
        <f>+'[1]Budget 2025W'!L640</f>
        <v>0</v>
      </c>
      <c r="F525" s="154">
        <f>+'[1]Budget 2025W'!M640</f>
        <v>0</v>
      </c>
      <c r="G525" s="154">
        <f>+'[1]Budget 2025W'!N640</f>
        <v>0</v>
      </c>
      <c r="H525" s="154">
        <f>+'[1]Budget 2025W'!O640</f>
        <v>0</v>
      </c>
      <c r="I525" s="154">
        <f>+'[1]Budget 2025W'!P640</f>
        <v>0</v>
      </c>
      <c r="J525" s="154">
        <f>+'[1]Budget 2025W'!Q640</f>
        <v>0</v>
      </c>
      <c r="K525" s="154">
        <f>+'[1]Budget 2025W'!R640</f>
        <v>0</v>
      </c>
      <c r="L525" s="154">
        <f>+'[1]Budget 2025W'!S640</f>
        <v>0</v>
      </c>
      <c r="M525" s="154">
        <f>+'[1]Budget 2025W'!T640</f>
        <v>0</v>
      </c>
      <c r="N525" s="154">
        <f>+'[1]Budget 2025W'!U640</f>
        <v>0</v>
      </c>
      <c r="O525" s="154">
        <f>+'[1]Budget 2025W'!V640</f>
        <v>0</v>
      </c>
      <c r="P525" s="131"/>
      <c r="Q525" s="156">
        <f t="shared" ref="Q525:Q533" si="58">SUM(D525:O525)</f>
        <v>0</v>
      </c>
    </row>
    <row r="526" spans="3:17" ht="15.75" hidden="1" thickBot="1" x14ac:dyDescent="0.25">
      <c r="C526" s="153" t="s">
        <v>134</v>
      </c>
      <c r="D526" s="75">
        <f>+'[1]Budget 2025W'!K641</f>
        <v>0</v>
      </c>
      <c r="E526" s="75">
        <f>+'[1]Budget 2025W'!L641</f>
        <v>0</v>
      </c>
      <c r="F526" s="154">
        <f>+'[1]Budget 2025W'!M641</f>
        <v>0</v>
      </c>
      <c r="G526" s="154">
        <f>+'[1]Budget 2025W'!N641</f>
        <v>0</v>
      </c>
      <c r="H526" s="154">
        <f>+'[1]Budget 2025W'!O641</f>
        <v>0</v>
      </c>
      <c r="I526" s="154">
        <f>+'[1]Budget 2025W'!P641</f>
        <v>0</v>
      </c>
      <c r="J526" s="154">
        <f>+'[1]Budget 2025W'!Q641</f>
        <v>0</v>
      </c>
      <c r="K526" s="154">
        <f>+'[1]Budget 2025W'!R641</f>
        <v>0</v>
      </c>
      <c r="L526" s="154">
        <f>+'[1]Budget 2025W'!S641</f>
        <v>0</v>
      </c>
      <c r="M526" s="154">
        <f>+'[1]Budget 2025W'!T641</f>
        <v>0</v>
      </c>
      <c r="N526" s="154">
        <f>+'[1]Budget 2025W'!U641</f>
        <v>0</v>
      </c>
      <c r="O526" s="154">
        <f>+'[1]Budget 2025W'!V641</f>
        <v>0</v>
      </c>
      <c r="P526" s="131"/>
      <c r="Q526" s="156">
        <f t="shared" si="58"/>
        <v>0</v>
      </c>
    </row>
    <row r="527" spans="3:17" ht="15.75" hidden="1" thickBot="1" x14ac:dyDescent="0.25">
      <c r="C527" s="153" t="s">
        <v>136</v>
      </c>
      <c r="D527" s="75">
        <f>+'[1]Budget 2025W'!K642</f>
        <v>0</v>
      </c>
      <c r="E527" s="75">
        <f>+'[1]Budget 2025W'!L642</f>
        <v>0</v>
      </c>
      <c r="F527" s="154">
        <f>+'[1]Budget 2025W'!M642</f>
        <v>0</v>
      </c>
      <c r="G527" s="154">
        <f>+'[1]Budget 2025W'!N642</f>
        <v>0</v>
      </c>
      <c r="H527" s="154">
        <f>+'[1]Budget 2025W'!O642</f>
        <v>0</v>
      </c>
      <c r="I527" s="154">
        <f>+'[1]Budget 2025W'!P642</f>
        <v>0</v>
      </c>
      <c r="J527" s="154">
        <f>+'[1]Budget 2025W'!Q642</f>
        <v>0</v>
      </c>
      <c r="K527" s="154">
        <f>+'[1]Budget 2025W'!R642</f>
        <v>0</v>
      </c>
      <c r="L527" s="154">
        <f>+'[1]Budget 2025W'!S642</f>
        <v>0</v>
      </c>
      <c r="M527" s="154">
        <f>+'[1]Budget 2025W'!T642</f>
        <v>0</v>
      </c>
      <c r="N527" s="154">
        <f>+'[1]Budget 2025W'!U642</f>
        <v>0</v>
      </c>
      <c r="O527" s="154">
        <f>+'[1]Budget 2025W'!V642</f>
        <v>0</v>
      </c>
      <c r="P527" s="131"/>
      <c r="Q527" s="156">
        <f t="shared" si="58"/>
        <v>0</v>
      </c>
    </row>
    <row r="528" spans="3:17" ht="15.75" hidden="1" thickBot="1" x14ac:dyDescent="0.25">
      <c r="C528" s="153" t="s">
        <v>139</v>
      </c>
      <c r="D528" s="75">
        <f>+'[1]Budget 2025W'!K643</f>
        <v>0</v>
      </c>
      <c r="E528" s="75">
        <f>+'[1]Budget 2025W'!L643</f>
        <v>0</v>
      </c>
      <c r="F528" s="154">
        <f>+'[1]Budget 2025W'!M643</f>
        <v>0</v>
      </c>
      <c r="G528" s="154">
        <f>+'[1]Budget 2025W'!N643</f>
        <v>0</v>
      </c>
      <c r="H528" s="154">
        <f>+'[1]Budget 2025W'!O643</f>
        <v>0</v>
      </c>
      <c r="I528" s="154">
        <f>+'[1]Budget 2025W'!P643</f>
        <v>0</v>
      </c>
      <c r="J528" s="154">
        <f>+'[1]Budget 2025W'!Q643</f>
        <v>0</v>
      </c>
      <c r="K528" s="154">
        <f>+'[1]Budget 2025W'!R643</f>
        <v>0</v>
      </c>
      <c r="L528" s="154">
        <f>+'[1]Budget 2025W'!S643</f>
        <v>0</v>
      </c>
      <c r="M528" s="154">
        <f>+'[1]Budget 2025W'!T643</f>
        <v>0</v>
      </c>
      <c r="N528" s="154">
        <f>+'[1]Budget 2025W'!U643</f>
        <v>0</v>
      </c>
      <c r="O528" s="154">
        <f>+'[1]Budget 2025W'!V643</f>
        <v>0</v>
      </c>
      <c r="P528" s="131"/>
      <c r="Q528" s="156">
        <f t="shared" si="58"/>
        <v>0</v>
      </c>
    </row>
    <row r="529" spans="2:17" ht="15.75" hidden="1" thickBot="1" x14ac:dyDescent="0.25">
      <c r="C529" s="153" t="s">
        <v>140</v>
      </c>
      <c r="D529" s="75">
        <f>+'[1]Budget 2025W'!K644</f>
        <v>0</v>
      </c>
      <c r="E529" s="75">
        <f>+'[1]Budget 2025W'!L644</f>
        <v>0</v>
      </c>
      <c r="F529" s="154">
        <f>+'[1]Budget 2025W'!M644</f>
        <v>0</v>
      </c>
      <c r="G529" s="154">
        <f>+'[1]Budget 2025W'!N644</f>
        <v>0</v>
      </c>
      <c r="H529" s="154">
        <f>+'[1]Budget 2025W'!O644</f>
        <v>0</v>
      </c>
      <c r="I529" s="154">
        <f>+'[1]Budget 2025W'!P644</f>
        <v>0</v>
      </c>
      <c r="J529" s="154">
        <f>+'[1]Budget 2025W'!Q644</f>
        <v>0</v>
      </c>
      <c r="K529" s="154">
        <f>+'[1]Budget 2025W'!R644</f>
        <v>0</v>
      </c>
      <c r="L529" s="154">
        <f>+'[1]Budget 2025W'!S644</f>
        <v>0</v>
      </c>
      <c r="M529" s="154">
        <f>+'[1]Budget 2025W'!T644</f>
        <v>0</v>
      </c>
      <c r="N529" s="154">
        <f>+'[1]Budget 2025W'!U644</f>
        <v>0</v>
      </c>
      <c r="O529" s="154">
        <f>+'[1]Budget 2025W'!V644</f>
        <v>0</v>
      </c>
      <c r="P529" s="131"/>
      <c r="Q529" s="156">
        <f t="shared" si="58"/>
        <v>0</v>
      </c>
    </row>
    <row r="530" spans="2:17" ht="15.75" hidden="1" thickBot="1" x14ac:dyDescent="0.25">
      <c r="C530" s="153" t="s">
        <v>141</v>
      </c>
      <c r="D530" s="75">
        <f>+'[1]Budget 2025W'!K645</f>
        <v>0</v>
      </c>
      <c r="E530" s="75">
        <f>+'[1]Budget 2025W'!L645</f>
        <v>0</v>
      </c>
      <c r="F530" s="154">
        <f>+'[1]Budget 2025W'!M645</f>
        <v>0</v>
      </c>
      <c r="G530" s="154">
        <f>+'[1]Budget 2025W'!N645</f>
        <v>0</v>
      </c>
      <c r="H530" s="154">
        <f>+'[1]Budget 2025W'!O645</f>
        <v>0</v>
      </c>
      <c r="I530" s="154">
        <f>+'[1]Budget 2025W'!P645</f>
        <v>0</v>
      </c>
      <c r="J530" s="154">
        <f>+'[1]Budget 2025W'!Q645</f>
        <v>0</v>
      </c>
      <c r="K530" s="154">
        <f>+'[1]Budget 2025W'!R645</f>
        <v>0</v>
      </c>
      <c r="L530" s="154">
        <f>+'[1]Budget 2025W'!S645</f>
        <v>0</v>
      </c>
      <c r="M530" s="154">
        <f>+'[1]Budget 2025W'!T645</f>
        <v>0</v>
      </c>
      <c r="N530" s="154">
        <f>+'[1]Budget 2025W'!U645</f>
        <v>0</v>
      </c>
      <c r="O530" s="154">
        <f>+'[1]Budget 2025W'!V645</f>
        <v>0</v>
      </c>
      <c r="P530" s="131"/>
      <c r="Q530" s="156">
        <f t="shared" si="58"/>
        <v>0</v>
      </c>
    </row>
    <row r="531" spans="2:17" ht="15.75" hidden="1" thickBot="1" x14ac:dyDescent="0.25">
      <c r="C531" s="153" t="s">
        <v>142</v>
      </c>
      <c r="D531" s="75">
        <f>+'[1]Budget 2025W'!K646</f>
        <v>0</v>
      </c>
      <c r="E531" s="75">
        <f>+'[1]Budget 2025W'!L646</f>
        <v>0</v>
      </c>
      <c r="F531" s="154">
        <f>+'[1]Budget 2025W'!M646</f>
        <v>0</v>
      </c>
      <c r="G531" s="154">
        <f>+'[1]Budget 2025W'!N646</f>
        <v>0</v>
      </c>
      <c r="H531" s="154">
        <f>+'[1]Budget 2025W'!O646</f>
        <v>0</v>
      </c>
      <c r="I531" s="154">
        <f>+'[1]Budget 2025W'!P646</f>
        <v>0</v>
      </c>
      <c r="J531" s="154">
        <f>+'[1]Budget 2025W'!Q646</f>
        <v>0</v>
      </c>
      <c r="K531" s="154">
        <f>+'[1]Budget 2025W'!R646</f>
        <v>0</v>
      </c>
      <c r="L531" s="154">
        <f>+'[1]Budget 2025W'!S646</f>
        <v>0</v>
      </c>
      <c r="M531" s="154">
        <f>+'[1]Budget 2025W'!T646</f>
        <v>0</v>
      </c>
      <c r="N531" s="154">
        <f>+'[1]Budget 2025W'!U646</f>
        <v>0</v>
      </c>
      <c r="O531" s="154">
        <f>+'[1]Budget 2025W'!V646</f>
        <v>0</v>
      </c>
      <c r="P531" s="131"/>
      <c r="Q531" s="156">
        <f t="shared" si="58"/>
        <v>0</v>
      </c>
    </row>
    <row r="532" spans="2:17" ht="15.75" hidden="1" thickBot="1" x14ac:dyDescent="0.25">
      <c r="C532" s="153" t="s">
        <v>143</v>
      </c>
      <c r="D532" s="75">
        <f>+'[1]Budget 2025W'!K647</f>
        <v>0</v>
      </c>
      <c r="E532" s="75">
        <f>+'[1]Budget 2025W'!L647</f>
        <v>0</v>
      </c>
      <c r="F532" s="154">
        <f>+'[1]Budget 2025W'!M647</f>
        <v>0</v>
      </c>
      <c r="G532" s="154">
        <f>+'[1]Budget 2025W'!N647</f>
        <v>0</v>
      </c>
      <c r="H532" s="154">
        <f>+'[1]Budget 2025W'!O647</f>
        <v>0</v>
      </c>
      <c r="I532" s="154">
        <f>+'[1]Budget 2025W'!P647</f>
        <v>0</v>
      </c>
      <c r="J532" s="154">
        <f>+'[1]Budget 2025W'!Q647</f>
        <v>0</v>
      </c>
      <c r="K532" s="154">
        <f>+'[1]Budget 2025W'!R647</f>
        <v>0</v>
      </c>
      <c r="L532" s="154">
        <f>+'[1]Budget 2025W'!S647</f>
        <v>0</v>
      </c>
      <c r="M532" s="154">
        <f>+'[1]Budget 2025W'!T647</f>
        <v>0</v>
      </c>
      <c r="N532" s="154">
        <f>+'[1]Budget 2025W'!U647</f>
        <v>0</v>
      </c>
      <c r="O532" s="154">
        <f>+'[1]Budget 2025W'!V647</f>
        <v>0</v>
      </c>
      <c r="P532" s="131"/>
      <c r="Q532" s="156">
        <f t="shared" si="58"/>
        <v>0</v>
      </c>
    </row>
    <row r="533" spans="2:17" ht="17.25" hidden="1" thickTop="1" thickBot="1" x14ac:dyDescent="0.3">
      <c r="C533" s="198" t="s">
        <v>144</v>
      </c>
      <c r="D533" s="199">
        <f>+'[1]Budget 2025W'!K651</f>
        <v>0</v>
      </c>
      <c r="E533" s="199">
        <f>+'[1]Budget 2025W'!L651</f>
        <v>0</v>
      </c>
      <c r="F533" s="200">
        <f>+'[1]Budget 2025W'!M651</f>
        <v>0</v>
      </c>
      <c r="G533" s="200">
        <f>+'[1]Budget 2025W'!N651</f>
        <v>0</v>
      </c>
      <c r="H533" s="200">
        <f>+'[1]Budget 2025W'!O651</f>
        <v>0</v>
      </c>
      <c r="I533" s="200">
        <f>+'[1]Budget 2025W'!P651</f>
        <v>0</v>
      </c>
      <c r="J533" s="200">
        <f>+'[1]Budget 2025W'!Q651</f>
        <v>0</v>
      </c>
      <c r="K533" s="200">
        <f>+'[1]Budget 2025W'!R651</f>
        <v>0</v>
      </c>
      <c r="L533" s="200">
        <f>+'[1]Budget 2025W'!S651</f>
        <v>0</v>
      </c>
      <c r="M533" s="200">
        <f>+'[1]Budget 2025W'!T651</f>
        <v>0</v>
      </c>
      <c r="N533" s="200">
        <f>+'[1]Budget 2025W'!U651</f>
        <v>0</v>
      </c>
      <c r="O533" s="200">
        <f>+'[1]Budget 2025W'!V651</f>
        <v>0</v>
      </c>
      <c r="P533" s="131"/>
      <c r="Q533" s="165">
        <f t="shared" si="58"/>
        <v>0</v>
      </c>
    </row>
    <row r="534" spans="2:17" ht="16.5" hidden="1" thickTop="1" thickBot="1" x14ac:dyDescent="0.25">
      <c r="C534" s="201" t="s">
        <v>166</v>
      </c>
      <c r="D534" s="168" t="str">
        <f t="shared" ref="D534:O534" si="59">IFERROR(D533/D499,"")</f>
        <v/>
      </c>
      <c r="E534" s="168" t="str">
        <f t="shared" si="59"/>
        <v/>
      </c>
      <c r="F534" s="169" t="str">
        <f t="shared" si="59"/>
        <v/>
      </c>
      <c r="G534" s="169" t="str">
        <f t="shared" si="59"/>
        <v/>
      </c>
      <c r="H534" s="169" t="str">
        <f t="shared" si="59"/>
        <v/>
      </c>
      <c r="I534" s="169" t="str">
        <f t="shared" si="59"/>
        <v/>
      </c>
      <c r="J534" s="169" t="str">
        <f t="shared" si="59"/>
        <v/>
      </c>
      <c r="K534" s="169" t="str">
        <f t="shared" si="59"/>
        <v/>
      </c>
      <c r="L534" s="169" t="str">
        <f t="shared" si="59"/>
        <v/>
      </c>
      <c r="M534" s="169" t="str">
        <f t="shared" si="59"/>
        <v/>
      </c>
      <c r="N534" s="169" t="str">
        <f t="shared" si="59"/>
        <v/>
      </c>
      <c r="O534" s="169" t="str">
        <f t="shared" si="59"/>
        <v/>
      </c>
      <c r="P534" s="131"/>
      <c r="Q534" s="171"/>
    </row>
    <row r="535" spans="2:17" ht="16.5" hidden="1" thickBot="1" x14ac:dyDescent="0.3">
      <c r="B535" s="141"/>
      <c r="C535" s="203" t="s">
        <v>219</v>
      </c>
      <c r="D535" s="204">
        <f t="shared" ref="D535:O535" si="60">D499-D504-D522-D533</f>
        <v>0</v>
      </c>
      <c r="E535" s="204">
        <f t="shared" si="60"/>
        <v>0</v>
      </c>
      <c r="F535" s="205">
        <f t="shared" si="60"/>
        <v>0</v>
      </c>
      <c r="G535" s="205">
        <f t="shared" si="60"/>
        <v>0</v>
      </c>
      <c r="H535" s="205">
        <f t="shared" si="60"/>
        <v>0</v>
      </c>
      <c r="I535" s="205">
        <f t="shared" si="60"/>
        <v>0</v>
      </c>
      <c r="J535" s="205">
        <f t="shared" si="60"/>
        <v>0</v>
      </c>
      <c r="K535" s="205">
        <f t="shared" si="60"/>
        <v>0</v>
      </c>
      <c r="L535" s="205">
        <f t="shared" si="60"/>
        <v>0</v>
      </c>
      <c r="M535" s="205">
        <f t="shared" si="60"/>
        <v>0</v>
      </c>
      <c r="N535" s="205">
        <f t="shared" si="60"/>
        <v>0</v>
      </c>
      <c r="O535" s="205">
        <f t="shared" si="60"/>
        <v>0</v>
      </c>
      <c r="P535" s="131"/>
      <c r="Q535" s="183">
        <f>SUM(D535:O535)</f>
        <v>0</v>
      </c>
    </row>
    <row r="536" spans="2:17" ht="16.5" hidden="1" thickTop="1" thickBot="1" x14ac:dyDescent="0.25">
      <c r="C536" s="206" t="s">
        <v>185</v>
      </c>
      <c r="D536" s="186" t="str">
        <f t="shared" ref="D536:O536" si="61">IFERROR(D535/D499,"")</f>
        <v/>
      </c>
      <c r="E536" s="186" t="str">
        <f t="shared" si="61"/>
        <v/>
      </c>
      <c r="F536" s="187" t="str">
        <f t="shared" si="61"/>
        <v/>
      </c>
      <c r="G536" s="187" t="str">
        <f t="shared" si="61"/>
        <v/>
      </c>
      <c r="H536" s="187" t="str">
        <f t="shared" si="61"/>
        <v/>
      </c>
      <c r="I536" s="187" t="str">
        <f t="shared" si="61"/>
        <v/>
      </c>
      <c r="J536" s="187" t="str">
        <f t="shared" si="61"/>
        <v/>
      </c>
      <c r="K536" s="187" t="str">
        <f t="shared" si="61"/>
        <v/>
      </c>
      <c r="L536" s="187" t="str">
        <f t="shared" si="61"/>
        <v/>
      </c>
      <c r="M536" s="187" t="str">
        <f t="shared" si="61"/>
        <v/>
      </c>
      <c r="N536" s="187" t="str">
        <f t="shared" si="61"/>
        <v/>
      </c>
      <c r="O536" s="187" t="str">
        <f t="shared" si="61"/>
        <v/>
      </c>
      <c r="P536" s="131"/>
      <c r="Q536" s="171"/>
    </row>
    <row r="537" spans="2:17" ht="16.5" thickBot="1" x14ac:dyDescent="0.3">
      <c r="B537" s="141"/>
      <c r="C537" s="142" t="s">
        <v>220</v>
      </c>
      <c r="D537" s="143"/>
      <c r="E537" s="144"/>
      <c r="F537" s="145"/>
      <c r="G537" s="145"/>
      <c r="H537" s="146"/>
      <c r="I537" s="146"/>
      <c r="J537" s="146"/>
      <c r="K537" s="146"/>
      <c r="L537" s="146"/>
      <c r="M537" s="146"/>
      <c r="N537" s="146"/>
      <c r="O537" s="146"/>
      <c r="P537" s="129"/>
      <c r="Q537" s="145"/>
    </row>
    <row r="538" spans="2:17" ht="15.75" x14ac:dyDescent="0.25">
      <c r="C538" s="157" t="s">
        <v>26</v>
      </c>
      <c r="D538" s="158"/>
      <c r="E538" s="158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31"/>
      <c r="Q538" s="161"/>
    </row>
    <row r="539" spans="2:17" x14ac:dyDescent="0.2">
      <c r="C539" s="153" t="s">
        <v>221</v>
      </c>
      <c r="D539" s="75">
        <f>+'[1]Budget 2025W'!K658</f>
        <v>0</v>
      </c>
      <c r="E539" s="75">
        <f>+'[1]Budget 2025W'!L658</f>
        <v>0</v>
      </c>
      <c r="F539" s="154">
        <f>+'[1]Budget 2025W'!M658</f>
        <v>0</v>
      </c>
      <c r="G539" s="154">
        <f>+'[1]Budget 2025W'!N658</f>
        <v>0</v>
      </c>
      <c r="H539" s="154">
        <f>+'[1]Budget 2025W'!O658</f>
        <v>0</v>
      </c>
      <c r="I539" s="154">
        <f>+'[1]Budget 2025W'!P658</f>
        <v>17200</v>
      </c>
      <c r="J539" s="154">
        <f>+'[1]Budget 2025W'!Q658</f>
        <v>17200</v>
      </c>
      <c r="K539" s="154">
        <f>+'[1]Budget 2025W'!R658</f>
        <v>17200</v>
      </c>
      <c r="L539" s="154">
        <f>+'[1]Budget 2025W'!S658</f>
        <v>24600</v>
      </c>
      <c r="M539" s="154">
        <f>+'[1]Budget 2025W'!T658</f>
        <v>25000</v>
      </c>
      <c r="N539" s="154">
        <f>+'[1]Budget 2025W'!U658</f>
        <v>25400</v>
      </c>
      <c r="O539" s="154">
        <f>+'[1]Budget 2025W'!V658</f>
        <v>25800</v>
      </c>
      <c r="P539" s="131"/>
      <c r="Q539" s="156">
        <f>SUM(D539:O539)</f>
        <v>152400</v>
      </c>
    </row>
    <row r="540" spans="2:17" x14ac:dyDescent="0.2">
      <c r="C540" s="153" t="s">
        <v>222</v>
      </c>
      <c r="D540" s="75">
        <f>+'[1]Budget 2025W'!K659</f>
        <v>0</v>
      </c>
      <c r="E540" s="75">
        <f>+'[1]Budget 2025W'!L659</f>
        <v>0</v>
      </c>
      <c r="F540" s="154">
        <f>+'[1]Budget 2025W'!M659</f>
        <v>0</v>
      </c>
      <c r="G540" s="154">
        <f>+'[1]Budget 2025W'!N659</f>
        <v>0</v>
      </c>
      <c r="H540" s="154">
        <f>+'[1]Budget 2025W'!O659</f>
        <v>0</v>
      </c>
      <c r="I540" s="154">
        <f>+'[1]Budget 2025W'!P659</f>
        <v>0</v>
      </c>
      <c r="J540" s="154">
        <f>+'[1]Budget 2025W'!Q659</f>
        <v>0</v>
      </c>
      <c r="K540" s="154">
        <f>+'[1]Budget 2025W'!R659</f>
        <v>0</v>
      </c>
      <c r="L540" s="154">
        <f>+'[1]Budget 2025W'!S659</f>
        <v>0</v>
      </c>
      <c r="M540" s="154">
        <f>+'[1]Budget 2025W'!T659</f>
        <v>0</v>
      </c>
      <c r="N540" s="154">
        <f>+'[1]Budget 2025W'!U659</f>
        <v>0</v>
      </c>
      <c r="O540" s="154">
        <f>+'[1]Budget 2025W'!V659</f>
        <v>540</v>
      </c>
      <c r="P540" s="131"/>
      <c r="Q540" s="156">
        <f>SUM(D540:O540)</f>
        <v>540</v>
      </c>
    </row>
    <row r="541" spans="2:17" ht="15.75" thickBot="1" x14ac:dyDescent="0.25">
      <c r="C541" s="153" t="s">
        <v>222</v>
      </c>
      <c r="D541" s="75">
        <f>+'[1]Budget 2025W'!K660</f>
        <v>0</v>
      </c>
      <c r="E541" s="75">
        <f>+'[1]Budget 2025W'!L660</f>
        <v>0</v>
      </c>
      <c r="F541" s="154">
        <f>+'[1]Budget 2025W'!M660</f>
        <v>0</v>
      </c>
      <c r="G541" s="154">
        <f>+'[1]Budget 2025W'!N660</f>
        <v>0</v>
      </c>
      <c r="H541" s="154">
        <f>+'[1]Budget 2025W'!O660</f>
        <v>0</v>
      </c>
      <c r="I541" s="154">
        <f>+'[1]Budget 2025W'!P660</f>
        <v>0</v>
      </c>
      <c r="J541" s="154">
        <f>+'[1]Budget 2025W'!Q660</f>
        <v>750</v>
      </c>
      <c r="K541" s="154">
        <f>+'[1]Budget 2025W'!R660</f>
        <v>750</v>
      </c>
      <c r="L541" s="154">
        <f>+'[1]Budget 2025W'!S660</f>
        <v>750</v>
      </c>
      <c r="M541" s="154">
        <f>+'[1]Budget 2025W'!T660</f>
        <v>750</v>
      </c>
      <c r="N541" s="154">
        <f>+'[1]Budget 2025W'!U660</f>
        <v>750</v>
      </c>
      <c r="O541" s="154">
        <f>+'[1]Budget 2025W'!V660</f>
        <v>750</v>
      </c>
      <c r="P541" s="131"/>
      <c r="Q541" s="156">
        <f>SUM(D541:O541)</f>
        <v>4500</v>
      </c>
    </row>
    <row r="542" spans="2:17" ht="17.25" thickTop="1" thickBot="1" x14ac:dyDescent="0.3">
      <c r="C542" s="162" t="s">
        <v>223</v>
      </c>
      <c r="D542" s="163">
        <f>+'[1]Budget 2025W'!K664</f>
        <v>0</v>
      </c>
      <c r="E542" s="163">
        <f>+'[1]Budget 2025W'!L664</f>
        <v>0</v>
      </c>
      <c r="F542" s="163">
        <f>+'[1]Budget 2025W'!M664</f>
        <v>0</v>
      </c>
      <c r="G542" s="163">
        <f>+'[1]Budget 2025W'!N664</f>
        <v>0</v>
      </c>
      <c r="H542" s="163">
        <f>+'[1]Budget 2025W'!O664</f>
        <v>0</v>
      </c>
      <c r="I542" s="163">
        <f>+'[1]Budget 2025W'!P664</f>
        <v>17200</v>
      </c>
      <c r="J542" s="163">
        <f>+'[1]Budget 2025W'!Q664</f>
        <v>17950</v>
      </c>
      <c r="K542" s="163">
        <f>+'[1]Budget 2025W'!R664</f>
        <v>17950</v>
      </c>
      <c r="L542" s="163">
        <f>+'[1]Budget 2025W'!S664</f>
        <v>25350</v>
      </c>
      <c r="M542" s="163">
        <f>+'[1]Budget 2025W'!T664</f>
        <v>25750</v>
      </c>
      <c r="N542" s="163">
        <f>+'[1]Budget 2025W'!U664</f>
        <v>26150</v>
      </c>
      <c r="O542" s="163">
        <f>+'[1]Budget 2025W'!V664</f>
        <v>27090</v>
      </c>
      <c r="P542" s="131"/>
      <c r="Q542" s="207">
        <f>SUM(D542:O542)</f>
        <v>157440</v>
      </c>
    </row>
    <row r="543" spans="2:17" ht="16.5" thickTop="1" x14ac:dyDescent="0.25">
      <c r="C543" s="195" t="s">
        <v>154</v>
      </c>
      <c r="D543" s="196"/>
      <c r="E543" s="196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31"/>
      <c r="Q543" s="161"/>
    </row>
    <row r="544" spans="2:17" x14ac:dyDescent="0.2">
      <c r="C544" s="153" t="s">
        <v>224</v>
      </c>
      <c r="D544" s="75">
        <f>+'[1]Budget 2025W'!K689</f>
        <v>0</v>
      </c>
      <c r="E544" s="75">
        <f>+'[1]Budget 2025W'!L689</f>
        <v>0</v>
      </c>
      <c r="F544" s="154">
        <f>+'[1]Budget 2025W'!M689</f>
        <v>0</v>
      </c>
      <c r="G544" s="154">
        <f>+'[1]Budget 2025W'!N689</f>
        <v>0</v>
      </c>
      <c r="H544" s="154">
        <f>+'[1]Budget 2025W'!O689</f>
        <v>0</v>
      </c>
      <c r="I544" s="154">
        <f>+'[1]Budget 2025W'!P689</f>
        <v>0</v>
      </c>
      <c r="J544" s="154">
        <f>+'[1]Budget 2025W'!Q689</f>
        <v>0</v>
      </c>
      <c r="K544" s="154">
        <f>+'[1]Budget 2025W'!R689</f>
        <v>0</v>
      </c>
      <c r="L544" s="154">
        <f>+'[1]Budget 2025W'!S689</f>
        <v>0</v>
      </c>
      <c r="M544" s="154">
        <f>+'[1]Budget 2025W'!T689</f>
        <v>0</v>
      </c>
      <c r="N544" s="154">
        <f>+'[1]Budget 2025W'!U689</f>
        <v>0</v>
      </c>
      <c r="O544" s="154">
        <f>+'[1]Budget 2025W'!V689</f>
        <v>0</v>
      </c>
      <c r="P544" s="131"/>
      <c r="Q544" s="156">
        <f>SUM(D544:O544)</f>
        <v>0</v>
      </c>
    </row>
    <row r="545" spans="3:17" ht="15.75" thickBot="1" x14ac:dyDescent="0.25">
      <c r="C545" s="153" t="s">
        <v>224</v>
      </c>
      <c r="D545" s="75">
        <f>+'[1]Budget 2025W'!K690</f>
        <v>0</v>
      </c>
      <c r="E545" s="75">
        <f>+'[1]Budget 2025W'!L690</f>
        <v>0</v>
      </c>
      <c r="F545" s="154">
        <f>+'[1]Budget 2025W'!M690</f>
        <v>0</v>
      </c>
      <c r="G545" s="154">
        <f>+'[1]Budget 2025W'!N690</f>
        <v>0</v>
      </c>
      <c r="H545" s="154">
        <f>+'[1]Budget 2025W'!O690</f>
        <v>0</v>
      </c>
      <c r="I545" s="154">
        <f>+'[1]Budget 2025W'!P690</f>
        <v>0</v>
      </c>
      <c r="J545" s="154">
        <f>+'[1]Budget 2025W'!Q690</f>
        <v>0</v>
      </c>
      <c r="K545" s="154">
        <f>+'[1]Budget 2025W'!R690</f>
        <v>0</v>
      </c>
      <c r="L545" s="154">
        <f>+'[1]Budget 2025W'!S690</f>
        <v>0</v>
      </c>
      <c r="M545" s="154">
        <f>+'[1]Budget 2025W'!T690</f>
        <v>0</v>
      </c>
      <c r="N545" s="154">
        <f>+'[1]Budget 2025W'!U690</f>
        <v>0</v>
      </c>
      <c r="O545" s="154">
        <f>+'[1]Budget 2025W'!V690</f>
        <v>0</v>
      </c>
      <c r="P545" s="131"/>
      <c r="Q545" s="156">
        <f>SUM(D545:O545)</f>
        <v>0</v>
      </c>
    </row>
    <row r="546" spans="3:17" ht="17.25" thickTop="1" thickBot="1" x14ac:dyDescent="0.3">
      <c r="C546" s="162" t="s">
        <v>165</v>
      </c>
      <c r="D546" s="163">
        <f>+'[1]Budget 2025W'!K692</f>
        <v>0</v>
      </c>
      <c r="E546" s="163">
        <f>+'[1]Budget 2025W'!L692</f>
        <v>0</v>
      </c>
      <c r="F546" s="163">
        <f>+'[1]Budget 2025W'!M692</f>
        <v>0</v>
      </c>
      <c r="G546" s="163">
        <f>+'[1]Budget 2025W'!N692</f>
        <v>0</v>
      </c>
      <c r="H546" s="163">
        <f>+'[1]Budget 2025W'!O692</f>
        <v>0</v>
      </c>
      <c r="I546" s="163">
        <f>+'[1]Budget 2025W'!P692</f>
        <v>0</v>
      </c>
      <c r="J546" s="163">
        <f>+'[1]Budget 2025W'!Q692</f>
        <v>0</v>
      </c>
      <c r="K546" s="163">
        <f>+'[1]Budget 2025W'!R692</f>
        <v>0</v>
      </c>
      <c r="L546" s="163">
        <f>+'[1]Budget 2025W'!S692</f>
        <v>0</v>
      </c>
      <c r="M546" s="163">
        <f>+'[1]Budget 2025W'!T692</f>
        <v>0</v>
      </c>
      <c r="N546" s="163">
        <f>+'[1]Budget 2025W'!U692</f>
        <v>0</v>
      </c>
      <c r="O546" s="163">
        <f>+'[1]Budget 2025W'!V692</f>
        <v>0</v>
      </c>
      <c r="P546" s="131"/>
      <c r="Q546" s="207">
        <f>SUM(D546:O546)</f>
        <v>0</v>
      </c>
    </row>
    <row r="547" spans="3:17" ht="16.5" thickTop="1" x14ac:dyDescent="0.25">
      <c r="C547" s="195" t="s">
        <v>97</v>
      </c>
      <c r="D547" s="196"/>
      <c r="E547" s="196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31"/>
      <c r="Q547" s="161"/>
    </row>
    <row r="548" spans="3:17" x14ac:dyDescent="0.2">
      <c r="C548" s="153" t="s">
        <v>98</v>
      </c>
      <c r="D548" s="75">
        <f>+'[1]Budget 2025W'!K667</f>
        <v>0</v>
      </c>
      <c r="E548" s="75">
        <f>+'[1]Budget 2025W'!L667</f>
        <v>0</v>
      </c>
      <c r="F548" s="154">
        <f>+'[1]Budget 2025W'!M667</f>
        <v>0</v>
      </c>
      <c r="G548" s="154">
        <f>+'[1]Budget 2025W'!N667</f>
        <v>0</v>
      </c>
      <c r="H548" s="154">
        <f>+'[1]Budget 2025W'!O667</f>
        <v>0</v>
      </c>
      <c r="I548" s="154">
        <f>+'[1]Budget 2025W'!P667</f>
        <v>7446.739130434783</v>
      </c>
      <c r="J548" s="154">
        <f>+'[1]Budget 2025W'!Q667</f>
        <v>9240.217391304348</v>
      </c>
      <c r="K548" s="154">
        <f>+'[1]Budget 2025W'!R667</f>
        <v>9240.217391304348</v>
      </c>
      <c r="L548" s="154">
        <f>+'[1]Budget 2025W'!S667</f>
        <v>9240.217391304348</v>
      </c>
      <c r="M548" s="154">
        <f>+'[1]Budget 2025W'!T667</f>
        <v>9240.217391304348</v>
      </c>
      <c r="N548" s="154">
        <f>+'[1]Budget 2025W'!U667</f>
        <v>9240.217391304348</v>
      </c>
      <c r="O548" s="154">
        <f>+'[1]Budget 2025W'!V667</f>
        <v>9240.217391304348</v>
      </c>
      <c r="P548" s="131"/>
      <c r="Q548" s="156">
        <f t="shared" ref="Q548:Q564" si="62">SUM(D548:O548)</f>
        <v>62888.043478260879</v>
      </c>
    </row>
    <row r="549" spans="3:17" x14ac:dyDescent="0.2">
      <c r="C549" s="153" t="s">
        <v>99</v>
      </c>
      <c r="D549" s="75">
        <f>+'[1]Budget 2025W'!K668</f>
        <v>0</v>
      </c>
      <c r="E549" s="75">
        <f>+'[1]Budget 2025W'!L668</f>
        <v>0</v>
      </c>
      <c r="F549" s="154">
        <f>+'[1]Budget 2025W'!M668</f>
        <v>0</v>
      </c>
      <c r="G549" s="154">
        <f>+'[1]Budget 2025W'!N668</f>
        <v>0</v>
      </c>
      <c r="H549" s="154">
        <f>+'[1]Budget 2025W'!O668</f>
        <v>0</v>
      </c>
      <c r="I549" s="154">
        <f>+'[1]Budget 2025W'!P668</f>
        <v>0</v>
      </c>
      <c r="J549" s="154">
        <f>+'[1]Budget 2025W'!Q668</f>
        <v>0</v>
      </c>
      <c r="K549" s="154">
        <f>+'[1]Budget 2025W'!R668</f>
        <v>0</v>
      </c>
      <c r="L549" s="154">
        <f>+'[1]Budget 2025W'!S668</f>
        <v>0</v>
      </c>
      <c r="M549" s="154">
        <f>+'[1]Budget 2025W'!T668</f>
        <v>0</v>
      </c>
      <c r="N549" s="154">
        <f>+'[1]Budget 2025W'!U668</f>
        <v>0</v>
      </c>
      <c r="O549" s="154">
        <f>+'[1]Budget 2025W'!V668</f>
        <v>0</v>
      </c>
      <c r="P549" s="131"/>
      <c r="Q549" s="156">
        <f t="shared" si="62"/>
        <v>0</v>
      </c>
    </row>
    <row r="550" spans="3:17" x14ac:dyDescent="0.2">
      <c r="C550" s="153" t="s">
        <v>100</v>
      </c>
      <c r="D550" s="75">
        <f>+'[1]Budget 2025W'!K669</f>
        <v>0</v>
      </c>
      <c r="E550" s="75">
        <f>+'[1]Budget 2025W'!L669</f>
        <v>0</v>
      </c>
      <c r="F550" s="154">
        <f>+'[1]Budget 2025W'!M669</f>
        <v>0</v>
      </c>
      <c r="G550" s="154">
        <f>+'[1]Budget 2025W'!N669</f>
        <v>0</v>
      </c>
      <c r="H550" s="154">
        <f>+'[1]Budget 2025W'!O669</f>
        <v>0</v>
      </c>
      <c r="I550" s="154">
        <f>+'[1]Budget 2025W'!P669</f>
        <v>0</v>
      </c>
      <c r="J550" s="154">
        <f>+'[1]Budget 2025W'!Q669</f>
        <v>0</v>
      </c>
      <c r="K550" s="154">
        <f>+'[1]Budget 2025W'!R669</f>
        <v>0</v>
      </c>
      <c r="L550" s="154">
        <f>+'[1]Budget 2025W'!S669</f>
        <v>0</v>
      </c>
      <c r="M550" s="154">
        <f>+'[1]Budget 2025W'!T669</f>
        <v>0</v>
      </c>
      <c r="N550" s="154">
        <f>+'[1]Budget 2025W'!U669</f>
        <v>0</v>
      </c>
      <c r="O550" s="154">
        <f>+'[1]Budget 2025W'!V669</f>
        <v>0</v>
      </c>
      <c r="P550" s="131"/>
      <c r="Q550" s="156">
        <f t="shared" si="62"/>
        <v>0</v>
      </c>
    </row>
    <row r="551" spans="3:17" x14ac:dyDescent="0.2">
      <c r="C551" s="153" t="s">
        <v>101</v>
      </c>
      <c r="D551" s="75">
        <f>+'[1]Budget 2025W'!K670</f>
        <v>0</v>
      </c>
      <c r="E551" s="75">
        <f>+'[1]Budget 2025W'!L670</f>
        <v>0</v>
      </c>
      <c r="F551" s="154">
        <f>+'[1]Budget 2025W'!M670</f>
        <v>0</v>
      </c>
      <c r="G551" s="154">
        <f>+'[1]Budget 2025W'!N670</f>
        <v>0</v>
      </c>
      <c r="H551" s="154">
        <f>+'[1]Budget 2025W'!O670</f>
        <v>0</v>
      </c>
      <c r="I551" s="154">
        <f>+'[1]Budget 2025W'!P670</f>
        <v>0</v>
      </c>
      <c r="J551" s="154">
        <f>+'[1]Budget 2025W'!Q670</f>
        <v>32.421815408085436</v>
      </c>
      <c r="K551" s="154">
        <f>+'[1]Budget 2025W'!R670</f>
        <v>97.265446224256308</v>
      </c>
      <c r="L551" s="154">
        <f>+'[1]Budget 2025W'!S670</f>
        <v>32.421815408085436</v>
      </c>
      <c r="M551" s="154">
        <f>+'[1]Budget 2025W'!T670</f>
        <v>0</v>
      </c>
      <c r="N551" s="154">
        <f>+'[1]Budget 2025W'!U670</f>
        <v>0</v>
      </c>
      <c r="O551" s="154">
        <f>+'[1]Budget 2025W'!V670</f>
        <v>64.843630816170872</v>
      </c>
      <c r="P551" s="131"/>
      <c r="Q551" s="156">
        <f t="shared" si="62"/>
        <v>226.95270785659804</v>
      </c>
    </row>
    <row r="552" spans="3:17" x14ac:dyDescent="0.2">
      <c r="C552" s="153" t="s">
        <v>102</v>
      </c>
      <c r="D552" s="75">
        <f>+'[1]Budget 2025W'!K671</f>
        <v>0</v>
      </c>
      <c r="E552" s="75">
        <f>+'[1]Budget 2025W'!L671</f>
        <v>0</v>
      </c>
      <c r="F552" s="154">
        <f>+'[1]Budget 2025W'!M671</f>
        <v>0</v>
      </c>
      <c r="G552" s="154">
        <f>+'[1]Budget 2025W'!N671</f>
        <v>0</v>
      </c>
      <c r="H552" s="154">
        <f>+'[1]Budget 2025W'!O671</f>
        <v>0</v>
      </c>
      <c r="I552" s="154">
        <f>+'[1]Budget 2025W'!P671</f>
        <v>0</v>
      </c>
      <c r="J552" s="154">
        <f>+'[1]Budget 2025W'!Q671</f>
        <v>0</v>
      </c>
      <c r="K552" s="154">
        <f>+'[1]Budget 2025W'!R671</f>
        <v>0</v>
      </c>
      <c r="L552" s="154">
        <f>+'[1]Budget 2025W'!S671</f>
        <v>0</v>
      </c>
      <c r="M552" s="154">
        <f>+'[1]Budget 2025W'!T671</f>
        <v>0</v>
      </c>
      <c r="N552" s="154">
        <f>+'[1]Budget 2025W'!U671</f>
        <v>0</v>
      </c>
      <c r="O552" s="154">
        <f>+'[1]Budget 2025W'!V671</f>
        <v>0</v>
      </c>
      <c r="P552" s="131"/>
      <c r="Q552" s="156">
        <f t="shared" si="62"/>
        <v>0</v>
      </c>
    </row>
    <row r="553" spans="3:17" x14ac:dyDescent="0.2">
      <c r="C553" s="153" t="s">
        <v>103</v>
      </c>
      <c r="D553" s="75">
        <f>+'[1]Budget 2025W'!K672</f>
        <v>0</v>
      </c>
      <c r="E553" s="75">
        <f>+'[1]Budget 2025W'!L672</f>
        <v>0</v>
      </c>
      <c r="F553" s="154">
        <f>+'[1]Budget 2025W'!M672</f>
        <v>0</v>
      </c>
      <c r="G553" s="154">
        <f>+'[1]Budget 2025W'!N672</f>
        <v>0</v>
      </c>
      <c r="H553" s="154">
        <f>+'[1]Budget 2025W'!O672</f>
        <v>0</v>
      </c>
      <c r="I553" s="154">
        <f>+'[1]Budget 2025W'!P672</f>
        <v>2077.8785130434781</v>
      </c>
      <c r="J553" s="154">
        <f>+'[1]Budget 2025W'!Q672</f>
        <v>2587.0151122044244</v>
      </c>
      <c r="K553" s="154">
        <f>+'[1]Budget 2025W'!R672</f>
        <v>2604.412658352403</v>
      </c>
      <c r="L553" s="154">
        <f>+'[1]Budget 2025W'!S672</f>
        <v>2587.0151122044244</v>
      </c>
      <c r="M553" s="154">
        <f>+'[1]Budget 2025W'!T672</f>
        <v>2578.3163391304347</v>
      </c>
      <c r="N553" s="154">
        <f>+'[1]Budget 2025W'!U672</f>
        <v>2578.3163391304347</v>
      </c>
      <c r="O553" s="154">
        <f>+'[1]Budget 2025W'!V672</f>
        <v>2595.7138852784133</v>
      </c>
      <c r="P553" s="131"/>
      <c r="Q553" s="156">
        <f t="shared" si="62"/>
        <v>17608.667959344013</v>
      </c>
    </row>
    <row r="554" spans="3:17" x14ac:dyDescent="0.2">
      <c r="C554" s="153" t="s">
        <v>104</v>
      </c>
      <c r="D554" s="75">
        <f>+'[1]Budget 2025W'!K673</f>
        <v>0</v>
      </c>
      <c r="E554" s="75">
        <f>+'[1]Budget 2025W'!L673</f>
        <v>0</v>
      </c>
      <c r="F554" s="154">
        <f>+'[1]Budget 2025W'!M673</f>
        <v>0</v>
      </c>
      <c r="G554" s="154">
        <f>+'[1]Budget 2025W'!N673</f>
        <v>0</v>
      </c>
      <c r="H554" s="154">
        <f>+'[1]Budget 2025W'!O673</f>
        <v>0</v>
      </c>
      <c r="I554" s="154">
        <f>+'[1]Budget 2025W'!P673</f>
        <v>645.3840579710145</v>
      </c>
      <c r="J554" s="154">
        <f>+'[1]Budget 2025W'!Q673</f>
        <v>803.52065853038403</v>
      </c>
      <c r="K554" s="154">
        <f>+'[1]Budget 2025W'!R673</f>
        <v>808.9242944317316</v>
      </c>
      <c r="L554" s="154">
        <f>+'[1]Budget 2025W'!S673</f>
        <v>803.52065853038403</v>
      </c>
      <c r="M554" s="154">
        <f>+'[1]Budget 2025W'!T673</f>
        <v>800.81884057971013</v>
      </c>
      <c r="N554" s="154">
        <f>+'[1]Budget 2025W'!U673</f>
        <v>800.81884057971013</v>
      </c>
      <c r="O554" s="154">
        <f>+'[1]Budget 2025W'!V673</f>
        <v>806.2224764810577</v>
      </c>
      <c r="P554" s="131"/>
      <c r="Q554" s="156">
        <f t="shared" si="62"/>
        <v>5469.2098271039922</v>
      </c>
    </row>
    <row r="555" spans="3:17" x14ac:dyDescent="0.2">
      <c r="C555" s="153" t="s">
        <v>105</v>
      </c>
      <c r="D555" s="75">
        <f>+'[1]Budget 2025W'!K674</f>
        <v>0</v>
      </c>
      <c r="E555" s="75">
        <f>+'[1]Budget 2025W'!L674</f>
        <v>0</v>
      </c>
      <c r="F555" s="154">
        <f>+'[1]Budget 2025W'!M674</f>
        <v>0</v>
      </c>
      <c r="G555" s="154">
        <f>+'[1]Budget 2025W'!N674</f>
        <v>0</v>
      </c>
      <c r="H555" s="154">
        <f>+'[1]Budget 2025W'!O674</f>
        <v>0</v>
      </c>
      <c r="I555" s="154">
        <f>+'[1]Budget 2025W'!P674</f>
        <v>96.807608695652178</v>
      </c>
      <c r="J555" s="154">
        <f>+'[1]Budget 2025W'!Q674</f>
        <v>120.52809877955761</v>
      </c>
      <c r="K555" s="154">
        <f>+'[1]Budget 2025W'!R674</f>
        <v>121.33864416475974</v>
      </c>
      <c r="L555" s="154">
        <f>+'[1]Budget 2025W'!S674</f>
        <v>120.52809877955761</v>
      </c>
      <c r="M555" s="154">
        <f>+'[1]Budget 2025W'!T674</f>
        <v>120.12282608695654</v>
      </c>
      <c r="N555" s="154">
        <f>+'[1]Budget 2025W'!U674</f>
        <v>120.12282608695654</v>
      </c>
      <c r="O555" s="154">
        <f>+'[1]Budget 2025W'!V674</f>
        <v>120.93337147215867</v>
      </c>
      <c r="P555" s="131"/>
      <c r="Q555" s="156">
        <f t="shared" si="62"/>
        <v>820.38147406559904</v>
      </c>
    </row>
    <row r="556" spans="3:17" x14ac:dyDescent="0.2">
      <c r="C556" s="153" t="s">
        <v>106</v>
      </c>
      <c r="D556" s="75">
        <f>+'[1]Budget 2025W'!K675</f>
        <v>0</v>
      </c>
      <c r="E556" s="75">
        <f>+'[1]Budget 2025W'!L675</f>
        <v>0</v>
      </c>
      <c r="F556" s="154">
        <f>+'[1]Budget 2025W'!M675</f>
        <v>0</v>
      </c>
      <c r="G556" s="154">
        <f>+'[1]Budget 2025W'!N675</f>
        <v>0</v>
      </c>
      <c r="H556" s="154">
        <f>+'[1]Budget 2025W'!O675</f>
        <v>0</v>
      </c>
      <c r="I556" s="154">
        <f>+'[1]Budget 2025W'!P675</f>
        <v>0</v>
      </c>
      <c r="J556" s="154">
        <f>+'[1]Budget 2025W'!Q675</f>
        <v>0</v>
      </c>
      <c r="K556" s="154">
        <f>+'[1]Budget 2025W'!R675</f>
        <v>0</v>
      </c>
      <c r="L556" s="154">
        <f>+'[1]Budget 2025W'!S675</f>
        <v>0</v>
      </c>
      <c r="M556" s="154">
        <f>+'[1]Budget 2025W'!T675</f>
        <v>0</v>
      </c>
      <c r="N556" s="154">
        <f>+'[1]Budget 2025W'!U675</f>
        <v>0</v>
      </c>
      <c r="O556" s="154">
        <f>+'[1]Budget 2025W'!V675</f>
        <v>0</v>
      </c>
      <c r="P556" s="131"/>
      <c r="Q556" s="156">
        <f t="shared" si="62"/>
        <v>0</v>
      </c>
    </row>
    <row r="557" spans="3:17" x14ac:dyDescent="0.2">
      <c r="C557" s="153" t="s">
        <v>107</v>
      </c>
      <c r="D557" s="75">
        <f>+'[1]Budget 2025W'!K676</f>
        <v>0</v>
      </c>
      <c r="E557" s="75">
        <f>+'[1]Budget 2025W'!L676</f>
        <v>0</v>
      </c>
      <c r="F557" s="154">
        <f>+'[1]Budget 2025W'!M676</f>
        <v>0</v>
      </c>
      <c r="G557" s="154">
        <f>+'[1]Budget 2025W'!N676</f>
        <v>0</v>
      </c>
      <c r="H557" s="154">
        <f>+'[1]Budget 2025W'!O676</f>
        <v>0</v>
      </c>
      <c r="I557" s="154">
        <f>+'[1]Budget 2025W'!P676</f>
        <v>297.86956521739131</v>
      </c>
      <c r="J557" s="154">
        <f>+'[1]Budget 2025W'!Q676</f>
        <v>369.60869565217394</v>
      </c>
      <c r="K557" s="154">
        <f>+'[1]Budget 2025W'!R676</f>
        <v>369.60869565217394</v>
      </c>
      <c r="L557" s="154">
        <f>+'[1]Budget 2025W'!S676</f>
        <v>369.60869565217394</v>
      </c>
      <c r="M557" s="154">
        <f>+'[1]Budget 2025W'!T676</f>
        <v>369.60869565217394</v>
      </c>
      <c r="N557" s="154">
        <f>+'[1]Budget 2025W'!U676</f>
        <v>369.60869565217394</v>
      </c>
      <c r="O557" s="154">
        <f>+'[1]Budget 2025W'!V676</f>
        <v>369.60869565217394</v>
      </c>
      <c r="P557" s="131"/>
      <c r="Q557" s="156">
        <f t="shared" si="62"/>
        <v>2515.521739130435</v>
      </c>
    </row>
    <row r="558" spans="3:17" x14ac:dyDescent="0.2">
      <c r="C558" s="153" t="s">
        <v>108</v>
      </c>
      <c r="D558" s="75">
        <f>+'[1]Budget 2025W'!K677</f>
        <v>0</v>
      </c>
      <c r="E558" s="75">
        <f>+'[1]Budget 2025W'!L677</f>
        <v>0</v>
      </c>
      <c r="F558" s="154">
        <f>+'[1]Budget 2025W'!M677</f>
        <v>0</v>
      </c>
      <c r="G558" s="154">
        <f>+'[1]Budget 2025W'!N677</f>
        <v>0</v>
      </c>
      <c r="H558" s="154">
        <f>+'[1]Budget 2025W'!O677</f>
        <v>0</v>
      </c>
      <c r="I558" s="154">
        <f>+'[1]Budget 2025W'!P677</f>
        <v>0</v>
      </c>
      <c r="J558" s="154">
        <f>+'[1]Budget 2025W'!Q677</f>
        <v>0</v>
      </c>
      <c r="K558" s="154">
        <f>+'[1]Budget 2025W'!R677</f>
        <v>0</v>
      </c>
      <c r="L558" s="154">
        <f>+'[1]Budget 2025W'!S677</f>
        <v>0</v>
      </c>
      <c r="M558" s="154">
        <f>+'[1]Budget 2025W'!T677</f>
        <v>0</v>
      </c>
      <c r="N558" s="154">
        <f>+'[1]Budget 2025W'!U677</f>
        <v>0</v>
      </c>
      <c r="O558" s="154">
        <f>+'[1]Budget 2025W'!V677</f>
        <v>0</v>
      </c>
      <c r="P558" s="131"/>
      <c r="Q558" s="156">
        <f t="shared" si="62"/>
        <v>0</v>
      </c>
    </row>
    <row r="559" spans="3:17" x14ac:dyDescent="0.2">
      <c r="C559" s="153" t="s">
        <v>109</v>
      </c>
      <c r="D559" s="75">
        <f>+'[1]Budget 2025W'!K678</f>
        <v>0</v>
      </c>
      <c r="E559" s="75">
        <f>+'[1]Budget 2025W'!L678</f>
        <v>0</v>
      </c>
      <c r="F559" s="154">
        <f>+'[1]Budget 2025W'!M678</f>
        <v>0</v>
      </c>
      <c r="G559" s="154">
        <f>+'[1]Budget 2025W'!N678</f>
        <v>0</v>
      </c>
      <c r="H559" s="154">
        <f>+'[1]Budget 2025W'!O678</f>
        <v>0</v>
      </c>
      <c r="I559" s="154">
        <f>+'[1]Budget 2025W'!P678</f>
        <v>0</v>
      </c>
      <c r="J559" s="154">
        <f>+'[1]Budget 2025W'!Q678</f>
        <v>0</v>
      </c>
      <c r="K559" s="154">
        <f>+'[1]Budget 2025W'!R678</f>
        <v>0</v>
      </c>
      <c r="L559" s="154">
        <f>+'[1]Budget 2025W'!S678</f>
        <v>0</v>
      </c>
      <c r="M559" s="154">
        <f>+'[1]Budget 2025W'!T678</f>
        <v>0</v>
      </c>
      <c r="N559" s="154">
        <f>+'[1]Budget 2025W'!U678</f>
        <v>0</v>
      </c>
      <c r="O559" s="154">
        <f>+'[1]Budget 2025W'!V678</f>
        <v>0</v>
      </c>
      <c r="P559" s="131"/>
      <c r="Q559" s="156">
        <f t="shared" si="62"/>
        <v>0</v>
      </c>
    </row>
    <row r="560" spans="3:17" x14ac:dyDescent="0.2">
      <c r="C560" s="153" t="s">
        <v>110</v>
      </c>
      <c r="D560" s="75">
        <f>+'[1]Budget 2025W'!K679</f>
        <v>0</v>
      </c>
      <c r="E560" s="75">
        <f>+'[1]Budget 2025W'!L679</f>
        <v>0</v>
      </c>
      <c r="F560" s="154">
        <f>+'[1]Budget 2025W'!M679</f>
        <v>0</v>
      </c>
      <c r="G560" s="154">
        <f>+'[1]Budget 2025W'!N679</f>
        <v>0</v>
      </c>
      <c r="H560" s="154">
        <f>+'[1]Budget 2025W'!O679</f>
        <v>0</v>
      </c>
      <c r="I560" s="154">
        <f>+'[1]Budget 2025W'!P679</f>
        <v>0</v>
      </c>
      <c r="J560" s="154">
        <f>+'[1]Budget 2025W'!Q679</f>
        <v>0</v>
      </c>
      <c r="K560" s="154">
        <f>+'[1]Budget 2025W'!R679</f>
        <v>0</v>
      </c>
      <c r="L560" s="154">
        <f>+'[1]Budget 2025W'!S679</f>
        <v>0</v>
      </c>
      <c r="M560" s="154">
        <f>+'[1]Budget 2025W'!T679</f>
        <v>0</v>
      </c>
      <c r="N560" s="154">
        <f>+'[1]Budget 2025W'!U679</f>
        <v>0</v>
      </c>
      <c r="O560" s="154">
        <f>+'[1]Budget 2025W'!V679</f>
        <v>0</v>
      </c>
      <c r="P560" s="131"/>
      <c r="Q560" s="156">
        <f t="shared" si="62"/>
        <v>0</v>
      </c>
    </row>
    <row r="561" spans="3:17" x14ac:dyDescent="0.2">
      <c r="C561" s="153" t="s">
        <v>111</v>
      </c>
      <c r="D561" s="75">
        <f>+'[1]Budget 2025W'!K680</f>
        <v>0</v>
      </c>
      <c r="E561" s="75">
        <f>+'[1]Budget 2025W'!L680</f>
        <v>0</v>
      </c>
      <c r="F561" s="154">
        <f>+'[1]Budget 2025W'!M680</f>
        <v>0</v>
      </c>
      <c r="G561" s="154">
        <f>+'[1]Budget 2025W'!N680</f>
        <v>0</v>
      </c>
      <c r="H561" s="154">
        <f>+'[1]Budget 2025W'!O680</f>
        <v>0</v>
      </c>
      <c r="I561" s="154">
        <f>+'[1]Budget 2025W'!P680</f>
        <v>0</v>
      </c>
      <c r="J561" s="154">
        <f>+'[1]Budget 2025W'!Q680</f>
        <v>0</v>
      </c>
      <c r="K561" s="154">
        <f>+'[1]Budget 2025W'!R680</f>
        <v>0</v>
      </c>
      <c r="L561" s="154">
        <f>+'[1]Budget 2025W'!S680</f>
        <v>0</v>
      </c>
      <c r="M561" s="154">
        <f>+'[1]Budget 2025W'!T680</f>
        <v>0</v>
      </c>
      <c r="N561" s="154">
        <f>+'[1]Budget 2025W'!U680</f>
        <v>0</v>
      </c>
      <c r="O561" s="154">
        <f>+'[1]Budget 2025W'!V680</f>
        <v>0</v>
      </c>
      <c r="P561" s="131"/>
      <c r="Q561" s="156">
        <f t="shared" si="62"/>
        <v>0</v>
      </c>
    </row>
    <row r="562" spans="3:17" x14ac:dyDescent="0.2">
      <c r="C562" s="153" t="s">
        <v>112</v>
      </c>
      <c r="D562" s="75">
        <f>+'[1]Budget 2025W'!K681</f>
        <v>0</v>
      </c>
      <c r="E562" s="75">
        <f>+'[1]Budget 2025W'!L681</f>
        <v>0</v>
      </c>
      <c r="F562" s="154">
        <f>+'[1]Budget 2025W'!M681</f>
        <v>0</v>
      </c>
      <c r="G562" s="154">
        <f>+'[1]Budget 2025W'!N681</f>
        <v>0</v>
      </c>
      <c r="H562" s="154">
        <f>+'[1]Budget 2025W'!O681</f>
        <v>0</v>
      </c>
      <c r="I562" s="154">
        <f>+'[1]Budget 2025W'!P681</f>
        <v>0</v>
      </c>
      <c r="J562" s="154">
        <f>+'[1]Budget 2025W'!Q681</f>
        <v>0</v>
      </c>
      <c r="K562" s="154">
        <f>+'[1]Budget 2025W'!R681</f>
        <v>0</v>
      </c>
      <c r="L562" s="154">
        <f>+'[1]Budget 2025W'!S681</f>
        <v>0</v>
      </c>
      <c r="M562" s="154">
        <f>+'[1]Budget 2025W'!T681</f>
        <v>0</v>
      </c>
      <c r="N562" s="154">
        <f>+'[1]Budget 2025W'!U681</f>
        <v>0</v>
      </c>
      <c r="O562" s="154">
        <f>+'[1]Budget 2025W'!V681</f>
        <v>0</v>
      </c>
      <c r="P562" s="131"/>
      <c r="Q562" s="156">
        <f t="shared" si="62"/>
        <v>0</v>
      </c>
    </row>
    <row r="563" spans="3:17" ht="15.75" thickBot="1" x14ac:dyDescent="0.25">
      <c r="C563" s="153" t="s">
        <v>113</v>
      </c>
      <c r="D563" s="75">
        <f>+'[1]Budget 2025W'!K682</f>
        <v>0</v>
      </c>
      <c r="E563" s="75">
        <f>+'[1]Budget 2025W'!L682</f>
        <v>0</v>
      </c>
      <c r="F563" s="154">
        <f>+'[1]Budget 2025W'!M682</f>
        <v>0</v>
      </c>
      <c r="G563" s="154">
        <f>+'[1]Budget 2025W'!N682</f>
        <v>0</v>
      </c>
      <c r="H563" s="154">
        <f>+'[1]Budget 2025W'!O682</f>
        <v>0</v>
      </c>
      <c r="I563" s="154">
        <f>+'[1]Budget 2025W'!P682</f>
        <v>0.33185840707964603</v>
      </c>
      <c r="J563" s="154">
        <f>+'[1]Budget 2025W'!Q682</f>
        <v>0.38617886178861788</v>
      </c>
      <c r="K563" s="154">
        <f>+'[1]Budget 2025W'!R682</f>
        <v>0.38617886178861788</v>
      </c>
      <c r="L563" s="154">
        <f>+'[1]Budget 2025W'!S682</f>
        <v>0.38617886178861788</v>
      </c>
      <c r="M563" s="154">
        <f>+'[1]Budget 2025W'!T682</f>
        <v>0.38617886178861788</v>
      </c>
      <c r="N563" s="154">
        <f>+'[1]Budget 2025W'!U682</f>
        <v>0.38617886178861788</v>
      </c>
      <c r="O563" s="154">
        <f>+'[1]Budget 2025W'!V682</f>
        <v>0.38617886178861788</v>
      </c>
      <c r="P563" s="131"/>
      <c r="Q563" s="156">
        <f t="shared" si="62"/>
        <v>2.6489315778113536</v>
      </c>
    </row>
    <row r="564" spans="3:17" ht="17.25" thickTop="1" thickBot="1" x14ac:dyDescent="0.3">
      <c r="C564" s="162" t="s">
        <v>114</v>
      </c>
      <c r="D564" s="163">
        <f>+'[1]Budget 2025W'!K686</f>
        <v>0</v>
      </c>
      <c r="E564" s="163">
        <f>+'[1]Budget 2025W'!L686</f>
        <v>0</v>
      </c>
      <c r="F564" s="163">
        <f>+'[1]Budget 2025W'!M686</f>
        <v>0</v>
      </c>
      <c r="G564" s="163">
        <f>+'[1]Budget 2025W'!N686</f>
        <v>0</v>
      </c>
      <c r="H564" s="163">
        <f>+'[1]Budget 2025W'!O686</f>
        <v>0</v>
      </c>
      <c r="I564" s="163">
        <f>+'[1]Budget 2025W'!P686</f>
        <v>10565.010733769399</v>
      </c>
      <c r="J564" s="163">
        <f>+'[1]Budget 2025W'!Q686</f>
        <v>13153.697950740763</v>
      </c>
      <c r="K564" s="163">
        <f>+'[1]Budget 2025W'!R686</f>
        <v>13242.153308991463</v>
      </c>
      <c r="L564" s="163">
        <f>+'[1]Budget 2025W'!S686</f>
        <v>13153.697950740763</v>
      </c>
      <c r="M564" s="163">
        <f>+'[1]Budget 2025W'!T686</f>
        <v>13109.470271615412</v>
      </c>
      <c r="N564" s="163">
        <f>+'[1]Budget 2025W'!U686</f>
        <v>13109.470271615412</v>
      </c>
      <c r="O564" s="163">
        <f>+'[1]Budget 2025W'!V686</f>
        <v>13197.925629866111</v>
      </c>
      <c r="P564" s="131"/>
      <c r="Q564" s="207">
        <f t="shared" si="62"/>
        <v>89531.426117339317</v>
      </c>
    </row>
    <row r="565" spans="3:17" ht="16.5" thickTop="1" thickBot="1" x14ac:dyDescent="0.25">
      <c r="C565" s="201"/>
      <c r="D565" s="168"/>
      <c r="E565" s="168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31"/>
      <c r="Q565" s="171"/>
    </row>
    <row r="566" spans="3:17" ht="15.75" x14ac:dyDescent="0.25">
      <c r="C566" s="195" t="s">
        <v>44</v>
      </c>
      <c r="D566" s="196"/>
      <c r="E566" s="196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31"/>
      <c r="Q566" s="161"/>
    </row>
    <row r="567" spans="3:17" x14ac:dyDescent="0.2">
      <c r="C567" s="210" t="s">
        <v>225</v>
      </c>
      <c r="D567" s="75">
        <f>+'[1]Budget 2025W'!K696</f>
        <v>0</v>
      </c>
      <c r="E567" s="75">
        <f>+'[1]Budget 2025W'!L696</f>
        <v>0</v>
      </c>
      <c r="F567" s="154">
        <f>+'[1]Budget 2025W'!M696</f>
        <v>0</v>
      </c>
      <c r="G567" s="154">
        <f>+'[1]Budget 2025W'!N696</f>
        <v>0</v>
      </c>
      <c r="H567" s="154">
        <f>+'[1]Budget 2025W'!O696</f>
        <v>0</v>
      </c>
      <c r="I567" s="154">
        <f>+'[1]Budget 2025W'!P696</f>
        <v>1032.6603260869565</v>
      </c>
      <c r="J567" s="154">
        <f>+'[1]Budget 2025W'!Q696</f>
        <v>368.47826086956519</v>
      </c>
      <c r="K567" s="154">
        <f>+'[1]Budget 2025W'!R696</f>
        <v>368.47826086956519</v>
      </c>
      <c r="L567" s="154">
        <f>+'[1]Budget 2025W'!S696</f>
        <v>589.87228260869563</v>
      </c>
      <c r="M567" s="154">
        <f>+'[1]Budget 2025W'!T696</f>
        <v>368.47826086956519</v>
      </c>
      <c r="N567" s="154">
        <f>+'[1]Budget 2025W'!U696</f>
        <v>1032.6603260869565</v>
      </c>
      <c r="O567" s="154">
        <f>+'[1]Budget 2025W'!V696</f>
        <v>368.47826086956519</v>
      </c>
      <c r="P567" s="131"/>
      <c r="Q567" s="156">
        <f t="shared" ref="Q567:Q591" si="63">SUM(D567:O567)</f>
        <v>4129.1059782608691</v>
      </c>
    </row>
    <row r="568" spans="3:17" x14ac:dyDescent="0.2">
      <c r="C568" s="210" t="s">
        <v>226</v>
      </c>
      <c r="D568" s="75">
        <f>+'[1]Budget 2025W'!K697</f>
        <v>0</v>
      </c>
      <c r="E568" s="75">
        <f>+'[1]Budget 2025W'!L697</f>
        <v>0</v>
      </c>
      <c r="F568" s="154">
        <f>+'[1]Budget 2025W'!M697</f>
        <v>0</v>
      </c>
      <c r="G568" s="154">
        <f>+'[1]Budget 2025W'!N697</f>
        <v>0</v>
      </c>
      <c r="H568" s="154">
        <f>+'[1]Budget 2025W'!O697</f>
        <v>0</v>
      </c>
      <c r="I568" s="154">
        <f>+'[1]Budget 2025W'!P697</f>
        <v>569.29891304347825</v>
      </c>
      <c r="J568" s="154">
        <f>+'[1]Budget 2025W'!Q697</f>
        <v>569.29891304347825</v>
      </c>
      <c r="K568" s="154">
        <f>+'[1]Budget 2025W'!R697</f>
        <v>569.29891304347825</v>
      </c>
      <c r="L568" s="154">
        <f>+'[1]Budget 2025W'!S697</f>
        <v>569.29891304347825</v>
      </c>
      <c r="M568" s="154">
        <f>+'[1]Budget 2025W'!T697</f>
        <v>569.29891304347825</v>
      </c>
      <c r="N568" s="154">
        <f>+'[1]Budget 2025W'!U697</f>
        <v>569.29891304347825</v>
      </c>
      <c r="O568" s="154">
        <f>+'[1]Budget 2025W'!V697</f>
        <v>569.29891304347825</v>
      </c>
      <c r="P568" s="131"/>
      <c r="Q568" s="156">
        <f t="shared" si="63"/>
        <v>3985.0923913043471</v>
      </c>
    </row>
    <row r="569" spans="3:17" x14ac:dyDescent="0.2">
      <c r="C569" s="210" t="s">
        <v>227</v>
      </c>
      <c r="D569" s="75">
        <f>+'[1]Budget 2025W'!K698</f>
        <v>0</v>
      </c>
      <c r="E569" s="75">
        <f>+'[1]Budget 2025W'!L698</f>
        <v>0</v>
      </c>
      <c r="F569" s="154">
        <f>+'[1]Budget 2025W'!M698</f>
        <v>0</v>
      </c>
      <c r="G569" s="154">
        <f>+'[1]Budget 2025W'!N698</f>
        <v>0</v>
      </c>
      <c r="H569" s="154">
        <f>+'[1]Budget 2025W'!O698</f>
        <v>0</v>
      </c>
      <c r="I569" s="154">
        <f>+'[1]Budget 2025W'!P698</f>
        <v>884.3478260869565</v>
      </c>
      <c r="J569" s="154">
        <f>+'[1]Budget 2025W'!Q698</f>
        <v>884.3478260869565</v>
      </c>
      <c r="K569" s="154">
        <f>+'[1]Budget 2025W'!R698</f>
        <v>884.3478260869565</v>
      </c>
      <c r="L569" s="154">
        <f>+'[1]Budget 2025W'!S698</f>
        <v>884.3478260869565</v>
      </c>
      <c r="M569" s="154">
        <f>+'[1]Budget 2025W'!T698</f>
        <v>884.3478260869565</v>
      </c>
      <c r="N569" s="154">
        <f>+'[1]Budget 2025W'!U698</f>
        <v>884.3478260869565</v>
      </c>
      <c r="O569" s="154">
        <f>+'[1]Budget 2025W'!V698</f>
        <v>884.3478260869565</v>
      </c>
      <c r="P569" s="131"/>
      <c r="Q569" s="156">
        <f t="shared" si="63"/>
        <v>6190.4347826086941</v>
      </c>
    </row>
    <row r="570" spans="3:17" x14ac:dyDescent="0.2">
      <c r="C570" s="210" t="s">
        <v>228</v>
      </c>
      <c r="D570" s="75">
        <f>+'[1]Budget 2025W'!K699</f>
        <v>0</v>
      </c>
      <c r="E570" s="75">
        <f>+'[1]Budget 2025W'!L699</f>
        <v>0</v>
      </c>
      <c r="F570" s="154">
        <f>+'[1]Budget 2025W'!M699</f>
        <v>0</v>
      </c>
      <c r="G570" s="154">
        <f>+'[1]Budget 2025W'!N699</f>
        <v>0</v>
      </c>
      <c r="H570" s="154">
        <f>+'[1]Budget 2025W'!O699</f>
        <v>0</v>
      </c>
      <c r="I570" s="154">
        <f>+'[1]Budget 2025W'!P699</f>
        <v>2215.2391304347825</v>
      </c>
      <c r="J570" s="154">
        <f>+'[1]Budget 2025W'!Q699</f>
        <v>326.08695652173913</v>
      </c>
      <c r="K570" s="154">
        <f>+'[1]Budget 2025W'!R699</f>
        <v>326.08695652173913</v>
      </c>
      <c r="L570" s="154">
        <f>+'[1]Budget 2025W'!S699</f>
        <v>1043.4782608695652</v>
      </c>
      <c r="M570" s="154">
        <f>+'[1]Budget 2025W'!T699</f>
        <v>326.08695652173913</v>
      </c>
      <c r="N570" s="154">
        <f>+'[1]Budget 2025W'!U699</f>
        <v>326.08695652173913</v>
      </c>
      <c r="O570" s="154">
        <f>+'[1]Budget 2025W'!V699</f>
        <v>1043.4782608695652</v>
      </c>
      <c r="P570" s="131"/>
      <c r="Q570" s="156">
        <f t="shared" si="63"/>
        <v>5606.5434782608691</v>
      </c>
    </row>
    <row r="571" spans="3:17" x14ac:dyDescent="0.2">
      <c r="C571" s="210" t="s">
        <v>229</v>
      </c>
      <c r="D571" s="75">
        <f>+'[1]Budget 2025W'!K700</f>
        <v>0</v>
      </c>
      <c r="E571" s="75">
        <f>+'[1]Budget 2025W'!L700</f>
        <v>0</v>
      </c>
      <c r="F571" s="154">
        <f>+'[1]Budget 2025W'!M700</f>
        <v>0</v>
      </c>
      <c r="G571" s="154">
        <f>+'[1]Budget 2025W'!N700</f>
        <v>0</v>
      </c>
      <c r="H571" s="154">
        <f>+'[1]Budget 2025W'!O700</f>
        <v>0</v>
      </c>
      <c r="I571" s="154">
        <f>+'[1]Budget 2025W'!P700</f>
        <v>61.413043478260867</v>
      </c>
      <c r="J571" s="154">
        <f>+'[1]Budget 2025W'!Q700</f>
        <v>61.413043478260867</v>
      </c>
      <c r="K571" s="154">
        <f>+'[1]Budget 2025W'!R700</f>
        <v>798.36956521739125</v>
      </c>
      <c r="L571" s="154">
        <f>+'[1]Budget 2025W'!S700</f>
        <v>61.413043478260867</v>
      </c>
      <c r="M571" s="154">
        <f>+'[1]Budget 2025W'!T700</f>
        <v>1003.4130434782609</v>
      </c>
      <c r="N571" s="154">
        <f>+'[1]Budget 2025W'!U700</f>
        <v>61.413043478260867</v>
      </c>
      <c r="O571" s="154">
        <f>+'[1]Budget 2025W'!V700</f>
        <v>61.413043478260867</v>
      </c>
      <c r="P571" s="131"/>
      <c r="Q571" s="156">
        <f t="shared" si="63"/>
        <v>2108.8478260869565</v>
      </c>
    </row>
    <row r="572" spans="3:17" x14ac:dyDescent="0.2">
      <c r="C572" s="210" t="s">
        <v>230</v>
      </c>
      <c r="D572" s="75">
        <f>+'[1]Budget 2025W'!K701</f>
        <v>0</v>
      </c>
      <c r="E572" s="75">
        <f>+'[1]Budget 2025W'!L701</f>
        <v>0</v>
      </c>
      <c r="F572" s="154">
        <f>+'[1]Budget 2025W'!M701</f>
        <v>0</v>
      </c>
      <c r="G572" s="154">
        <f>+'[1]Budget 2025W'!N701</f>
        <v>0</v>
      </c>
      <c r="H572" s="154">
        <f>+'[1]Budget 2025W'!O701</f>
        <v>0</v>
      </c>
      <c r="I572" s="154">
        <f>+'[1]Budget 2025W'!P701</f>
        <v>1525.5</v>
      </c>
      <c r="J572" s="154">
        <f>+'[1]Budget 2025W'!Q701</f>
        <v>1525.5</v>
      </c>
      <c r="K572" s="154">
        <f>+'[1]Budget 2025W'!R701</f>
        <v>1525.5</v>
      </c>
      <c r="L572" s="154">
        <f>+'[1]Budget 2025W'!S701</f>
        <v>1525.5</v>
      </c>
      <c r="M572" s="154">
        <f>+'[1]Budget 2025W'!T701</f>
        <v>1525.5</v>
      </c>
      <c r="N572" s="154">
        <f>+'[1]Budget 2025W'!U701</f>
        <v>1525.5</v>
      </c>
      <c r="O572" s="154">
        <f>+'[1]Budget 2025W'!V701</f>
        <v>1525.5</v>
      </c>
      <c r="P572" s="131"/>
      <c r="Q572" s="156">
        <f t="shared" si="63"/>
        <v>10678.5</v>
      </c>
    </row>
    <row r="573" spans="3:17" x14ac:dyDescent="0.2">
      <c r="C573" s="210" t="s">
        <v>231</v>
      </c>
      <c r="D573" s="75">
        <f>+'[1]Budget 2025W'!K702</f>
        <v>0</v>
      </c>
      <c r="E573" s="75">
        <f>+'[1]Budget 2025W'!L702</f>
        <v>0</v>
      </c>
      <c r="F573" s="154">
        <f>+'[1]Budget 2025W'!M702</f>
        <v>0</v>
      </c>
      <c r="G573" s="154">
        <f>+'[1]Budget 2025W'!N702</f>
        <v>0</v>
      </c>
      <c r="H573" s="154">
        <f>+'[1]Budget 2025W'!O702</f>
        <v>0</v>
      </c>
      <c r="I573" s="154">
        <f>+'[1]Budget 2025W'!P702</f>
        <v>208.80434782608697</v>
      </c>
      <c r="J573" s="154">
        <f>+'[1]Budget 2025W'!Q702</f>
        <v>208.80434782608697</v>
      </c>
      <c r="K573" s="154">
        <f>+'[1]Budget 2025W'!R702</f>
        <v>208.80434782608697</v>
      </c>
      <c r="L573" s="154">
        <f>+'[1]Budget 2025W'!S702</f>
        <v>208.80434782608697</v>
      </c>
      <c r="M573" s="154">
        <f>+'[1]Budget 2025W'!T702</f>
        <v>208.80434782608697</v>
      </c>
      <c r="N573" s="154">
        <f>+'[1]Budget 2025W'!U702</f>
        <v>208.80434782608697</v>
      </c>
      <c r="O573" s="154">
        <f>+'[1]Budget 2025W'!V702</f>
        <v>208.80434782608697</v>
      </c>
      <c r="P573" s="131"/>
      <c r="Q573" s="156">
        <f t="shared" si="63"/>
        <v>1461.6304347826087</v>
      </c>
    </row>
    <row r="574" spans="3:17" x14ac:dyDescent="0.2">
      <c r="C574" s="210" t="s">
        <v>232</v>
      </c>
      <c r="D574" s="75">
        <f>+'[1]Budget 2025W'!K703</f>
        <v>0</v>
      </c>
      <c r="E574" s="75">
        <f>+'[1]Budget 2025W'!L703</f>
        <v>0</v>
      </c>
      <c r="F574" s="154">
        <f>+'[1]Budget 2025W'!M703</f>
        <v>0</v>
      </c>
      <c r="G574" s="154">
        <f>+'[1]Budget 2025W'!N703</f>
        <v>0</v>
      </c>
      <c r="H574" s="154">
        <f>+'[1]Budget 2025W'!O703</f>
        <v>0</v>
      </c>
      <c r="I574" s="154">
        <f>+'[1]Budget 2025W'!P703</f>
        <v>4480</v>
      </c>
      <c r="J574" s="154">
        <f>+'[1]Budget 2025W'!Q703</f>
        <v>4480</v>
      </c>
      <c r="K574" s="154">
        <f>+'[1]Budget 2025W'!R703</f>
        <v>4480</v>
      </c>
      <c r="L574" s="154">
        <f>+'[1]Budget 2025W'!S703</f>
        <v>0</v>
      </c>
      <c r="M574" s="154">
        <f>+'[1]Budget 2025W'!T703</f>
        <v>0</v>
      </c>
      <c r="N574" s="154">
        <f>+'[1]Budget 2025W'!U703</f>
        <v>0</v>
      </c>
      <c r="O574" s="154">
        <f>+'[1]Budget 2025W'!V703</f>
        <v>0</v>
      </c>
      <c r="P574" s="131"/>
      <c r="Q574" s="156">
        <f t="shared" si="63"/>
        <v>13440</v>
      </c>
    </row>
    <row r="575" spans="3:17" x14ac:dyDescent="0.2">
      <c r="C575" s="211" t="s">
        <v>233</v>
      </c>
      <c r="D575" s="75">
        <f>+'[1]Budget 2025W'!K704</f>
        <v>0</v>
      </c>
      <c r="E575" s="75">
        <f>+'[1]Budget 2025W'!L704</f>
        <v>0</v>
      </c>
      <c r="F575" s="154">
        <f>+'[1]Budget 2025W'!M704</f>
        <v>0</v>
      </c>
      <c r="G575" s="154">
        <f>+'[1]Budget 2025W'!N704</f>
        <v>0</v>
      </c>
      <c r="H575" s="154">
        <f>+'[1]Budget 2025W'!O704</f>
        <v>0</v>
      </c>
      <c r="I575" s="154">
        <f>+'[1]Budget 2025W'!P704</f>
        <v>0</v>
      </c>
      <c r="J575" s="154">
        <f>+'[1]Budget 2025W'!Q704</f>
        <v>0</v>
      </c>
      <c r="K575" s="154">
        <f>+'[1]Budget 2025W'!R704</f>
        <v>736.95652173913038</v>
      </c>
      <c r="L575" s="154">
        <f>+'[1]Budget 2025W'!S704</f>
        <v>0</v>
      </c>
      <c r="M575" s="154">
        <f>+'[1]Budget 2025W'!T704</f>
        <v>0</v>
      </c>
      <c r="N575" s="154">
        <f>+'[1]Budget 2025W'!U704</f>
        <v>0</v>
      </c>
      <c r="O575" s="154">
        <f>+'[1]Budget 2025W'!V704</f>
        <v>736.95652173913038</v>
      </c>
      <c r="P575" s="131"/>
      <c r="Q575" s="156">
        <f t="shared" si="63"/>
        <v>1473.9130434782608</v>
      </c>
    </row>
    <row r="576" spans="3:17" x14ac:dyDescent="0.2">
      <c r="C576" s="1" t="s">
        <v>234</v>
      </c>
      <c r="D576" s="75">
        <f>+'[1]Budget 2025W'!K705</f>
        <v>0</v>
      </c>
      <c r="E576" s="75">
        <f>+'[1]Budget 2025W'!L705</f>
        <v>0</v>
      </c>
      <c r="F576" s="154">
        <f>+'[1]Budget 2025W'!M705</f>
        <v>0</v>
      </c>
      <c r="G576" s="154">
        <f>+'[1]Budget 2025W'!N705</f>
        <v>0</v>
      </c>
      <c r="H576" s="154">
        <f>+'[1]Budget 2025W'!O705</f>
        <v>0</v>
      </c>
      <c r="I576" s="154">
        <f>+'[1]Budget 2025W'!P705</f>
        <v>0</v>
      </c>
      <c r="J576" s="154">
        <f>+'[1]Budget 2025W'!Q705</f>
        <v>0</v>
      </c>
      <c r="K576" s="154">
        <f>+'[1]Budget 2025W'!R705</f>
        <v>0</v>
      </c>
      <c r="L576" s="154">
        <f>+'[1]Budget 2025W'!S705</f>
        <v>200</v>
      </c>
      <c r="M576" s="154">
        <f>+'[1]Budget 2025W'!T705</f>
        <v>0</v>
      </c>
      <c r="N576" s="154">
        <f>+'[1]Budget 2025W'!U705</f>
        <v>0</v>
      </c>
      <c r="O576" s="154">
        <f>+'[1]Budget 2025W'!V705</f>
        <v>200</v>
      </c>
      <c r="P576" s="131"/>
      <c r="Q576" s="156">
        <f t="shared" si="63"/>
        <v>400</v>
      </c>
    </row>
    <row r="577" spans="3:17" x14ac:dyDescent="0.2">
      <c r="C577" s="1" t="s">
        <v>235</v>
      </c>
      <c r="D577" s="75">
        <f>+'[1]Budget 2025W'!K706</f>
        <v>0</v>
      </c>
      <c r="E577" s="75">
        <f>+'[1]Budget 2025W'!L706</f>
        <v>0</v>
      </c>
      <c r="F577" s="154">
        <f>+'[1]Budget 2025W'!M706</f>
        <v>0</v>
      </c>
      <c r="G577" s="154">
        <f>+'[1]Budget 2025W'!N706</f>
        <v>0</v>
      </c>
      <c r="H577" s="154">
        <f>+'[1]Budget 2025W'!O706</f>
        <v>0</v>
      </c>
      <c r="I577" s="154">
        <f>+'[1]Budget 2025W'!P706</f>
        <v>350</v>
      </c>
      <c r="J577" s="154">
        <f>+'[1]Budget 2025W'!Q706</f>
        <v>350</v>
      </c>
      <c r="K577" s="154">
        <f>+'[1]Budget 2025W'!R706</f>
        <v>350</v>
      </c>
      <c r="L577" s="154">
        <f>+'[1]Budget 2025W'!S706</f>
        <v>350</v>
      </c>
      <c r="M577" s="154">
        <f>+'[1]Budget 2025W'!T706</f>
        <v>350</v>
      </c>
      <c r="N577" s="154">
        <f>+'[1]Budget 2025W'!U706</f>
        <v>350</v>
      </c>
      <c r="O577" s="154">
        <f>+'[1]Budget 2025W'!V706</f>
        <v>350</v>
      </c>
      <c r="P577" s="131"/>
      <c r="Q577" s="156">
        <f t="shared" si="63"/>
        <v>2450</v>
      </c>
    </row>
    <row r="578" spans="3:17" x14ac:dyDescent="0.2">
      <c r="C578" s="1" t="s">
        <v>236</v>
      </c>
      <c r="D578" s="75">
        <f>+'[1]Budget 2025W'!K707</f>
        <v>0</v>
      </c>
      <c r="E578" s="75">
        <f>+'[1]Budget 2025W'!L707</f>
        <v>0</v>
      </c>
      <c r="F578" s="154">
        <f>+'[1]Budget 2025W'!M707</f>
        <v>0</v>
      </c>
      <c r="G578" s="154">
        <f>+'[1]Budget 2025W'!N707</f>
        <v>0</v>
      </c>
      <c r="H578" s="154">
        <f>+'[1]Budget 2025W'!O707</f>
        <v>0</v>
      </c>
      <c r="I578" s="154">
        <f>+'[1]Budget 2025W'!P707</f>
        <v>55.934782608695649</v>
      </c>
      <c r="J578" s="154">
        <f>+'[1]Budget 2025W'!Q707</f>
        <v>55.934782608695649</v>
      </c>
      <c r="K578" s="154">
        <f>+'[1]Budget 2025W'!R707</f>
        <v>55.934782608695649</v>
      </c>
      <c r="L578" s="154">
        <f>+'[1]Budget 2025W'!S707</f>
        <v>55.934782608695649</v>
      </c>
      <c r="M578" s="154">
        <f>+'[1]Budget 2025W'!T707</f>
        <v>55.934782608695649</v>
      </c>
      <c r="N578" s="154">
        <f>+'[1]Budget 2025W'!U707</f>
        <v>55.934782608695649</v>
      </c>
      <c r="O578" s="154">
        <f>+'[1]Budget 2025W'!V707</f>
        <v>55.934782608695649</v>
      </c>
      <c r="P578" s="131"/>
      <c r="Q578" s="156">
        <f t="shared" si="63"/>
        <v>391.54347826086951</v>
      </c>
    </row>
    <row r="579" spans="3:17" x14ac:dyDescent="0.2">
      <c r="C579" s="1" t="s">
        <v>237</v>
      </c>
      <c r="D579" s="75">
        <f>+'[1]Budget 2025W'!K708</f>
        <v>0</v>
      </c>
      <c r="E579" s="75">
        <f>+'[1]Budget 2025W'!L708</f>
        <v>0</v>
      </c>
      <c r="F579" s="154">
        <f>+'[1]Budget 2025W'!M708</f>
        <v>0</v>
      </c>
      <c r="G579" s="154">
        <f>+'[1]Budget 2025W'!N708</f>
        <v>0</v>
      </c>
      <c r="H579" s="154">
        <f>+'[1]Budget 2025W'!O708</f>
        <v>0</v>
      </c>
      <c r="I579" s="154">
        <f>+'[1]Budget 2025W'!P708</f>
        <v>50</v>
      </c>
      <c r="J579" s="154">
        <f>+'[1]Budget 2025W'!Q708</f>
        <v>50</v>
      </c>
      <c r="K579" s="154">
        <f>+'[1]Budget 2025W'!R708</f>
        <v>50</v>
      </c>
      <c r="L579" s="154">
        <f>+'[1]Budget 2025W'!S708</f>
        <v>50</v>
      </c>
      <c r="M579" s="154">
        <f>+'[1]Budget 2025W'!T708</f>
        <v>50</v>
      </c>
      <c r="N579" s="154">
        <f>+'[1]Budget 2025W'!U708</f>
        <v>50</v>
      </c>
      <c r="O579" s="154">
        <f>+'[1]Budget 2025W'!V708</f>
        <v>50</v>
      </c>
      <c r="P579" s="131"/>
      <c r="Q579" s="156">
        <f t="shared" si="63"/>
        <v>350</v>
      </c>
    </row>
    <row r="580" spans="3:17" x14ac:dyDescent="0.2">
      <c r="C580" s="1" t="s">
        <v>238</v>
      </c>
      <c r="D580" s="75">
        <f>+'[1]Budget 2025W'!K709</f>
        <v>0</v>
      </c>
      <c r="E580" s="75">
        <f>+'[1]Budget 2025W'!L709</f>
        <v>0</v>
      </c>
      <c r="F580" s="154">
        <f>+'[1]Budget 2025W'!M709</f>
        <v>0</v>
      </c>
      <c r="G580" s="154">
        <f>+'[1]Budget 2025W'!N709</f>
        <v>0</v>
      </c>
      <c r="H580" s="154">
        <f>+'[1]Budget 2025W'!O709</f>
        <v>0</v>
      </c>
      <c r="I580" s="154">
        <f>+'[1]Budget 2025W'!P709</f>
        <v>491.30434782608694</v>
      </c>
      <c r="J580" s="154">
        <f>+'[1]Budget 2025W'!Q709</f>
        <v>891.304347826087</v>
      </c>
      <c r="K580" s="154">
        <f>+'[1]Budget 2025W'!R709</f>
        <v>891.304347826087</v>
      </c>
      <c r="L580" s="154">
        <f>+'[1]Budget 2025W'!S709</f>
        <v>891.304347826087</v>
      </c>
      <c r="M580" s="154">
        <f>+'[1]Budget 2025W'!T709</f>
        <v>891.304347826087</v>
      </c>
      <c r="N580" s="154">
        <f>+'[1]Budget 2025W'!U709</f>
        <v>891.304347826087</v>
      </c>
      <c r="O580" s="154">
        <f>+'[1]Budget 2025W'!V709</f>
        <v>891.304347826087</v>
      </c>
      <c r="P580" s="131"/>
      <c r="Q580" s="156">
        <f t="shared" si="63"/>
        <v>5839.130434782609</v>
      </c>
    </row>
    <row r="581" spans="3:17" x14ac:dyDescent="0.2">
      <c r="C581" s="1" t="s">
        <v>239</v>
      </c>
      <c r="D581" s="75">
        <f>+'[1]Budget 2025W'!K710</f>
        <v>0</v>
      </c>
      <c r="E581" s="75">
        <f>+'[1]Budget 2025W'!L710</f>
        <v>0</v>
      </c>
      <c r="F581" s="154">
        <f>+'[1]Budget 2025W'!M710</f>
        <v>0</v>
      </c>
      <c r="G581" s="154">
        <f>+'[1]Budget 2025W'!N710</f>
        <v>0</v>
      </c>
      <c r="H581" s="154">
        <f>+'[1]Budget 2025W'!O710</f>
        <v>0</v>
      </c>
      <c r="I581" s="154">
        <f>+'[1]Budget 2025W'!P710</f>
        <v>150.33913043478262</v>
      </c>
      <c r="J581" s="154">
        <f>+'[1]Budget 2025W'!Q710</f>
        <v>150.33913043478262</v>
      </c>
      <c r="K581" s="154">
        <f>+'[1]Budget 2025W'!R710</f>
        <v>150.33913043478262</v>
      </c>
      <c r="L581" s="154">
        <f>+'[1]Budget 2025W'!S710</f>
        <v>150.33913043478262</v>
      </c>
      <c r="M581" s="154">
        <f>+'[1]Budget 2025W'!T710</f>
        <v>150.33913043478262</v>
      </c>
      <c r="N581" s="154">
        <f>+'[1]Budget 2025W'!U710</f>
        <v>150.33913043478262</v>
      </c>
      <c r="O581" s="154">
        <f>+'[1]Budget 2025W'!V710</f>
        <v>150.33913043478262</v>
      </c>
      <c r="P581" s="131"/>
      <c r="Q581" s="156">
        <f t="shared" si="63"/>
        <v>1052.3739130434783</v>
      </c>
    </row>
    <row r="582" spans="3:17" x14ac:dyDescent="0.2">
      <c r="C582" s="1" t="s">
        <v>240</v>
      </c>
      <c r="D582" s="75">
        <f>+'[1]Budget 2025W'!K711</f>
        <v>0</v>
      </c>
      <c r="E582" s="75">
        <f>+'[1]Budget 2025W'!L711</f>
        <v>0</v>
      </c>
      <c r="F582" s="154">
        <f>+'[1]Budget 2025W'!M711</f>
        <v>0</v>
      </c>
      <c r="G582" s="154">
        <f>+'[1]Budget 2025W'!N711</f>
        <v>0</v>
      </c>
      <c r="H582" s="154">
        <f>+'[1]Budget 2025W'!O711</f>
        <v>0</v>
      </c>
      <c r="I582" s="154">
        <f>+'[1]Budget 2025W'!P711</f>
        <v>426.08695652173913</v>
      </c>
      <c r="J582" s="154">
        <f>+'[1]Budget 2025W'!Q711</f>
        <v>426.08695652173913</v>
      </c>
      <c r="K582" s="154">
        <f>+'[1]Budget 2025W'!R711</f>
        <v>426.08695652173913</v>
      </c>
      <c r="L582" s="154">
        <f>+'[1]Budget 2025W'!S711</f>
        <v>426.08695652173913</v>
      </c>
      <c r="M582" s="154">
        <f>+'[1]Budget 2025W'!T711</f>
        <v>426.08695652173913</v>
      </c>
      <c r="N582" s="154">
        <f>+'[1]Budget 2025W'!U711</f>
        <v>426.08695652173913</v>
      </c>
      <c r="O582" s="154">
        <f>+'[1]Budget 2025W'!V711</f>
        <v>426.08695652173913</v>
      </c>
      <c r="P582" s="131"/>
      <c r="Q582" s="156">
        <f t="shared" si="63"/>
        <v>2982.6086956521735</v>
      </c>
    </row>
    <row r="583" spans="3:17" x14ac:dyDescent="0.2">
      <c r="C583" s="1" t="s">
        <v>241</v>
      </c>
      <c r="D583" s="75">
        <f>+'[1]Budget 2025W'!K712</f>
        <v>0</v>
      </c>
      <c r="E583" s="75">
        <f>+'[1]Budget 2025W'!L712</f>
        <v>0</v>
      </c>
      <c r="F583" s="154">
        <f>+'[1]Budget 2025W'!M712</f>
        <v>0</v>
      </c>
      <c r="G583" s="154">
        <f>+'[1]Budget 2025W'!N712</f>
        <v>0</v>
      </c>
      <c r="H583" s="154">
        <f>+'[1]Budget 2025W'!O712</f>
        <v>0</v>
      </c>
      <c r="I583" s="154">
        <f>+'[1]Budget 2025W'!P712</f>
        <v>0</v>
      </c>
      <c r="J583" s="154">
        <f>+'[1]Budget 2025W'!Q712</f>
        <v>0</v>
      </c>
      <c r="K583" s="154">
        <f>+'[1]Budget 2025W'!R712</f>
        <v>0</v>
      </c>
      <c r="L583" s="154">
        <f>+'[1]Budget 2025W'!S712</f>
        <v>0</v>
      </c>
      <c r="M583" s="154">
        <f>+'[1]Budget 2025W'!T712</f>
        <v>0</v>
      </c>
      <c r="N583" s="154">
        <f>+'[1]Budget 2025W'!U712</f>
        <v>0</v>
      </c>
      <c r="O583" s="154">
        <f>+'[1]Budget 2025W'!V712</f>
        <v>0</v>
      </c>
      <c r="P583" s="131"/>
      <c r="Q583" s="156">
        <f t="shared" si="63"/>
        <v>0</v>
      </c>
    </row>
    <row r="584" spans="3:17" x14ac:dyDescent="0.2">
      <c r="C584" s="1" t="s">
        <v>242</v>
      </c>
      <c r="D584" s="75">
        <f>+'[1]Budget 2025W'!K713</f>
        <v>0</v>
      </c>
      <c r="E584" s="75">
        <f>+'[1]Budget 2025W'!L713</f>
        <v>0</v>
      </c>
      <c r="F584" s="154">
        <f>+'[1]Budget 2025W'!M713</f>
        <v>0</v>
      </c>
      <c r="G584" s="154">
        <f>+'[1]Budget 2025W'!N713</f>
        <v>0</v>
      </c>
      <c r="H584" s="154">
        <f>+'[1]Budget 2025W'!O713</f>
        <v>0</v>
      </c>
      <c r="I584" s="154">
        <f>+'[1]Budget 2025W'!P713</f>
        <v>850</v>
      </c>
      <c r="J584" s="154">
        <f>+'[1]Budget 2025W'!Q713</f>
        <v>850</v>
      </c>
      <c r="K584" s="154">
        <f>+'[1]Budget 2025W'!R713</f>
        <v>850</v>
      </c>
      <c r="L584" s="154">
        <f>+'[1]Budget 2025W'!S713</f>
        <v>850</v>
      </c>
      <c r="M584" s="154">
        <f>+'[1]Budget 2025W'!T713</f>
        <v>850</v>
      </c>
      <c r="N584" s="154">
        <f>+'[1]Budget 2025W'!U713</f>
        <v>1350</v>
      </c>
      <c r="O584" s="154">
        <f>+'[1]Budget 2025W'!V713</f>
        <v>2850</v>
      </c>
      <c r="P584" s="131"/>
      <c r="Q584" s="156">
        <f t="shared" si="63"/>
        <v>8450</v>
      </c>
    </row>
    <row r="585" spans="3:17" x14ac:dyDescent="0.2">
      <c r="C585" s="1" t="s">
        <v>197</v>
      </c>
      <c r="D585" s="75">
        <f>+'[1]Budget 2025W'!K714</f>
        <v>0</v>
      </c>
      <c r="E585" s="75">
        <f>+'[1]Budget 2025W'!L714</f>
        <v>0</v>
      </c>
      <c r="F585" s="154">
        <f>+'[1]Budget 2025W'!M714</f>
        <v>0</v>
      </c>
      <c r="G585" s="154">
        <f>+'[1]Budget 2025W'!N714</f>
        <v>0</v>
      </c>
      <c r="H585" s="154">
        <f>+'[1]Budget 2025W'!O714</f>
        <v>0</v>
      </c>
      <c r="I585" s="154">
        <f>+'[1]Budget 2025W'!P714</f>
        <v>443.47826086956519</v>
      </c>
      <c r="J585" s="154">
        <f>+'[1]Budget 2025W'!Q714</f>
        <v>443.47826086956519</v>
      </c>
      <c r="K585" s="154">
        <f>+'[1]Budget 2025W'!R714</f>
        <v>443.47826086956519</v>
      </c>
      <c r="L585" s="154">
        <f>+'[1]Budget 2025W'!S714</f>
        <v>443.47826086956519</v>
      </c>
      <c r="M585" s="154">
        <f>+'[1]Budget 2025W'!T714</f>
        <v>443.47826086956519</v>
      </c>
      <c r="N585" s="154">
        <f>+'[1]Budget 2025W'!U714</f>
        <v>443.47826086956519</v>
      </c>
      <c r="O585" s="154">
        <f>+'[1]Budget 2025W'!V714</f>
        <v>443.47826086956519</v>
      </c>
      <c r="P585" s="131"/>
      <c r="Q585" s="156">
        <f t="shared" si="63"/>
        <v>3104.347826086956</v>
      </c>
    </row>
    <row r="586" spans="3:17" x14ac:dyDescent="0.2">
      <c r="C586" s="1" t="s">
        <v>243</v>
      </c>
      <c r="D586" s="75">
        <f>+'[1]Budget 2025W'!K715</f>
        <v>0</v>
      </c>
      <c r="E586" s="75">
        <f>+'[1]Budget 2025W'!L715</f>
        <v>0</v>
      </c>
      <c r="F586" s="154">
        <f>+'[1]Budget 2025W'!M715</f>
        <v>0</v>
      </c>
      <c r="G586" s="154">
        <f>+'[1]Budget 2025W'!N715</f>
        <v>0</v>
      </c>
      <c r="H586" s="154">
        <f>+'[1]Budget 2025W'!O715</f>
        <v>0</v>
      </c>
      <c r="I586" s="154">
        <f>+'[1]Budget 2025W'!P715</f>
        <v>594.60217391304343</v>
      </c>
      <c r="J586" s="154">
        <f>+'[1]Budget 2025W'!Q715</f>
        <v>594.60217391304343</v>
      </c>
      <c r="K586" s="154">
        <f>+'[1]Budget 2025W'!R715</f>
        <v>594.60217391304343</v>
      </c>
      <c r="L586" s="154">
        <f>+'[1]Budget 2025W'!S715</f>
        <v>594.60217391304343</v>
      </c>
      <c r="M586" s="154">
        <f>+'[1]Budget 2025W'!T715</f>
        <v>594.60217391304343</v>
      </c>
      <c r="N586" s="154">
        <f>+'[1]Budget 2025W'!U715</f>
        <v>594.60217391304343</v>
      </c>
      <c r="O586" s="154">
        <f>+'[1]Budget 2025W'!V715</f>
        <v>594.60217391304343</v>
      </c>
      <c r="P586" s="131"/>
      <c r="Q586" s="156">
        <f t="shared" si="63"/>
        <v>4162.2152173913037</v>
      </c>
    </row>
    <row r="587" spans="3:17" x14ac:dyDescent="0.2">
      <c r="C587" s="1" t="s">
        <v>244</v>
      </c>
      <c r="D587" s="75">
        <f>+'[1]Budget 2025W'!K716</f>
        <v>0</v>
      </c>
      <c r="E587" s="75">
        <f>+'[1]Budget 2025W'!L716</f>
        <v>0</v>
      </c>
      <c r="F587" s="154">
        <f>+'[1]Budget 2025W'!M716</f>
        <v>0</v>
      </c>
      <c r="G587" s="154">
        <f>+'[1]Budget 2025W'!N716</f>
        <v>0</v>
      </c>
      <c r="H587" s="154">
        <f>+'[1]Budget 2025W'!O716</f>
        <v>0</v>
      </c>
      <c r="I587" s="154">
        <f>+'[1]Budget 2025W'!P716</f>
        <v>0</v>
      </c>
      <c r="J587" s="154">
        <f>+'[1]Budget 2025W'!Q716</f>
        <v>0</v>
      </c>
      <c r="K587" s="154">
        <f>+'[1]Budget 2025W'!R716</f>
        <v>0</v>
      </c>
      <c r="L587" s="154">
        <f>+'[1]Budget 2025W'!S716</f>
        <v>0</v>
      </c>
      <c r="M587" s="154">
        <f>+'[1]Budget 2025W'!T716</f>
        <v>0</v>
      </c>
      <c r="N587" s="154">
        <f>+'[1]Budget 2025W'!U716</f>
        <v>0</v>
      </c>
      <c r="O587" s="154">
        <f>+'[1]Budget 2025W'!V716</f>
        <v>0</v>
      </c>
      <c r="P587" s="131"/>
      <c r="Q587" s="156">
        <f t="shared" si="63"/>
        <v>0</v>
      </c>
    </row>
    <row r="588" spans="3:17" x14ac:dyDescent="0.2">
      <c r="C588" s="1" t="s">
        <v>245</v>
      </c>
      <c r="D588" s="75">
        <f>+'[1]Budget 2025W'!K717</f>
        <v>0</v>
      </c>
      <c r="E588" s="75">
        <f>+'[1]Budget 2025W'!L717</f>
        <v>0</v>
      </c>
      <c r="F588" s="154">
        <f>+'[1]Budget 2025W'!M717</f>
        <v>0</v>
      </c>
      <c r="G588" s="154">
        <f>+'[1]Budget 2025W'!N717</f>
        <v>0</v>
      </c>
      <c r="H588" s="154">
        <f>+'[1]Budget 2025W'!O717</f>
        <v>0</v>
      </c>
      <c r="I588" s="154">
        <f>+'[1]Budget 2025W'!P717</f>
        <v>0</v>
      </c>
      <c r="J588" s="154">
        <f>+'[1]Budget 2025W'!Q717</f>
        <v>0</v>
      </c>
      <c r="K588" s="154">
        <f>+'[1]Budget 2025W'!R717</f>
        <v>500</v>
      </c>
      <c r="L588" s="154">
        <f>+'[1]Budget 2025W'!S717</f>
        <v>0</v>
      </c>
      <c r="M588" s="154">
        <f>+'[1]Budget 2025W'!T717</f>
        <v>0</v>
      </c>
      <c r="N588" s="154">
        <f>+'[1]Budget 2025W'!U717</f>
        <v>1800</v>
      </c>
      <c r="O588" s="154">
        <f>+'[1]Budget 2025W'!V717</f>
        <v>0</v>
      </c>
      <c r="P588" s="131"/>
      <c r="Q588" s="156">
        <f t="shared" si="63"/>
        <v>2300</v>
      </c>
    </row>
    <row r="589" spans="3:17" x14ac:dyDescent="0.2">
      <c r="C589" s="1" t="s">
        <v>246</v>
      </c>
      <c r="D589" s="75">
        <f>+'[1]Budget 2025W'!K718</f>
        <v>0</v>
      </c>
      <c r="E589" s="75">
        <f>+'[1]Budget 2025W'!L718</f>
        <v>0</v>
      </c>
      <c r="F589" s="154">
        <f>+'[1]Budget 2025W'!M718</f>
        <v>0</v>
      </c>
      <c r="G589" s="154">
        <f>+'[1]Budget 2025W'!N718</f>
        <v>0</v>
      </c>
      <c r="H589" s="154">
        <f>+'[1]Budget 2025W'!O718</f>
        <v>0</v>
      </c>
      <c r="I589" s="154">
        <f>+'[1]Budget 2025W'!P718</f>
        <v>1315.4673913043478</v>
      </c>
      <c r="J589" s="154">
        <f>+'[1]Budget 2025W'!Q718</f>
        <v>1315.4673913043478</v>
      </c>
      <c r="K589" s="154">
        <f>+'[1]Budget 2025W'!R718</f>
        <v>1315.4673913043478</v>
      </c>
      <c r="L589" s="154">
        <f>+'[1]Budget 2025W'!S718</f>
        <v>1315.4673913043478</v>
      </c>
      <c r="M589" s="154">
        <f>+'[1]Budget 2025W'!T718</f>
        <v>1315.4673913043478</v>
      </c>
      <c r="N589" s="154">
        <f>+'[1]Budget 2025W'!U718</f>
        <v>1315.4673913043478</v>
      </c>
      <c r="O589" s="154">
        <f>+'[1]Budget 2025W'!V718</f>
        <v>1315.4673913043478</v>
      </c>
      <c r="P589" s="131"/>
      <c r="Q589" s="156">
        <f t="shared" si="63"/>
        <v>9208.2717391304341</v>
      </c>
    </row>
    <row r="590" spans="3:17" x14ac:dyDescent="0.2">
      <c r="C590" s="1" t="s">
        <v>247</v>
      </c>
      <c r="D590" s="75">
        <f>+'[1]Budget 2025W'!K719</f>
        <v>0</v>
      </c>
      <c r="E590" s="75">
        <f>+'[1]Budget 2025W'!L719</f>
        <v>0</v>
      </c>
      <c r="F590" s="154">
        <f>+'[1]Budget 2025W'!M719</f>
        <v>0</v>
      </c>
      <c r="G590" s="154">
        <f>+'[1]Budget 2025W'!N719</f>
        <v>0</v>
      </c>
      <c r="H590" s="154">
        <f>+'[1]Budget 2025W'!O719</f>
        <v>0</v>
      </c>
      <c r="I590" s="154">
        <f>+'[1]Budget 2025W'!P719</f>
        <v>2490.434782608696</v>
      </c>
      <c r="J590" s="154">
        <f>+'[1]Budget 2025W'!Q719</f>
        <v>2527.934782608696</v>
      </c>
      <c r="K590" s="154">
        <f>+'[1]Budget 2025W'!R719</f>
        <v>2527.934782608696</v>
      </c>
      <c r="L590" s="154">
        <f>+'[1]Budget 2025W'!S719</f>
        <v>2897.934782608696</v>
      </c>
      <c r="M590" s="154">
        <f>+'[1]Budget 2025W'!T719</f>
        <v>2917.934782608696</v>
      </c>
      <c r="N590" s="154">
        <f>+'[1]Budget 2025W'!U719</f>
        <v>2937.934782608696</v>
      </c>
      <c r="O590" s="154">
        <f>+'[1]Budget 2025W'!V719</f>
        <v>2984.934782608696</v>
      </c>
      <c r="P590" s="131"/>
      <c r="Q590" s="156">
        <f t="shared" si="63"/>
        <v>19285.043478260872</v>
      </c>
    </row>
    <row r="591" spans="3:17" x14ac:dyDescent="0.2">
      <c r="C591" s="1" t="s">
        <v>248</v>
      </c>
      <c r="D591" s="75">
        <f>+'[1]Budget 2025W'!K720</f>
        <v>0</v>
      </c>
      <c r="E591" s="75">
        <f>+'[1]Budget 2025W'!L720</f>
        <v>0</v>
      </c>
      <c r="F591" s="154">
        <f>+'[1]Budget 2025W'!M720</f>
        <v>0</v>
      </c>
      <c r="G591" s="154">
        <f>+'[1]Budget 2025W'!N720</f>
        <v>0</v>
      </c>
      <c r="H591" s="154">
        <f>+'[1]Budget 2025W'!O720</f>
        <v>0</v>
      </c>
      <c r="I591" s="154">
        <f>+'[1]Budget 2025W'!P720</f>
        <v>238.59382246376811</v>
      </c>
      <c r="J591" s="154">
        <f>+'[1]Budget 2025W'!Q720</f>
        <v>238.59382246376811</v>
      </c>
      <c r="K591" s="154">
        <f>+'[1]Budget 2025W'!R720</f>
        <v>238.59382246376811</v>
      </c>
      <c r="L591" s="154">
        <f>+'[1]Budget 2025W'!S720</f>
        <v>238.59382246376811</v>
      </c>
      <c r="M591" s="154">
        <f>+'[1]Budget 2025W'!T720</f>
        <v>238.59382246376811</v>
      </c>
      <c r="N591" s="154">
        <f>+'[1]Budget 2025W'!U720</f>
        <v>238.59382246376811</v>
      </c>
      <c r="O591" s="154">
        <f>+'[1]Budget 2025W'!V720</f>
        <v>238.59382246376811</v>
      </c>
      <c r="P591" s="131"/>
      <c r="Q591" s="156">
        <f t="shared" si="63"/>
        <v>1670.1567572463764</v>
      </c>
    </row>
    <row r="592" spans="3:17" ht="15.75" thickBot="1" x14ac:dyDescent="0.25">
      <c r="C592" s="153"/>
      <c r="D592" s="75"/>
      <c r="E592" s="75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31"/>
      <c r="Q592" s="156"/>
    </row>
    <row r="593" spans="2:17" ht="17.25" thickTop="1" thickBot="1" x14ac:dyDescent="0.3">
      <c r="C593" s="162" t="s">
        <v>144</v>
      </c>
      <c r="D593" s="163">
        <f>+'[1]Budget 2025W'!K724</f>
        <v>0</v>
      </c>
      <c r="E593" s="163">
        <f>+'[1]Budget 2025W'!L724</f>
        <v>0</v>
      </c>
      <c r="F593" s="163">
        <f>+'[1]Budget 2025W'!M724</f>
        <v>0</v>
      </c>
      <c r="G593" s="163">
        <f>+'[1]Budget 2025W'!N724</f>
        <v>0</v>
      </c>
      <c r="H593" s="163">
        <f>+'[1]Budget 2025W'!O724</f>
        <v>0</v>
      </c>
      <c r="I593" s="163">
        <f>+'[1]Budget 2025W'!P724</f>
        <v>18433.505235507248</v>
      </c>
      <c r="J593" s="163">
        <f>+'[1]Budget 2025W'!Q724</f>
        <v>16317.670996376815</v>
      </c>
      <c r="K593" s="163">
        <f>+'[1]Budget 2025W'!R724</f>
        <v>18291.584039855072</v>
      </c>
      <c r="L593" s="163">
        <f>+'[1]Budget 2025W'!S724</f>
        <v>13346.45632246377</v>
      </c>
      <c r="M593" s="163">
        <f>+'[1]Budget 2025W'!T724</f>
        <v>13169.670996376812</v>
      </c>
      <c r="N593" s="163">
        <f>+'[1]Budget 2025W'!U724</f>
        <v>15211.853061594204</v>
      </c>
      <c r="O593" s="163">
        <f>+'[1]Budget 2025W'!V724</f>
        <v>15949.018822463768</v>
      </c>
      <c r="P593" s="131"/>
      <c r="Q593" s="207">
        <f>SUM(D593:O593)</f>
        <v>110719.75947463769</v>
      </c>
    </row>
    <row r="594" spans="2:17" ht="16.5" thickTop="1" thickBot="1" x14ac:dyDescent="0.25">
      <c r="C594" s="201"/>
      <c r="D594" s="168"/>
      <c r="E594" s="168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31"/>
      <c r="Q594" s="171"/>
    </row>
    <row r="595" spans="2:17" ht="16.5" thickBot="1" x14ac:dyDescent="0.3">
      <c r="B595" s="141"/>
      <c r="C595" s="203" t="s">
        <v>249</v>
      </c>
      <c r="D595" s="204">
        <f t="shared" ref="D595:O595" si="64">D542-D546-D564-D593</f>
        <v>0</v>
      </c>
      <c r="E595" s="204">
        <f t="shared" si="64"/>
        <v>0</v>
      </c>
      <c r="F595" s="205">
        <f t="shared" si="64"/>
        <v>0</v>
      </c>
      <c r="G595" s="205">
        <f t="shared" si="64"/>
        <v>0</v>
      </c>
      <c r="H595" s="205">
        <f t="shared" si="64"/>
        <v>0</v>
      </c>
      <c r="I595" s="205">
        <f t="shared" si="64"/>
        <v>-11798.515969276647</v>
      </c>
      <c r="J595" s="205">
        <f t="shared" si="64"/>
        <v>-11521.368947117579</v>
      </c>
      <c r="K595" s="205">
        <f t="shared" si="64"/>
        <v>-13583.737348846535</v>
      </c>
      <c r="L595" s="205">
        <f t="shared" si="64"/>
        <v>-1150.1542732045327</v>
      </c>
      <c r="M595" s="205">
        <f t="shared" si="64"/>
        <v>-529.14126799222322</v>
      </c>
      <c r="N595" s="205">
        <f t="shared" si="64"/>
        <v>-2171.3233332096152</v>
      </c>
      <c r="O595" s="205">
        <f t="shared" si="64"/>
        <v>-2056.9444523298789</v>
      </c>
      <c r="P595" s="131"/>
      <c r="Q595" s="183">
        <f>SUM(D595:O595)</f>
        <v>-42811.18559197701</v>
      </c>
    </row>
    <row r="596" spans="2:17" ht="16.5" thickTop="1" thickBot="1" x14ac:dyDescent="0.25">
      <c r="C596" s="206"/>
      <c r="D596" s="186"/>
      <c r="E596" s="186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31"/>
      <c r="Q596" s="171"/>
    </row>
    <row r="597" spans="2:17" ht="16.5" thickBot="1" x14ac:dyDescent="0.3">
      <c r="B597" s="141"/>
      <c r="C597" s="142" t="s">
        <v>250</v>
      </c>
      <c r="D597" s="143"/>
      <c r="E597" s="144"/>
      <c r="F597" s="145"/>
      <c r="G597" s="145"/>
      <c r="H597" s="146"/>
      <c r="I597" s="146"/>
      <c r="J597" s="146"/>
      <c r="K597" s="146"/>
      <c r="L597" s="146"/>
      <c r="M597" s="146"/>
      <c r="N597" s="146"/>
      <c r="O597" s="146"/>
      <c r="P597" s="129"/>
      <c r="Q597" s="145"/>
    </row>
    <row r="598" spans="2:17" ht="15.75" x14ac:dyDescent="0.25">
      <c r="C598" s="157" t="s">
        <v>26</v>
      </c>
      <c r="D598" s="158"/>
      <c r="E598" s="158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31"/>
      <c r="Q598" s="161"/>
    </row>
    <row r="599" spans="2:17" x14ac:dyDescent="0.2">
      <c r="C599" s="153" t="s">
        <v>33</v>
      </c>
      <c r="D599" s="75">
        <f>+'[1]Budget 2025W'!K786</f>
        <v>0</v>
      </c>
      <c r="E599" s="75">
        <f>+'[1]Budget 2025W'!L786</f>
        <v>0</v>
      </c>
      <c r="F599" s="154">
        <f>+'[1]Budget 2025W'!M786</f>
        <v>0</v>
      </c>
      <c r="G599" s="154">
        <f>+'[1]Budget 2025W'!N786</f>
        <v>0</v>
      </c>
      <c r="H599" s="154">
        <f>+'[1]Budget 2025W'!O786</f>
        <v>0</v>
      </c>
      <c r="I599" s="154">
        <f>+'[1]Budget 2025W'!P786</f>
        <v>0</v>
      </c>
      <c r="J599" s="154">
        <f>+'[1]Budget 2025W'!Q786</f>
        <v>0</v>
      </c>
      <c r="K599" s="154">
        <f>+'[1]Budget 2025W'!R786</f>
        <v>0</v>
      </c>
      <c r="L599" s="154">
        <f>+'[1]Budget 2025W'!S786</f>
        <v>0</v>
      </c>
      <c r="M599" s="154">
        <f>+'[1]Budget 2025W'!T786</f>
        <v>0</v>
      </c>
      <c r="N599" s="154">
        <f>+'[1]Budget 2025W'!U786</f>
        <v>0</v>
      </c>
      <c r="O599" s="154">
        <f>+'[1]Budget 2025W'!V786</f>
        <v>0</v>
      </c>
      <c r="P599" s="131"/>
      <c r="Q599" s="156">
        <f>SUM(D599:O599)</f>
        <v>0</v>
      </c>
    </row>
    <row r="600" spans="2:17" x14ac:dyDescent="0.2">
      <c r="C600" s="153" t="s">
        <v>33</v>
      </c>
      <c r="D600" s="75">
        <f>+'[1]Budget 2025W'!K787</f>
        <v>0</v>
      </c>
      <c r="E600" s="75">
        <f>+'[1]Budget 2025W'!L787</f>
        <v>0</v>
      </c>
      <c r="F600" s="154">
        <f>+'[1]Budget 2025W'!M787</f>
        <v>0</v>
      </c>
      <c r="G600" s="154">
        <f>+'[1]Budget 2025W'!N787</f>
        <v>0</v>
      </c>
      <c r="H600" s="154">
        <f>+'[1]Budget 2025W'!O787</f>
        <v>0</v>
      </c>
      <c r="I600" s="154">
        <f>+'[1]Budget 2025W'!P787</f>
        <v>0</v>
      </c>
      <c r="J600" s="154">
        <f>+'[1]Budget 2025W'!Q787</f>
        <v>0</v>
      </c>
      <c r="K600" s="154">
        <f>+'[1]Budget 2025W'!R787</f>
        <v>0</v>
      </c>
      <c r="L600" s="154">
        <f>+'[1]Budget 2025W'!S787</f>
        <v>0</v>
      </c>
      <c r="M600" s="154">
        <f>+'[1]Budget 2025W'!T787</f>
        <v>0</v>
      </c>
      <c r="N600" s="154">
        <f>+'[1]Budget 2025W'!U787</f>
        <v>0</v>
      </c>
      <c r="O600" s="154">
        <f>+'[1]Budget 2025W'!V787</f>
        <v>0</v>
      </c>
      <c r="P600" s="131"/>
      <c r="Q600" s="156">
        <f>SUM(D600:O600)</f>
        <v>0</v>
      </c>
    </row>
    <row r="601" spans="2:17" ht="15.75" thickBot="1" x14ac:dyDescent="0.25">
      <c r="C601" s="153" t="s">
        <v>33</v>
      </c>
      <c r="D601" s="75">
        <f>+'[1]Budget 2025W'!K788</f>
        <v>0</v>
      </c>
      <c r="E601" s="75">
        <f>+'[1]Budget 2025W'!L788</f>
        <v>0</v>
      </c>
      <c r="F601" s="154">
        <f>+'[1]Budget 2025W'!M788</f>
        <v>0</v>
      </c>
      <c r="G601" s="154">
        <f>+'[1]Budget 2025W'!N788</f>
        <v>0</v>
      </c>
      <c r="H601" s="154">
        <f>+'[1]Budget 2025W'!O788</f>
        <v>0</v>
      </c>
      <c r="I601" s="154">
        <f>+'[1]Budget 2025W'!P788</f>
        <v>0</v>
      </c>
      <c r="J601" s="154">
        <f>+'[1]Budget 2025W'!Q788</f>
        <v>0</v>
      </c>
      <c r="K601" s="154">
        <f>+'[1]Budget 2025W'!R788</f>
        <v>0</v>
      </c>
      <c r="L601" s="154">
        <f>+'[1]Budget 2025W'!S788</f>
        <v>0</v>
      </c>
      <c r="M601" s="154">
        <f>+'[1]Budget 2025W'!T788</f>
        <v>0</v>
      </c>
      <c r="N601" s="154">
        <f>+'[1]Budget 2025W'!U788</f>
        <v>0</v>
      </c>
      <c r="O601" s="154">
        <f>+'[1]Budget 2025W'!V788</f>
        <v>0</v>
      </c>
      <c r="P601" s="131"/>
      <c r="Q601" s="156">
        <f>SUM(D601:O601)</f>
        <v>0</v>
      </c>
    </row>
    <row r="602" spans="2:17" ht="17.25" thickTop="1" thickBot="1" x14ac:dyDescent="0.3">
      <c r="C602" s="162" t="s">
        <v>251</v>
      </c>
      <c r="D602" s="163">
        <f>+'[1]Budget 2025W'!K793</f>
        <v>0</v>
      </c>
      <c r="E602" s="163">
        <f>+'[1]Budget 2025W'!L793</f>
        <v>0</v>
      </c>
      <c r="F602" s="163">
        <f>+'[1]Budget 2025W'!M793</f>
        <v>0</v>
      </c>
      <c r="G602" s="163">
        <f>+'[1]Budget 2025W'!N793</f>
        <v>0</v>
      </c>
      <c r="H602" s="163">
        <f>+'[1]Budget 2025W'!O793</f>
        <v>0</v>
      </c>
      <c r="I602" s="163">
        <f>+'[1]Budget 2025W'!P793</f>
        <v>0</v>
      </c>
      <c r="J602" s="163">
        <f>+'[1]Budget 2025W'!Q793</f>
        <v>0</v>
      </c>
      <c r="K602" s="163">
        <f>+'[1]Budget 2025W'!R793</f>
        <v>0</v>
      </c>
      <c r="L602" s="163">
        <f>+'[1]Budget 2025W'!S793</f>
        <v>0</v>
      </c>
      <c r="M602" s="163">
        <f>+'[1]Budget 2025W'!T793</f>
        <v>0</v>
      </c>
      <c r="N602" s="163">
        <f>+'[1]Budget 2025W'!U793</f>
        <v>0</v>
      </c>
      <c r="O602" s="163">
        <f>+'[1]Budget 2025W'!V793</f>
        <v>0</v>
      </c>
      <c r="P602" s="131"/>
      <c r="Q602" s="207">
        <f>SUM(D602:O602)</f>
        <v>0</v>
      </c>
    </row>
    <row r="603" spans="2:17" ht="16.5" thickTop="1" x14ac:dyDescent="0.25">
      <c r="C603" s="195" t="s">
        <v>154</v>
      </c>
      <c r="D603" s="196"/>
      <c r="E603" s="196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31"/>
      <c r="Q603" s="161"/>
    </row>
    <row r="604" spans="2:17" ht="15.75" thickBot="1" x14ac:dyDescent="0.25">
      <c r="C604" s="153" t="s">
        <v>252</v>
      </c>
      <c r="D604" s="75">
        <f>+'[1]Budget 2025W'!K799</f>
        <v>0</v>
      </c>
      <c r="E604" s="75">
        <f>+'[1]Budget 2025W'!L799</f>
        <v>0</v>
      </c>
      <c r="F604" s="154">
        <f>+'[1]Budget 2025W'!M799</f>
        <v>0</v>
      </c>
      <c r="G604" s="154">
        <f>+'[1]Budget 2025W'!N799</f>
        <v>0</v>
      </c>
      <c r="H604" s="154">
        <f>+'[1]Budget 2025W'!O799</f>
        <v>0</v>
      </c>
      <c r="I604" s="154">
        <f>+'[1]Budget 2025W'!P799</f>
        <v>0</v>
      </c>
      <c r="J604" s="154">
        <f>+'[1]Budget 2025W'!Q799</f>
        <v>0</v>
      </c>
      <c r="K604" s="154">
        <f>+'[1]Budget 2025W'!R799</f>
        <v>0</v>
      </c>
      <c r="L604" s="154">
        <f>+'[1]Budget 2025W'!S799</f>
        <v>0</v>
      </c>
      <c r="M604" s="154">
        <f>+'[1]Budget 2025W'!T799</f>
        <v>0</v>
      </c>
      <c r="N604" s="154">
        <f>+'[1]Budget 2025W'!U799</f>
        <v>0</v>
      </c>
      <c r="O604" s="154">
        <f>+'[1]Budget 2025W'!V799</f>
        <v>0</v>
      </c>
      <c r="P604" s="131"/>
      <c r="Q604" s="156">
        <f>SUM(D604:O604)</f>
        <v>0</v>
      </c>
    </row>
    <row r="605" spans="2:17" ht="17.25" thickTop="1" thickBot="1" x14ac:dyDescent="0.3">
      <c r="C605" s="162" t="s">
        <v>165</v>
      </c>
      <c r="D605" s="163">
        <f>+'[1]Budget 2025W'!K801</f>
        <v>0</v>
      </c>
      <c r="E605" s="163">
        <f>+'[1]Budget 2025W'!L801</f>
        <v>0</v>
      </c>
      <c r="F605" s="163">
        <f>+'[1]Budget 2025W'!M801</f>
        <v>0</v>
      </c>
      <c r="G605" s="163">
        <f>+'[1]Budget 2025W'!N801</f>
        <v>0</v>
      </c>
      <c r="H605" s="163">
        <f>+'[1]Budget 2025W'!O801</f>
        <v>0</v>
      </c>
      <c r="I605" s="163">
        <f>+'[1]Budget 2025W'!P801</f>
        <v>0</v>
      </c>
      <c r="J605" s="163">
        <f>+'[1]Budget 2025W'!Q801</f>
        <v>0</v>
      </c>
      <c r="K605" s="163">
        <f>+'[1]Budget 2025W'!R801</f>
        <v>0</v>
      </c>
      <c r="L605" s="163">
        <f>+'[1]Budget 2025W'!S801</f>
        <v>0</v>
      </c>
      <c r="M605" s="163">
        <f>+'[1]Budget 2025W'!T801</f>
        <v>0</v>
      </c>
      <c r="N605" s="163">
        <f>+'[1]Budget 2025W'!U801</f>
        <v>0</v>
      </c>
      <c r="O605" s="163">
        <f>+'[1]Budget 2025W'!V801</f>
        <v>0</v>
      </c>
      <c r="P605" s="131"/>
      <c r="Q605" s="207">
        <f>SUM(D605:O605)</f>
        <v>0</v>
      </c>
    </row>
    <row r="606" spans="2:17" ht="16.5" thickTop="1" x14ac:dyDescent="0.25">
      <c r="C606" s="195" t="s">
        <v>97</v>
      </c>
      <c r="D606" s="196"/>
      <c r="E606" s="196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31"/>
      <c r="Q606" s="161"/>
    </row>
    <row r="607" spans="2:17" x14ac:dyDescent="0.2">
      <c r="C607" s="153" t="s">
        <v>98</v>
      </c>
      <c r="D607" s="75">
        <f>+'[1]Budget 2025W'!K1159</f>
        <v>0</v>
      </c>
      <c r="E607" s="75">
        <f>+'[1]Budget 2025W'!L1159</f>
        <v>0</v>
      </c>
      <c r="F607" s="154">
        <f>+'[1]Budget 2025W'!M1159</f>
        <v>0</v>
      </c>
      <c r="G607" s="154">
        <f>+'[1]Budget 2025W'!N1159</f>
        <v>0</v>
      </c>
      <c r="H607" s="154">
        <f>+'[1]Budget 2025W'!O1159</f>
        <v>0</v>
      </c>
      <c r="I607" s="154">
        <f>+'[1]Budget 2025W'!P1159</f>
        <v>0</v>
      </c>
      <c r="J607" s="154">
        <f>+'[1]Budget 2025W'!Q1159</f>
        <v>0</v>
      </c>
      <c r="K607" s="154">
        <f>+'[1]Budget 2025W'!R1159</f>
        <v>0</v>
      </c>
      <c r="L607" s="154">
        <f>+'[1]Budget 2025W'!S1159</f>
        <v>0</v>
      </c>
      <c r="M607" s="154">
        <f>+'[1]Budget 2025W'!T1159</f>
        <v>0</v>
      </c>
      <c r="N607" s="154">
        <f>+'[1]Budget 2025W'!U1159</f>
        <v>0</v>
      </c>
      <c r="O607" s="154">
        <f>+'[1]Budget 2025W'!V1159</f>
        <v>0</v>
      </c>
      <c r="P607" s="131"/>
      <c r="Q607" s="156">
        <f t="shared" ref="Q607:Q623" si="65">SUM(D607:O607)</f>
        <v>0</v>
      </c>
    </row>
    <row r="608" spans="2:17" x14ac:dyDescent="0.2">
      <c r="C608" s="153" t="s">
        <v>99</v>
      </c>
      <c r="D608" s="75">
        <f>+'[1]Budget 2025W'!K1160</f>
        <v>0</v>
      </c>
      <c r="E608" s="75">
        <f>+'[1]Budget 2025W'!L1160</f>
        <v>0</v>
      </c>
      <c r="F608" s="154">
        <f>+'[1]Budget 2025W'!M1160</f>
        <v>0</v>
      </c>
      <c r="G608" s="154">
        <f>+'[1]Budget 2025W'!N1160</f>
        <v>0</v>
      </c>
      <c r="H608" s="154">
        <f>+'[1]Budget 2025W'!O1160</f>
        <v>0</v>
      </c>
      <c r="I608" s="154">
        <f>+'[1]Budget 2025W'!P1160</f>
        <v>0</v>
      </c>
      <c r="J608" s="154">
        <f>+'[1]Budget 2025W'!Q1160</f>
        <v>0</v>
      </c>
      <c r="K608" s="154">
        <f>+'[1]Budget 2025W'!R1160</f>
        <v>0</v>
      </c>
      <c r="L608" s="154">
        <f>+'[1]Budget 2025W'!S1160</f>
        <v>0</v>
      </c>
      <c r="M608" s="154">
        <f>+'[1]Budget 2025W'!T1160</f>
        <v>0</v>
      </c>
      <c r="N608" s="154">
        <f>+'[1]Budget 2025W'!U1160</f>
        <v>0</v>
      </c>
      <c r="O608" s="154">
        <f>+'[1]Budget 2025W'!V1160</f>
        <v>0</v>
      </c>
      <c r="P608" s="131"/>
      <c r="Q608" s="156">
        <f t="shared" si="65"/>
        <v>0</v>
      </c>
    </row>
    <row r="609" spans="3:17" x14ac:dyDescent="0.2">
      <c r="C609" s="153" t="s">
        <v>100</v>
      </c>
      <c r="D609" s="75">
        <f>+'[1]Budget 2025W'!K1161</f>
        <v>0</v>
      </c>
      <c r="E609" s="75">
        <f>+'[1]Budget 2025W'!L1161</f>
        <v>0</v>
      </c>
      <c r="F609" s="154">
        <f>+'[1]Budget 2025W'!M1161</f>
        <v>0</v>
      </c>
      <c r="G609" s="154">
        <f>+'[1]Budget 2025W'!N1161</f>
        <v>0</v>
      </c>
      <c r="H609" s="154">
        <f>+'[1]Budget 2025W'!O1161</f>
        <v>0</v>
      </c>
      <c r="I609" s="154">
        <f>+'[1]Budget 2025W'!P1161</f>
        <v>0</v>
      </c>
      <c r="J609" s="154">
        <f>+'[1]Budget 2025W'!Q1161</f>
        <v>0</v>
      </c>
      <c r="K609" s="154">
        <f>+'[1]Budget 2025W'!R1161</f>
        <v>0</v>
      </c>
      <c r="L609" s="154">
        <f>+'[1]Budget 2025W'!S1161</f>
        <v>0</v>
      </c>
      <c r="M609" s="154">
        <f>+'[1]Budget 2025W'!T1161</f>
        <v>0</v>
      </c>
      <c r="N609" s="154">
        <f>+'[1]Budget 2025W'!U1161</f>
        <v>0</v>
      </c>
      <c r="O609" s="154">
        <f>+'[1]Budget 2025W'!V1161</f>
        <v>0</v>
      </c>
      <c r="P609" s="131"/>
      <c r="Q609" s="156">
        <f t="shared" si="65"/>
        <v>0</v>
      </c>
    </row>
    <row r="610" spans="3:17" x14ac:dyDescent="0.2">
      <c r="C610" s="153" t="s">
        <v>101</v>
      </c>
      <c r="D610" s="75">
        <f>+'[1]Budget 2025W'!K1162</f>
        <v>0</v>
      </c>
      <c r="E610" s="75">
        <f>+'[1]Budget 2025W'!L1162</f>
        <v>0</v>
      </c>
      <c r="F610" s="154">
        <f>+'[1]Budget 2025W'!M1162</f>
        <v>0</v>
      </c>
      <c r="G610" s="154">
        <f>+'[1]Budget 2025W'!N1162</f>
        <v>0</v>
      </c>
      <c r="H610" s="154">
        <f>+'[1]Budget 2025W'!O1162</f>
        <v>0</v>
      </c>
      <c r="I610" s="154">
        <f>+'[1]Budget 2025W'!P1162</f>
        <v>0</v>
      </c>
      <c r="J610" s="154">
        <f>+'[1]Budget 2025W'!Q1162</f>
        <v>0</v>
      </c>
      <c r="K610" s="154">
        <f>+'[1]Budget 2025W'!R1162</f>
        <v>0</v>
      </c>
      <c r="L610" s="154">
        <f>+'[1]Budget 2025W'!S1162</f>
        <v>0</v>
      </c>
      <c r="M610" s="154">
        <f>+'[1]Budget 2025W'!T1162</f>
        <v>0</v>
      </c>
      <c r="N610" s="154">
        <f>+'[1]Budget 2025W'!U1162</f>
        <v>0</v>
      </c>
      <c r="O610" s="154">
        <f>+'[1]Budget 2025W'!V1162</f>
        <v>0</v>
      </c>
      <c r="P610" s="131"/>
      <c r="Q610" s="156">
        <f t="shared" si="65"/>
        <v>0</v>
      </c>
    </row>
    <row r="611" spans="3:17" x14ac:dyDescent="0.2">
      <c r="C611" s="153" t="s">
        <v>102</v>
      </c>
      <c r="D611" s="75">
        <f>+'[1]Budget 2025W'!K1163</f>
        <v>0</v>
      </c>
      <c r="E611" s="75">
        <f>+'[1]Budget 2025W'!L1163</f>
        <v>0</v>
      </c>
      <c r="F611" s="154">
        <f>+'[1]Budget 2025W'!M1163</f>
        <v>0</v>
      </c>
      <c r="G611" s="154">
        <f>+'[1]Budget 2025W'!N1163</f>
        <v>0</v>
      </c>
      <c r="H611" s="154">
        <f>+'[1]Budget 2025W'!O1163</f>
        <v>0</v>
      </c>
      <c r="I611" s="154">
        <f>+'[1]Budget 2025W'!P1163</f>
        <v>0</v>
      </c>
      <c r="J611" s="154">
        <f>+'[1]Budget 2025W'!Q1163</f>
        <v>0</v>
      </c>
      <c r="K611" s="154">
        <f>+'[1]Budget 2025W'!R1163</f>
        <v>0</v>
      </c>
      <c r="L611" s="154">
        <f>+'[1]Budget 2025W'!S1163</f>
        <v>0</v>
      </c>
      <c r="M611" s="154">
        <f>+'[1]Budget 2025W'!T1163</f>
        <v>0</v>
      </c>
      <c r="N611" s="154">
        <f>+'[1]Budget 2025W'!U1163</f>
        <v>0</v>
      </c>
      <c r="O611" s="154">
        <f>+'[1]Budget 2025W'!V1163</f>
        <v>0</v>
      </c>
      <c r="P611" s="131"/>
      <c r="Q611" s="156">
        <f t="shared" si="65"/>
        <v>0</v>
      </c>
    </row>
    <row r="612" spans="3:17" x14ac:dyDescent="0.2">
      <c r="C612" s="153" t="s">
        <v>103</v>
      </c>
      <c r="D612" s="75">
        <f>+'[1]Budget 2025W'!K1164</f>
        <v>0</v>
      </c>
      <c r="E612" s="75">
        <f>+'[1]Budget 2025W'!L1164</f>
        <v>0</v>
      </c>
      <c r="F612" s="154">
        <f>+'[1]Budget 2025W'!M1164</f>
        <v>0</v>
      </c>
      <c r="G612" s="154">
        <f>+'[1]Budget 2025W'!N1164</f>
        <v>0</v>
      </c>
      <c r="H612" s="154">
        <f>+'[1]Budget 2025W'!O1164</f>
        <v>0</v>
      </c>
      <c r="I612" s="154">
        <f>+'[1]Budget 2025W'!P1164</f>
        <v>0</v>
      </c>
      <c r="J612" s="154">
        <f>+'[1]Budget 2025W'!Q1164</f>
        <v>0</v>
      </c>
      <c r="K612" s="154">
        <f>+'[1]Budget 2025W'!R1164</f>
        <v>0</v>
      </c>
      <c r="L612" s="154">
        <f>+'[1]Budget 2025W'!S1164</f>
        <v>0</v>
      </c>
      <c r="M612" s="154">
        <f>+'[1]Budget 2025W'!T1164</f>
        <v>0</v>
      </c>
      <c r="N612" s="154">
        <f>+'[1]Budget 2025W'!U1164</f>
        <v>0</v>
      </c>
      <c r="O612" s="154">
        <f>+'[1]Budget 2025W'!V1164</f>
        <v>0</v>
      </c>
      <c r="P612" s="131"/>
      <c r="Q612" s="156">
        <f t="shared" si="65"/>
        <v>0</v>
      </c>
    </row>
    <row r="613" spans="3:17" x14ac:dyDescent="0.2">
      <c r="C613" s="153" t="s">
        <v>104</v>
      </c>
      <c r="D613" s="75">
        <f>+'[1]Budget 2025W'!K1165</f>
        <v>0</v>
      </c>
      <c r="E613" s="75">
        <f>+'[1]Budget 2025W'!L1165</f>
        <v>0</v>
      </c>
      <c r="F613" s="154">
        <f>+'[1]Budget 2025W'!M1165</f>
        <v>0</v>
      </c>
      <c r="G613" s="154">
        <f>+'[1]Budget 2025W'!N1165</f>
        <v>0</v>
      </c>
      <c r="H613" s="154">
        <f>+'[1]Budget 2025W'!O1165</f>
        <v>0</v>
      </c>
      <c r="I613" s="154">
        <f>+'[1]Budget 2025W'!P1165</f>
        <v>0</v>
      </c>
      <c r="J613" s="154">
        <f>+'[1]Budget 2025W'!Q1165</f>
        <v>0</v>
      </c>
      <c r="K613" s="154">
        <f>+'[1]Budget 2025W'!R1165</f>
        <v>0</v>
      </c>
      <c r="L613" s="154">
        <f>+'[1]Budget 2025W'!S1165</f>
        <v>0</v>
      </c>
      <c r="M613" s="154">
        <f>+'[1]Budget 2025W'!T1165</f>
        <v>0</v>
      </c>
      <c r="N613" s="154">
        <f>+'[1]Budget 2025W'!U1165</f>
        <v>0</v>
      </c>
      <c r="O613" s="154">
        <f>+'[1]Budget 2025W'!V1165</f>
        <v>0</v>
      </c>
      <c r="P613" s="131"/>
      <c r="Q613" s="156">
        <f t="shared" si="65"/>
        <v>0</v>
      </c>
    </row>
    <row r="614" spans="3:17" x14ac:dyDescent="0.2">
      <c r="C614" s="153" t="s">
        <v>105</v>
      </c>
      <c r="D614" s="75">
        <f>+'[1]Budget 2025W'!K1166</f>
        <v>0</v>
      </c>
      <c r="E614" s="75">
        <f>+'[1]Budget 2025W'!L1166</f>
        <v>0</v>
      </c>
      <c r="F614" s="154">
        <f>+'[1]Budget 2025W'!M1166</f>
        <v>0</v>
      </c>
      <c r="G614" s="154">
        <f>+'[1]Budget 2025W'!N1166</f>
        <v>0</v>
      </c>
      <c r="H614" s="154">
        <f>+'[1]Budget 2025W'!O1166</f>
        <v>0</v>
      </c>
      <c r="I614" s="154">
        <f>+'[1]Budget 2025W'!P1166</f>
        <v>0</v>
      </c>
      <c r="J614" s="154">
        <f>+'[1]Budget 2025W'!Q1166</f>
        <v>0</v>
      </c>
      <c r="K614" s="154">
        <f>+'[1]Budget 2025W'!R1166</f>
        <v>0</v>
      </c>
      <c r="L614" s="154">
        <f>+'[1]Budget 2025W'!S1166</f>
        <v>0</v>
      </c>
      <c r="M614" s="154">
        <f>+'[1]Budget 2025W'!T1166</f>
        <v>0</v>
      </c>
      <c r="N614" s="154">
        <f>+'[1]Budget 2025W'!U1166</f>
        <v>0</v>
      </c>
      <c r="O614" s="154">
        <f>+'[1]Budget 2025W'!V1166</f>
        <v>0</v>
      </c>
      <c r="P614" s="131"/>
      <c r="Q614" s="156">
        <f t="shared" si="65"/>
        <v>0</v>
      </c>
    </row>
    <row r="615" spans="3:17" x14ac:dyDescent="0.2">
      <c r="C615" s="153" t="s">
        <v>106</v>
      </c>
      <c r="D615" s="75">
        <f>+'[1]Budget 2025W'!K1167</f>
        <v>0</v>
      </c>
      <c r="E615" s="75">
        <f>+'[1]Budget 2025W'!L1167</f>
        <v>0</v>
      </c>
      <c r="F615" s="154">
        <f>+'[1]Budget 2025W'!M1167</f>
        <v>0</v>
      </c>
      <c r="G615" s="154">
        <f>+'[1]Budget 2025W'!N1167</f>
        <v>0</v>
      </c>
      <c r="H615" s="154">
        <f>+'[1]Budget 2025W'!O1167</f>
        <v>0</v>
      </c>
      <c r="I615" s="154">
        <f>+'[1]Budget 2025W'!P1167</f>
        <v>0</v>
      </c>
      <c r="J615" s="154">
        <f>+'[1]Budget 2025W'!Q1167</f>
        <v>0</v>
      </c>
      <c r="K615" s="154">
        <f>+'[1]Budget 2025W'!R1167</f>
        <v>0</v>
      </c>
      <c r="L615" s="154">
        <f>+'[1]Budget 2025W'!S1167</f>
        <v>0</v>
      </c>
      <c r="M615" s="154">
        <f>+'[1]Budget 2025W'!T1167</f>
        <v>0</v>
      </c>
      <c r="N615" s="154">
        <f>+'[1]Budget 2025W'!U1167</f>
        <v>0</v>
      </c>
      <c r="O615" s="154">
        <f>+'[1]Budget 2025W'!V1167</f>
        <v>0</v>
      </c>
      <c r="P615" s="131"/>
      <c r="Q615" s="156">
        <f t="shared" si="65"/>
        <v>0</v>
      </c>
    </row>
    <row r="616" spans="3:17" x14ac:dyDescent="0.2">
      <c r="C616" s="153" t="s">
        <v>107</v>
      </c>
      <c r="D616" s="75">
        <f>+'[1]Budget 2025W'!K1168</f>
        <v>0</v>
      </c>
      <c r="E616" s="75">
        <f>+'[1]Budget 2025W'!L1168</f>
        <v>0</v>
      </c>
      <c r="F616" s="154">
        <f>+'[1]Budget 2025W'!M1168</f>
        <v>0</v>
      </c>
      <c r="G616" s="154">
        <f>+'[1]Budget 2025W'!N1168</f>
        <v>0</v>
      </c>
      <c r="H616" s="154">
        <f>+'[1]Budget 2025W'!O1168</f>
        <v>0</v>
      </c>
      <c r="I616" s="154">
        <f>+'[1]Budget 2025W'!P1168</f>
        <v>0</v>
      </c>
      <c r="J616" s="154">
        <f>+'[1]Budget 2025W'!Q1168</f>
        <v>0</v>
      </c>
      <c r="K616" s="154">
        <f>+'[1]Budget 2025W'!R1168</f>
        <v>0</v>
      </c>
      <c r="L616" s="154">
        <f>+'[1]Budget 2025W'!S1168</f>
        <v>0</v>
      </c>
      <c r="M616" s="154">
        <f>+'[1]Budget 2025W'!T1168</f>
        <v>0</v>
      </c>
      <c r="N616" s="154">
        <f>+'[1]Budget 2025W'!U1168</f>
        <v>0</v>
      </c>
      <c r="O616" s="154">
        <f>+'[1]Budget 2025W'!V1168</f>
        <v>0</v>
      </c>
      <c r="P616" s="131"/>
      <c r="Q616" s="156">
        <f t="shared" si="65"/>
        <v>0</v>
      </c>
    </row>
    <row r="617" spans="3:17" x14ac:dyDescent="0.2">
      <c r="C617" s="153" t="s">
        <v>108</v>
      </c>
      <c r="D617" s="75">
        <f>+'[1]Budget 2025W'!K1169</f>
        <v>0</v>
      </c>
      <c r="E617" s="75">
        <f>+'[1]Budget 2025W'!L1169</f>
        <v>0</v>
      </c>
      <c r="F617" s="154">
        <f>+'[1]Budget 2025W'!M1169</f>
        <v>0</v>
      </c>
      <c r="G617" s="154">
        <f>+'[1]Budget 2025W'!N1169</f>
        <v>0</v>
      </c>
      <c r="H617" s="154">
        <f>+'[1]Budget 2025W'!O1169</f>
        <v>0</v>
      </c>
      <c r="I617" s="154">
        <f>+'[1]Budget 2025W'!P1169</f>
        <v>0</v>
      </c>
      <c r="J617" s="154">
        <f>+'[1]Budget 2025W'!Q1169</f>
        <v>0</v>
      </c>
      <c r="K617" s="154">
        <f>+'[1]Budget 2025W'!R1169</f>
        <v>0</v>
      </c>
      <c r="L617" s="154">
        <f>+'[1]Budget 2025W'!S1169</f>
        <v>0</v>
      </c>
      <c r="M617" s="154">
        <f>+'[1]Budget 2025W'!T1169</f>
        <v>0</v>
      </c>
      <c r="N617" s="154">
        <f>+'[1]Budget 2025W'!U1169</f>
        <v>0</v>
      </c>
      <c r="O617" s="154">
        <f>+'[1]Budget 2025W'!V1169</f>
        <v>0</v>
      </c>
      <c r="P617" s="131"/>
      <c r="Q617" s="156">
        <f t="shared" si="65"/>
        <v>0</v>
      </c>
    </row>
    <row r="618" spans="3:17" x14ac:dyDescent="0.2">
      <c r="C618" s="153" t="s">
        <v>109</v>
      </c>
      <c r="D618" s="75">
        <f>+'[1]Budget 2025W'!K1170</f>
        <v>0</v>
      </c>
      <c r="E618" s="75">
        <f>+'[1]Budget 2025W'!L1170</f>
        <v>0</v>
      </c>
      <c r="F618" s="154">
        <f>+'[1]Budget 2025W'!M1170</f>
        <v>0</v>
      </c>
      <c r="G618" s="154">
        <f>+'[1]Budget 2025W'!N1170</f>
        <v>0</v>
      </c>
      <c r="H618" s="154">
        <f>+'[1]Budget 2025W'!O1170</f>
        <v>0</v>
      </c>
      <c r="I618" s="154">
        <f>+'[1]Budget 2025W'!P1170</f>
        <v>0</v>
      </c>
      <c r="J618" s="154">
        <f>+'[1]Budget 2025W'!Q1170</f>
        <v>0</v>
      </c>
      <c r="K618" s="154">
        <f>+'[1]Budget 2025W'!R1170</f>
        <v>0</v>
      </c>
      <c r="L618" s="154">
        <f>+'[1]Budget 2025W'!S1170</f>
        <v>0</v>
      </c>
      <c r="M618" s="154">
        <f>+'[1]Budget 2025W'!T1170</f>
        <v>0</v>
      </c>
      <c r="N618" s="154">
        <f>+'[1]Budget 2025W'!U1170</f>
        <v>0</v>
      </c>
      <c r="O618" s="154">
        <f>+'[1]Budget 2025W'!V1170</f>
        <v>0</v>
      </c>
      <c r="P618" s="131"/>
      <c r="Q618" s="156">
        <f t="shared" si="65"/>
        <v>0</v>
      </c>
    </row>
    <row r="619" spans="3:17" x14ac:dyDescent="0.2">
      <c r="C619" s="153" t="s">
        <v>110</v>
      </c>
      <c r="D619" s="75">
        <f>+'[1]Budget 2025W'!K1171</f>
        <v>0</v>
      </c>
      <c r="E619" s="75">
        <f>+'[1]Budget 2025W'!L1171</f>
        <v>0</v>
      </c>
      <c r="F619" s="154">
        <f>+'[1]Budget 2025W'!M1171</f>
        <v>0</v>
      </c>
      <c r="G619" s="154">
        <f>+'[1]Budget 2025W'!N1171</f>
        <v>0</v>
      </c>
      <c r="H619" s="154">
        <f>+'[1]Budget 2025W'!O1171</f>
        <v>0</v>
      </c>
      <c r="I619" s="154">
        <f>+'[1]Budget 2025W'!P1171</f>
        <v>0</v>
      </c>
      <c r="J619" s="154">
        <f>+'[1]Budget 2025W'!Q1171</f>
        <v>0</v>
      </c>
      <c r="K619" s="154">
        <f>+'[1]Budget 2025W'!R1171</f>
        <v>0</v>
      </c>
      <c r="L619" s="154">
        <f>+'[1]Budget 2025W'!S1171</f>
        <v>0</v>
      </c>
      <c r="M619" s="154">
        <f>+'[1]Budget 2025W'!T1171</f>
        <v>0</v>
      </c>
      <c r="N619" s="154">
        <f>+'[1]Budget 2025W'!U1171</f>
        <v>0</v>
      </c>
      <c r="O619" s="154">
        <f>+'[1]Budget 2025W'!V1171</f>
        <v>0</v>
      </c>
      <c r="P619" s="131"/>
      <c r="Q619" s="156">
        <f t="shared" si="65"/>
        <v>0</v>
      </c>
    </row>
    <row r="620" spans="3:17" x14ac:dyDescent="0.2">
      <c r="C620" s="153" t="s">
        <v>111</v>
      </c>
      <c r="D620" s="75">
        <f>+'[1]Budget 2025W'!K1172</f>
        <v>0</v>
      </c>
      <c r="E620" s="75">
        <f>+'[1]Budget 2025W'!L1172</f>
        <v>0</v>
      </c>
      <c r="F620" s="154">
        <f>+'[1]Budget 2025W'!M1172</f>
        <v>0</v>
      </c>
      <c r="G620" s="154">
        <f>+'[1]Budget 2025W'!N1172</f>
        <v>0</v>
      </c>
      <c r="H620" s="154">
        <f>+'[1]Budget 2025W'!O1172</f>
        <v>0</v>
      </c>
      <c r="I620" s="154">
        <f>+'[1]Budget 2025W'!P1172</f>
        <v>0</v>
      </c>
      <c r="J620" s="154">
        <f>+'[1]Budget 2025W'!Q1172</f>
        <v>0</v>
      </c>
      <c r="K620" s="154">
        <f>+'[1]Budget 2025W'!R1172</f>
        <v>0</v>
      </c>
      <c r="L620" s="154">
        <f>+'[1]Budget 2025W'!S1172</f>
        <v>0</v>
      </c>
      <c r="M620" s="154">
        <f>+'[1]Budget 2025W'!T1172</f>
        <v>0</v>
      </c>
      <c r="N620" s="154">
        <f>+'[1]Budget 2025W'!U1172</f>
        <v>0</v>
      </c>
      <c r="O620" s="154">
        <f>+'[1]Budget 2025W'!V1172</f>
        <v>0</v>
      </c>
      <c r="P620" s="131"/>
      <c r="Q620" s="156">
        <f t="shared" si="65"/>
        <v>0</v>
      </c>
    </row>
    <row r="621" spans="3:17" x14ac:dyDescent="0.2">
      <c r="C621" s="153" t="s">
        <v>112</v>
      </c>
      <c r="D621" s="75">
        <f>+'[1]Budget 2025W'!K1173</f>
        <v>0</v>
      </c>
      <c r="E621" s="75">
        <f>+'[1]Budget 2025W'!L1173</f>
        <v>0</v>
      </c>
      <c r="F621" s="154">
        <f>+'[1]Budget 2025W'!M1173</f>
        <v>0</v>
      </c>
      <c r="G621" s="154">
        <f>+'[1]Budget 2025W'!N1173</f>
        <v>0</v>
      </c>
      <c r="H621" s="154">
        <f>+'[1]Budget 2025W'!O1173</f>
        <v>0</v>
      </c>
      <c r="I621" s="154">
        <f>+'[1]Budget 2025W'!P1173</f>
        <v>0</v>
      </c>
      <c r="J621" s="154">
        <f>+'[1]Budget 2025W'!Q1173</f>
        <v>0</v>
      </c>
      <c r="K621" s="154">
        <f>+'[1]Budget 2025W'!R1173</f>
        <v>0</v>
      </c>
      <c r="L621" s="154">
        <f>+'[1]Budget 2025W'!S1173</f>
        <v>0</v>
      </c>
      <c r="M621" s="154">
        <f>+'[1]Budget 2025W'!T1173</f>
        <v>0</v>
      </c>
      <c r="N621" s="154">
        <f>+'[1]Budget 2025W'!U1173</f>
        <v>0</v>
      </c>
      <c r="O621" s="154">
        <f>+'[1]Budget 2025W'!V1173</f>
        <v>0</v>
      </c>
      <c r="P621" s="131"/>
      <c r="Q621" s="156">
        <f t="shared" si="65"/>
        <v>0</v>
      </c>
    </row>
    <row r="622" spans="3:17" ht="15.75" thickBot="1" x14ac:dyDescent="0.25">
      <c r="C622" s="153" t="s">
        <v>113</v>
      </c>
      <c r="D622" s="75">
        <f>+'[1]Budget 2025W'!K1174</f>
        <v>0</v>
      </c>
      <c r="E622" s="75">
        <f>+'[1]Budget 2025W'!L1174</f>
        <v>0</v>
      </c>
      <c r="F622" s="154">
        <f>+'[1]Budget 2025W'!M1174</f>
        <v>0</v>
      </c>
      <c r="G622" s="154">
        <f>+'[1]Budget 2025W'!N1174</f>
        <v>0</v>
      </c>
      <c r="H622" s="154">
        <f>+'[1]Budget 2025W'!O1174</f>
        <v>0</v>
      </c>
      <c r="I622" s="154">
        <f>+'[1]Budget 2025W'!P1174</f>
        <v>0</v>
      </c>
      <c r="J622" s="154">
        <f>+'[1]Budget 2025W'!Q1174</f>
        <v>0</v>
      </c>
      <c r="K622" s="154">
        <f>+'[1]Budget 2025W'!R1174</f>
        <v>0</v>
      </c>
      <c r="L622" s="154">
        <f>+'[1]Budget 2025W'!S1174</f>
        <v>0</v>
      </c>
      <c r="M622" s="154">
        <f>+'[1]Budget 2025W'!T1174</f>
        <v>0</v>
      </c>
      <c r="N622" s="154">
        <f>+'[1]Budget 2025W'!U1174</f>
        <v>0</v>
      </c>
      <c r="O622" s="154">
        <f>+'[1]Budget 2025W'!V1174</f>
        <v>0</v>
      </c>
      <c r="P622" s="131"/>
      <c r="Q622" s="156">
        <f t="shared" si="65"/>
        <v>0</v>
      </c>
    </row>
    <row r="623" spans="3:17" ht="17.25" thickTop="1" thickBot="1" x14ac:dyDescent="0.3">
      <c r="C623" s="162" t="s">
        <v>114</v>
      </c>
      <c r="D623" s="163">
        <f>+'[1]Budget 2025W'!K1179</f>
        <v>0</v>
      </c>
      <c r="E623" s="163">
        <f>+'[1]Budget 2025W'!L1179</f>
        <v>0</v>
      </c>
      <c r="F623" s="163">
        <f>+'[1]Budget 2025W'!M1179</f>
        <v>0</v>
      </c>
      <c r="G623" s="163">
        <f>+'[1]Budget 2025W'!N1179</f>
        <v>0</v>
      </c>
      <c r="H623" s="163">
        <f>+'[1]Budget 2025W'!O1179</f>
        <v>0</v>
      </c>
      <c r="I623" s="163">
        <f>+'[1]Budget 2025W'!P1179</f>
        <v>0</v>
      </c>
      <c r="J623" s="163">
        <f>+'[1]Budget 2025W'!Q1179</f>
        <v>0</v>
      </c>
      <c r="K623" s="163">
        <f>+'[1]Budget 2025W'!R1179</f>
        <v>0</v>
      </c>
      <c r="L623" s="163">
        <f>+'[1]Budget 2025W'!S1179</f>
        <v>0</v>
      </c>
      <c r="M623" s="163">
        <f>+'[1]Budget 2025W'!T1179</f>
        <v>0</v>
      </c>
      <c r="N623" s="163">
        <f>+'[1]Budget 2025W'!U1179</f>
        <v>0</v>
      </c>
      <c r="O623" s="163">
        <f>+'[1]Budget 2025W'!V1179</f>
        <v>0</v>
      </c>
      <c r="P623" s="131"/>
      <c r="Q623" s="207">
        <f t="shared" si="65"/>
        <v>0</v>
      </c>
    </row>
    <row r="624" spans="3:17" ht="16.5" thickTop="1" thickBot="1" x14ac:dyDescent="0.25">
      <c r="C624" s="201"/>
      <c r="D624" s="168"/>
      <c r="E624" s="168"/>
      <c r="F624" s="169"/>
      <c r="G624" s="169"/>
      <c r="H624" s="169"/>
      <c r="I624" s="169"/>
      <c r="J624" s="169"/>
      <c r="K624" s="169"/>
      <c r="L624" s="169"/>
      <c r="M624" s="169"/>
      <c r="N624" s="169" t="str">
        <f t="shared" ref="N624:O624" si="66">IFERROR(N623/N602,"")</f>
        <v/>
      </c>
      <c r="O624" s="169" t="str">
        <f t="shared" si="66"/>
        <v/>
      </c>
      <c r="P624" s="131"/>
      <c r="Q624" s="171"/>
    </row>
    <row r="625" spans="3:17" ht="15.75" x14ac:dyDescent="0.25">
      <c r="C625" s="195" t="s">
        <v>44</v>
      </c>
      <c r="D625" s="196"/>
      <c r="E625" s="196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31"/>
      <c r="Q625" s="161"/>
    </row>
    <row r="626" spans="3:17" x14ac:dyDescent="0.2">
      <c r="C626" s="153" t="s">
        <v>115</v>
      </c>
      <c r="D626" s="75">
        <f>+'[1]Budget 2025W'!K1183</f>
        <v>0</v>
      </c>
      <c r="E626" s="75">
        <f>+'[1]Budget 2025W'!L1183</f>
        <v>0</v>
      </c>
      <c r="F626" s="154">
        <f>+'[1]Budget 2025W'!M1183</f>
        <v>0</v>
      </c>
      <c r="G626" s="154">
        <f>+'[1]Budget 2025W'!N1183</f>
        <v>0</v>
      </c>
      <c r="H626" s="154">
        <f>+'[1]Budget 2025W'!O1183</f>
        <v>0</v>
      </c>
      <c r="I626" s="154">
        <f>+'[1]Budget 2025W'!P1183</f>
        <v>0</v>
      </c>
      <c r="J626" s="154">
        <f>+'[1]Budget 2025W'!Q1183</f>
        <v>0</v>
      </c>
      <c r="K626" s="154">
        <f>+'[1]Budget 2025W'!R1183</f>
        <v>0</v>
      </c>
      <c r="L626" s="154">
        <f>+'[1]Budget 2025W'!S1183</f>
        <v>0</v>
      </c>
      <c r="M626" s="154">
        <f>+'[1]Budget 2025W'!T1183</f>
        <v>0</v>
      </c>
      <c r="N626" s="154">
        <f>+'[1]Budget 2025W'!U1183</f>
        <v>0</v>
      </c>
      <c r="O626" s="154">
        <f>+'[1]Budget 2025W'!V1183</f>
        <v>0</v>
      </c>
      <c r="P626" s="131"/>
      <c r="Q626" s="156">
        <f t="shared" ref="Q626:Q644" si="67">SUM(D626:O626)</f>
        <v>0</v>
      </c>
    </row>
    <row r="627" spans="3:17" x14ac:dyDescent="0.2">
      <c r="C627" s="153" t="s">
        <v>120</v>
      </c>
      <c r="D627" s="75">
        <f>+'[1]Budget 2025W'!K1184</f>
        <v>0</v>
      </c>
      <c r="E627" s="75">
        <f>+'[1]Budget 2025W'!L1184</f>
        <v>0</v>
      </c>
      <c r="F627" s="154">
        <f>+'[1]Budget 2025W'!M1184</f>
        <v>0</v>
      </c>
      <c r="G627" s="154">
        <f>+'[1]Budget 2025W'!N1184</f>
        <v>0</v>
      </c>
      <c r="H627" s="154">
        <f>+'[1]Budget 2025W'!O1184</f>
        <v>0</v>
      </c>
      <c r="I627" s="154">
        <f>+'[1]Budget 2025W'!P1184</f>
        <v>0</v>
      </c>
      <c r="J627" s="154">
        <f>+'[1]Budget 2025W'!Q1184</f>
        <v>0</v>
      </c>
      <c r="K627" s="154">
        <f>+'[1]Budget 2025W'!R1184</f>
        <v>0</v>
      </c>
      <c r="L627" s="154">
        <f>+'[1]Budget 2025W'!S1184</f>
        <v>0</v>
      </c>
      <c r="M627" s="154">
        <f>+'[1]Budget 2025W'!T1184</f>
        <v>0</v>
      </c>
      <c r="N627" s="154">
        <f>+'[1]Budget 2025W'!U1184</f>
        <v>0</v>
      </c>
      <c r="O627" s="154">
        <f>+'[1]Budget 2025W'!V1184</f>
        <v>0</v>
      </c>
      <c r="P627" s="131"/>
      <c r="Q627" s="156">
        <f t="shared" si="67"/>
        <v>0</v>
      </c>
    </row>
    <row r="628" spans="3:17" x14ac:dyDescent="0.2">
      <c r="C628" s="153" t="s">
        <v>121</v>
      </c>
      <c r="D628" s="75">
        <f>+'[1]Budget 2025W'!K1185</f>
        <v>0</v>
      </c>
      <c r="E628" s="75">
        <f>+'[1]Budget 2025W'!L1185</f>
        <v>0</v>
      </c>
      <c r="F628" s="154">
        <f>+'[1]Budget 2025W'!M1185</f>
        <v>0</v>
      </c>
      <c r="G628" s="154">
        <f>+'[1]Budget 2025W'!N1185</f>
        <v>0</v>
      </c>
      <c r="H628" s="154">
        <f>+'[1]Budget 2025W'!O1185</f>
        <v>0</v>
      </c>
      <c r="I628" s="154">
        <f>+'[1]Budget 2025W'!P1185</f>
        <v>0</v>
      </c>
      <c r="J628" s="154">
        <f>+'[1]Budget 2025W'!Q1185</f>
        <v>0</v>
      </c>
      <c r="K628" s="154">
        <f>+'[1]Budget 2025W'!R1185</f>
        <v>0</v>
      </c>
      <c r="L628" s="154">
        <f>+'[1]Budget 2025W'!S1185</f>
        <v>0</v>
      </c>
      <c r="M628" s="154">
        <f>+'[1]Budget 2025W'!T1185</f>
        <v>0</v>
      </c>
      <c r="N628" s="154">
        <f>+'[1]Budget 2025W'!U1185</f>
        <v>0</v>
      </c>
      <c r="O628" s="154">
        <f>+'[1]Budget 2025W'!V1185</f>
        <v>0</v>
      </c>
      <c r="P628" s="131"/>
      <c r="Q628" s="156">
        <f t="shared" si="67"/>
        <v>0</v>
      </c>
    </row>
    <row r="629" spans="3:17" x14ac:dyDescent="0.2">
      <c r="C629" s="153" t="s">
        <v>122</v>
      </c>
      <c r="D629" s="75">
        <f>+'[1]Budget 2025W'!K1186</f>
        <v>0</v>
      </c>
      <c r="E629" s="75">
        <f>+'[1]Budget 2025W'!L1186</f>
        <v>0</v>
      </c>
      <c r="F629" s="154">
        <f>+'[1]Budget 2025W'!M1186</f>
        <v>0</v>
      </c>
      <c r="G629" s="154">
        <f>+'[1]Budget 2025W'!N1186</f>
        <v>0</v>
      </c>
      <c r="H629" s="154">
        <f>+'[1]Budget 2025W'!O1186</f>
        <v>0</v>
      </c>
      <c r="I629" s="154">
        <f>+'[1]Budget 2025W'!P1186</f>
        <v>0</v>
      </c>
      <c r="J629" s="154">
        <f>+'[1]Budget 2025W'!Q1186</f>
        <v>0</v>
      </c>
      <c r="K629" s="154">
        <f>+'[1]Budget 2025W'!R1186</f>
        <v>0</v>
      </c>
      <c r="L629" s="154">
        <f>+'[1]Budget 2025W'!S1186</f>
        <v>0</v>
      </c>
      <c r="M629" s="154">
        <f>+'[1]Budget 2025W'!T1186</f>
        <v>0</v>
      </c>
      <c r="N629" s="154">
        <f>+'[1]Budget 2025W'!U1186</f>
        <v>0</v>
      </c>
      <c r="O629" s="154">
        <f>+'[1]Budget 2025W'!V1186</f>
        <v>0</v>
      </c>
      <c r="P629" s="131"/>
      <c r="Q629" s="156">
        <f t="shared" si="67"/>
        <v>0</v>
      </c>
    </row>
    <row r="630" spans="3:17" x14ac:dyDescent="0.2">
      <c r="C630" s="153" t="s">
        <v>123</v>
      </c>
      <c r="D630" s="75">
        <f>+'[1]Budget 2025W'!K1187</f>
        <v>0</v>
      </c>
      <c r="E630" s="75">
        <f>+'[1]Budget 2025W'!L1187</f>
        <v>0</v>
      </c>
      <c r="F630" s="154">
        <f>+'[1]Budget 2025W'!M1187</f>
        <v>0</v>
      </c>
      <c r="G630" s="154">
        <f>+'[1]Budget 2025W'!N1187</f>
        <v>0</v>
      </c>
      <c r="H630" s="154">
        <f>+'[1]Budget 2025W'!O1187</f>
        <v>0</v>
      </c>
      <c r="I630" s="154">
        <f>+'[1]Budget 2025W'!P1187</f>
        <v>0</v>
      </c>
      <c r="J630" s="154">
        <f>+'[1]Budget 2025W'!Q1187</f>
        <v>0</v>
      </c>
      <c r="K630" s="154">
        <f>+'[1]Budget 2025W'!R1187</f>
        <v>0</v>
      </c>
      <c r="L630" s="154">
        <f>+'[1]Budget 2025W'!S1187</f>
        <v>0</v>
      </c>
      <c r="M630" s="154">
        <f>+'[1]Budget 2025W'!T1187</f>
        <v>0</v>
      </c>
      <c r="N630" s="154">
        <f>+'[1]Budget 2025W'!U1187</f>
        <v>0</v>
      </c>
      <c r="O630" s="154">
        <f>+'[1]Budget 2025W'!V1187</f>
        <v>0</v>
      </c>
      <c r="P630" s="131"/>
      <c r="Q630" s="156">
        <f t="shared" si="67"/>
        <v>0</v>
      </c>
    </row>
    <row r="631" spans="3:17" x14ac:dyDescent="0.2">
      <c r="C631" s="153" t="s">
        <v>170</v>
      </c>
      <c r="D631" s="75">
        <f>+'[1]Budget 2025W'!K1188</f>
        <v>0</v>
      </c>
      <c r="E631" s="75">
        <f>+'[1]Budget 2025W'!L1188</f>
        <v>0</v>
      </c>
      <c r="F631" s="154">
        <f>+'[1]Budget 2025W'!M1188</f>
        <v>0</v>
      </c>
      <c r="G631" s="154">
        <f>+'[1]Budget 2025W'!N1188</f>
        <v>0</v>
      </c>
      <c r="H631" s="154">
        <f>+'[1]Budget 2025W'!O1188</f>
        <v>0</v>
      </c>
      <c r="I631" s="154">
        <f>+'[1]Budget 2025W'!P1188</f>
        <v>0</v>
      </c>
      <c r="J631" s="154">
        <f>+'[1]Budget 2025W'!Q1188</f>
        <v>0</v>
      </c>
      <c r="K631" s="154">
        <f>+'[1]Budget 2025W'!R1188</f>
        <v>0</v>
      </c>
      <c r="L631" s="154">
        <f>+'[1]Budget 2025W'!S1188</f>
        <v>0</v>
      </c>
      <c r="M631" s="154">
        <f>+'[1]Budget 2025W'!T1188</f>
        <v>0</v>
      </c>
      <c r="N631" s="154">
        <f>+'[1]Budget 2025W'!U1188</f>
        <v>0</v>
      </c>
      <c r="O631" s="154">
        <f>+'[1]Budget 2025W'!V1188</f>
        <v>0</v>
      </c>
      <c r="P631" s="131"/>
      <c r="Q631" s="156">
        <f t="shared" si="67"/>
        <v>0</v>
      </c>
    </row>
    <row r="632" spans="3:17" x14ac:dyDescent="0.2">
      <c r="C632" s="153" t="s">
        <v>125</v>
      </c>
      <c r="D632" s="75">
        <f>+'[1]Budget 2025W'!K1189</f>
        <v>0</v>
      </c>
      <c r="E632" s="75">
        <f>+'[1]Budget 2025W'!L1189</f>
        <v>0</v>
      </c>
      <c r="F632" s="154">
        <f>+'[1]Budget 2025W'!M1189</f>
        <v>0</v>
      </c>
      <c r="G632" s="154">
        <f>+'[1]Budget 2025W'!N1189</f>
        <v>0</v>
      </c>
      <c r="H632" s="154">
        <f>+'[1]Budget 2025W'!O1189</f>
        <v>0</v>
      </c>
      <c r="I632" s="154">
        <f>+'[1]Budget 2025W'!P1189</f>
        <v>0</v>
      </c>
      <c r="J632" s="154">
        <f>+'[1]Budget 2025W'!Q1189</f>
        <v>0</v>
      </c>
      <c r="K632" s="154">
        <f>+'[1]Budget 2025W'!R1189</f>
        <v>0</v>
      </c>
      <c r="L632" s="154">
        <f>+'[1]Budget 2025W'!S1189</f>
        <v>0</v>
      </c>
      <c r="M632" s="154">
        <f>+'[1]Budget 2025W'!T1189</f>
        <v>0</v>
      </c>
      <c r="N632" s="154">
        <f>+'[1]Budget 2025W'!U1189</f>
        <v>0</v>
      </c>
      <c r="O632" s="154">
        <f>+'[1]Budget 2025W'!V1189</f>
        <v>0</v>
      </c>
      <c r="P632" s="131"/>
      <c r="Q632" s="156">
        <f t="shared" si="67"/>
        <v>0</v>
      </c>
    </row>
    <row r="633" spans="3:17" x14ac:dyDescent="0.2">
      <c r="C633" s="153" t="s">
        <v>126</v>
      </c>
      <c r="D633" s="75">
        <f>+'[1]Budget 2025W'!K1190</f>
        <v>0</v>
      </c>
      <c r="E633" s="75">
        <f>+'[1]Budget 2025W'!L1190</f>
        <v>0</v>
      </c>
      <c r="F633" s="154">
        <f>+'[1]Budget 2025W'!M1190</f>
        <v>0</v>
      </c>
      <c r="G633" s="154">
        <f>+'[1]Budget 2025W'!N1190</f>
        <v>0</v>
      </c>
      <c r="H633" s="154">
        <f>+'[1]Budget 2025W'!O1190</f>
        <v>0</v>
      </c>
      <c r="I633" s="154">
        <f>+'[1]Budget 2025W'!P1190</f>
        <v>0</v>
      </c>
      <c r="J633" s="154">
        <f>+'[1]Budget 2025W'!Q1190</f>
        <v>0</v>
      </c>
      <c r="K633" s="154">
        <f>+'[1]Budget 2025W'!R1190</f>
        <v>0</v>
      </c>
      <c r="L633" s="154">
        <f>+'[1]Budget 2025W'!S1190</f>
        <v>0</v>
      </c>
      <c r="M633" s="154">
        <f>+'[1]Budget 2025W'!T1190</f>
        <v>0</v>
      </c>
      <c r="N633" s="154">
        <f>+'[1]Budget 2025W'!U1190</f>
        <v>0</v>
      </c>
      <c r="O633" s="154">
        <f>+'[1]Budget 2025W'!V1190</f>
        <v>0</v>
      </c>
      <c r="P633" s="131"/>
      <c r="Q633" s="156">
        <f t="shared" si="67"/>
        <v>0</v>
      </c>
    </row>
    <row r="634" spans="3:17" x14ac:dyDescent="0.2">
      <c r="C634" s="153" t="s">
        <v>130</v>
      </c>
      <c r="D634" s="75">
        <f>+'[1]Budget 2025W'!K1191</f>
        <v>0</v>
      </c>
      <c r="E634" s="75">
        <f>+'[1]Budget 2025W'!L1191</f>
        <v>0</v>
      </c>
      <c r="F634" s="154">
        <f>+'[1]Budget 2025W'!M1191</f>
        <v>0</v>
      </c>
      <c r="G634" s="154">
        <f>+'[1]Budget 2025W'!N1191</f>
        <v>0</v>
      </c>
      <c r="H634" s="154">
        <f>+'[1]Budget 2025W'!O1191</f>
        <v>0</v>
      </c>
      <c r="I634" s="154">
        <f>+'[1]Budget 2025W'!P1191</f>
        <v>0</v>
      </c>
      <c r="J634" s="154">
        <f>+'[1]Budget 2025W'!Q1191</f>
        <v>0</v>
      </c>
      <c r="K634" s="154">
        <f>+'[1]Budget 2025W'!R1191</f>
        <v>0</v>
      </c>
      <c r="L634" s="154">
        <f>+'[1]Budget 2025W'!S1191</f>
        <v>0</v>
      </c>
      <c r="M634" s="154">
        <f>+'[1]Budget 2025W'!T1191</f>
        <v>0</v>
      </c>
      <c r="N634" s="154">
        <f>+'[1]Budget 2025W'!U1191</f>
        <v>0</v>
      </c>
      <c r="O634" s="154">
        <f>+'[1]Budget 2025W'!V1191</f>
        <v>0</v>
      </c>
      <c r="P634" s="131"/>
      <c r="Q634" s="156">
        <f t="shared" si="67"/>
        <v>0</v>
      </c>
    </row>
    <row r="635" spans="3:17" x14ac:dyDescent="0.2">
      <c r="C635" s="153" t="s">
        <v>253</v>
      </c>
      <c r="D635" s="75">
        <f>+'[1]Budget 2025W'!K1192</f>
        <v>0</v>
      </c>
      <c r="E635" s="75">
        <f>+'[1]Budget 2025W'!L1192</f>
        <v>0</v>
      </c>
      <c r="F635" s="154">
        <f>+'[1]Budget 2025W'!M1192</f>
        <v>0</v>
      </c>
      <c r="G635" s="154">
        <f>+'[1]Budget 2025W'!N1192</f>
        <v>0</v>
      </c>
      <c r="H635" s="154">
        <f>+'[1]Budget 2025W'!O1192</f>
        <v>0</v>
      </c>
      <c r="I635" s="154">
        <f>+'[1]Budget 2025W'!P1192</f>
        <v>0</v>
      </c>
      <c r="J635" s="154">
        <f>+'[1]Budget 2025W'!Q1192</f>
        <v>0</v>
      </c>
      <c r="K635" s="154">
        <f>+'[1]Budget 2025W'!R1192</f>
        <v>0</v>
      </c>
      <c r="L635" s="154">
        <f>+'[1]Budget 2025W'!S1192</f>
        <v>0</v>
      </c>
      <c r="M635" s="154">
        <f>+'[1]Budget 2025W'!T1192</f>
        <v>0</v>
      </c>
      <c r="N635" s="154">
        <f>+'[1]Budget 2025W'!U1192</f>
        <v>0</v>
      </c>
      <c r="O635" s="154">
        <f>+'[1]Budget 2025W'!V1192</f>
        <v>0</v>
      </c>
      <c r="P635" s="131"/>
      <c r="Q635" s="156">
        <f t="shared" si="67"/>
        <v>0</v>
      </c>
    </row>
    <row r="636" spans="3:17" x14ac:dyDescent="0.2">
      <c r="C636" s="153" t="s">
        <v>131</v>
      </c>
      <c r="D636" s="75">
        <f>+'[1]Budget 2025W'!K1193</f>
        <v>0</v>
      </c>
      <c r="E636" s="75">
        <f>+'[1]Budget 2025W'!L1193</f>
        <v>0</v>
      </c>
      <c r="F636" s="154">
        <f>+'[1]Budget 2025W'!M1193</f>
        <v>0</v>
      </c>
      <c r="G636" s="154">
        <f>+'[1]Budget 2025W'!N1193</f>
        <v>0</v>
      </c>
      <c r="H636" s="154">
        <f>+'[1]Budget 2025W'!O1193</f>
        <v>0</v>
      </c>
      <c r="I636" s="154">
        <f>+'[1]Budget 2025W'!P1193</f>
        <v>0</v>
      </c>
      <c r="J636" s="154">
        <f>+'[1]Budget 2025W'!Q1193</f>
        <v>0</v>
      </c>
      <c r="K636" s="154">
        <f>+'[1]Budget 2025W'!R1193</f>
        <v>0</v>
      </c>
      <c r="L636" s="154">
        <f>+'[1]Budget 2025W'!S1193</f>
        <v>0</v>
      </c>
      <c r="M636" s="154">
        <f>+'[1]Budget 2025W'!T1193</f>
        <v>0</v>
      </c>
      <c r="N636" s="154">
        <f>+'[1]Budget 2025W'!U1193</f>
        <v>0</v>
      </c>
      <c r="O636" s="154">
        <f>+'[1]Budget 2025W'!V1193</f>
        <v>0</v>
      </c>
      <c r="P636" s="131"/>
      <c r="Q636" s="156">
        <f t="shared" si="67"/>
        <v>0</v>
      </c>
    </row>
    <row r="637" spans="3:17" x14ac:dyDescent="0.2">
      <c r="C637" s="153" t="s">
        <v>196</v>
      </c>
      <c r="D637" s="75">
        <f>+'[1]Budget 2025W'!K1194</f>
        <v>0</v>
      </c>
      <c r="E637" s="75">
        <f>+'[1]Budget 2025W'!L1194</f>
        <v>0</v>
      </c>
      <c r="F637" s="154">
        <f>+'[1]Budget 2025W'!M1194</f>
        <v>0</v>
      </c>
      <c r="G637" s="154">
        <f>+'[1]Budget 2025W'!N1194</f>
        <v>0</v>
      </c>
      <c r="H637" s="154">
        <f>+'[1]Budget 2025W'!O1194</f>
        <v>0</v>
      </c>
      <c r="I637" s="154">
        <f>+'[1]Budget 2025W'!P1194</f>
        <v>0</v>
      </c>
      <c r="J637" s="154">
        <f>+'[1]Budget 2025W'!Q1194</f>
        <v>0</v>
      </c>
      <c r="K637" s="154">
        <f>+'[1]Budget 2025W'!R1194</f>
        <v>0</v>
      </c>
      <c r="L637" s="154">
        <f>+'[1]Budget 2025W'!S1194</f>
        <v>0</v>
      </c>
      <c r="M637" s="154">
        <f>+'[1]Budget 2025W'!T1194</f>
        <v>0</v>
      </c>
      <c r="N637" s="154">
        <f>+'[1]Budget 2025W'!U1194</f>
        <v>0</v>
      </c>
      <c r="O637" s="154">
        <f>+'[1]Budget 2025W'!V1194</f>
        <v>0</v>
      </c>
      <c r="P637" s="131"/>
      <c r="Q637" s="156">
        <f t="shared" si="67"/>
        <v>0</v>
      </c>
    </row>
    <row r="638" spans="3:17" x14ac:dyDescent="0.2">
      <c r="C638" s="153" t="s">
        <v>134</v>
      </c>
      <c r="D638" s="75">
        <f>+'[1]Budget 2025W'!K1195</f>
        <v>0</v>
      </c>
      <c r="E638" s="75">
        <f>+'[1]Budget 2025W'!L1195</f>
        <v>0</v>
      </c>
      <c r="F638" s="154">
        <f>+'[1]Budget 2025W'!M1195</f>
        <v>0</v>
      </c>
      <c r="G638" s="154">
        <f>+'[1]Budget 2025W'!N1195</f>
        <v>0</v>
      </c>
      <c r="H638" s="154">
        <f>+'[1]Budget 2025W'!O1195</f>
        <v>0</v>
      </c>
      <c r="I638" s="154">
        <f>+'[1]Budget 2025W'!P1195</f>
        <v>0</v>
      </c>
      <c r="J638" s="154">
        <f>+'[1]Budget 2025W'!Q1195</f>
        <v>0</v>
      </c>
      <c r="K638" s="154">
        <f>+'[1]Budget 2025W'!R1195</f>
        <v>0</v>
      </c>
      <c r="L638" s="154">
        <f>+'[1]Budget 2025W'!S1195</f>
        <v>0</v>
      </c>
      <c r="M638" s="154">
        <f>+'[1]Budget 2025W'!T1195</f>
        <v>0</v>
      </c>
      <c r="N638" s="154">
        <f>+'[1]Budget 2025W'!U1195</f>
        <v>0</v>
      </c>
      <c r="O638" s="154">
        <f>+'[1]Budget 2025W'!V1195</f>
        <v>0</v>
      </c>
      <c r="P638" s="131"/>
      <c r="Q638" s="156">
        <f t="shared" si="67"/>
        <v>0</v>
      </c>
    </row>
    <row r="639" spans="3:17" x14ac:dyDescent="0.2">
      <c r="C639" s="153" t="s">
        <v>136</v>
      </c>
      <c r="D639" s="75">
        <f>+'[1]Budget 2025W'!K1196</f>
        <v>0</v>
      </c>
      <c r="E639" s="75">
        <f>+'[1]Budget 2025W'!L1196</f>
        <v>0</v>
      </c>
      <c r="F639" s="154">
        <f>+'[1]Budget 2025W'!M1196</f>
        <v>0</v>
      </c>
      <c r="G639" s="154">
        <f>+'[1]Budget 2025W'!N1196</f>
        <v>0</v>
      </c>
      <c r="H639" s="154">
        <f>+'[1]Budget 2025W'!O1196</f>
        <v>0</v>
      </c>
      <c r="I639" s="154">
        <f>+'[1]Budget 2025W'!P1196</f>
        <v>0</v>
      </c>
      <c r="J639" s="154">
        <f>+'[1]Budget 2025W'!Q1196</f>
        <v>0</v>
      </c>
      <c r="K639" s="154">
        <f>+'[1]Budget 2025W'!R1196</f>
        <v>0</v>
      </c>
      <c r="L639" s="154">
        <f>+'[1]Budget 2025W'!S1196</f>
        <v>0</v>
      </c>
      <c r="M639" s="154">
        <f>+'[1]Budget 2025W'!T1196</f>
        <v>0</v>
      </c>
      <c r="N639" s="154">
        <f>+'[1]Budget 2025W'!U1196</f>
        <v>0</v>
      </c>
      <c r="O639" s="154">
        <f>+'[1]Budget 2025W'!V1196</f>
        <v>0</v>
      </c>
      <c r="P639" s="131"/>
      <c r="Q639" s="156">
        <f t="shared" si="67"/>
        <v>0</v>
      </c>
    </row>
    <row r="640" spans="3:17" x14ac:dyDescent="0.2">
      <c r="C640" s="153" t="s">
        <v>139</v>
      </c>
      <c r="D640" s="75">
        <f>+'[1]Budget 2025W'!K1197</f>
        <v>0</v>
      </c>
      <c r="E640" s="75">
        <f>+'[1]Budget 2025W'!L1197</f>
        <v>0</v>
      </c>
      <c r="F640" s="154">
        <f>+'[1]Budget 2025W'!M1197</f>
        <v>0</v>
      </c>
      <c r="G640" s="154">
        <f>+'[1]Budget 2025W'!N1197</f>
        <v>0</v>
      </c>
      <c r="H640" s="154">
        <f>+'[1]Budget 2025W'!O1197</f>
        <v>0</v>
      </c>
      <c r="I640" s="154">
        <f>+'[1]Budget 2025W'!P1197</f>
        <v>0</v>
      </c>
      <c r="J640" s="154">
        <f>+'[1]Budget 2025W'!Q1197</f>
        <v>0</v>
      </c>
      <c r="K640" s="154">
        <f>+'[1]Budget 2025W'!R1197</f>
        <v>0</v>
      </c>
      <c r="L640" s="154">
        <f>+'[1]Budget 2025W'!S1197</f>
        <v>0</v>
      </c>
      <c r="M640" s="154">
        <f>+'[1]Budget 2025W'!T1197</f>
        <v>0</v>
      </c>
      <c r="N640" s="154">
        <f>+'[1]Budget 2025W'!U1197</f>
        <v>0</v>
      </c>
      <c r="O640" s="154">
        <f>+'[1]Budget 2025W'!V1197</f>
        <v>0</v>
      </c>
      <c r="P640" s="131"/>
      <c r="Q640" s="156">
        <f t="shared" si="67"/>
        <v>0</v>
      </c>
    </row>
    <row r="641" spans="2:17" x14ac:dyDescent="0.2">
      <c r="C641" s="153" t="s">
        <v>140</v>
      </c>
      <c r="D641" s="75">
        <f>+'[1]Budget 2025W'!K1198</f>
        <v>0</v>
      </c>
      <c r="E641" s="75">
        <f>+'[1]Budget 2025W'!L1198</f>
        <v>0</v>
      </c>
      <c r="F641" s="154">
        <f>+'[1]Budget 2025W'!M1198</f>
        <v>0</v>
      </c>
      <c r="G641" s="154">
        <f>+'[1]Budget 2025W'!N1198</f>
        <v>0</v>
      </c>
      <c r="H641" s="154">
        <f>+'[1]Budget 2025W'!O1198</f>
        <v>0</v>
      </c>
      <c r="I641" s="154">
        <f>+'[1]Budget 2025W'!P1198</f>
        <v>0</v>
      </c>
      <c r="J641" s="154">
        <f>+'[1]Budget 2025W'!Q1198</f>
        <v>0</v>
      </c>
      <c r="K641" s="154">
        <f>+'[1]Budget 2025W'!R1198</f>
        <v>0</v>
      </c>
      <c r="L641" s="154">
        <f>+'[1]Budget 2025W'!S1198</f>
        <v>0</v>
      </c>
      <c r="M641" s="154">
        <f>+'[1]Budget 2025W'!T1198</f>
        <v>0</v>
      </c>
      <c r="N641" s="154">
        <f>+'[1]Budget 2025W'!U1198</f>
        <v>0</v>
      </c>
      <c r="O641" s="154">
        <f>+'[1]Budget 2025W'!V1198</f>
        <v>0</v>
      </c>
      <c r="P641" s="131"/>
      <c r="Q641" s="156">
        <f t="shared" si="67"/>
        <v>0</v>
      </c>
    </row>
    <row r="642" spans="2:17" x14ac:dyDescent="0.2">
      <c r="C642" s="153" t="s">
        <v>141</v>
      </c>
      <c r="D642" s="75">
        <f>+'[1]Budget 2025W'!K1199</f>
        <v>0</v>
      </c>
      <c r="E642" s="75">
        <f>+'[1]Budget 2025W'!L1199</f>
        <v>0</v>
      </c>
      <c r="F642" s="154">
        <f>+'[1]Budget 2025W'!M1199</f>
        <v>0</v>
      </c>
      <c r="G642" s="154">
        <f>+'[1]Budget 2025W'!N1199</f>
        <v>0</v>
      </c>
      <c r="H642" s="154">
        <f>+'[1]Budget 2025W'!O1199</f>
        <v>0</v>
      </c>
      <c r="I642" s="154">
        <f>+'[1]Budget 2025W'!P1199</f>
        <v>0</v>
      </c>
      <c r="J642" s="154">
        <f>+'[1]Budget 2025W'!Q1199</f>
        <v>0</v>
      </c>
      <c r="K642" s="154">
        <f>+'[1]Budget 2025W'!R1199</f>
        <v>0</v>
      </c>
      <c r="L642" s="154">
        <f>+'[1]Budget 2025W'!S1199</f>
        <v>0</v>
      </c>
      <c r="M642" s="154">
        <f>+'[1]Budget 2025W'!T1199</f>
        <v>0</v>
      </c>
      <c r="N642" s="154">
        <f>+'[1]Budget 2025W'!U1199</f>
        <v>0</v>
      </c>
      <c r="O642" s="154">
        <f>+'[1]Budget 2025W'!V1199</f>
        <v>0</v>
      </c>
      <c r="P642" s="131"/>
      <c r="Q642" s="156">
        <f t="shared" si="67"/>
        <v>0</v>
      </c>
    </row>
    <row r="643" spans="2:17" ht="15.75" thickBot="1" x14ac:dyDescent="0.25">
      <c r="C643" s="153" t="s">
        <v>142</v>
      </c>
      <c r="D643" s="75">
        <f>+'[1]Budget 2025W'!K1200</f>
        <v>0</v>
      </c>
      <c r="E643" s="75">
        <f>+'[1]Budget 2025W'!L1200</f>
        <v>0</v>
      </c>
      <c r="F643" s="154">
        <f>+'[1]Budget 2025W'!M1200</f>
        <v>0</v>
      </c>
      <c r="G643" s="154">
        <f>+'[1]Budget 2025W'!N1200</f>
        <v>0</v>
      </c>
      <c r="H643" s="154">
        <f>+'[1]Budget 2025W'!O1200</f>
        <v>0</v>
      </c>
      <c r="I643" s="154">
        <f>+'[1]Budget 2025W'!P1200</f>
        <v>0</v>
      </c>
      <c r="J643" s="154">
        <f>+'[1]Budget 2025W'!Q1200</f>
        <v>0</v>
      </c>
      <c r="K643" s="154">
        <f>+'[1]Budget 2025W'!R1200</f>
        <v>0</v>
      </c>
      <c r="L643" s="154">
        <f>+'[1]Budget 2025W'!S1200</f>
        <v>0</v>
      </c>
      <c r="M643" s="154">
        <f>+'[1]Budget 2025W'!T1200</f>
        <v>0</v>
      </c>
      <c r="N643" s="154">
        <f>+'[1]Budget 2025W'!U1200</f>
        <v>0</v>
      </c>
      <c r="O643" s="154">
        <f>+'[1]Budget 2025W'!V1200</f>
        <v>0</v>
      </c>
      <c r="P643" s="131"/>
      <c r="Q643" s="156">
        <f t="shared" si="67"/>
        <v>0</v>
      </c>
    </row>
    <row r="644" spans="2:17" ht="17.25" thickTop="1" thickBot="1" x14ac:dyDescent="0.3">
      <c r="C644" s="162" t="s">
        <v>144</v>
      </c>
      <c r="D644" s="163">
        <f>+'[1]Budget 2025W'!K1204</f>
        <v>0</v>
      </c>
      <c r="E644" s="163">
        <f>+'[1]Budget 2025W'!L1204</f>
        <v>0</v>
      </c>
      <c r="F644" s="163">
        <f>+'[1]Budget 2025W'!M1204</f>
        <v>0</v>
      </c>
      <c r="G644" s="163">
        <f>+'[1]Budget 2025W'!N1204</f>
        <v>0</v>
      </c>
      <c r="H644" s="163">
        <f>+'[1]Budget 2025W'!O1204</f>
        <v>0</v>
      </c>
      <c r="I644" s="163">
        <f>+'[1]Budget 2025W'!P1204</f>
        <v>0</v>
      </c>
      <c r="J644" s="163">
        <f>+'[1]Budget 2025W'!Q1204</f>
        <v>0</v>
      </c>
      <c r="K644" s="163">
        <f>+'[1]Budget 2025W'!R1204</f>
        <v>0</v>
      </c>
      <c r="L644" s="163">
        <f>+'[1]Budget 2025W'!S1204</f>
        <v>0</v>
      </c>
      <c r="M644" s="163">
        <f>+'[1]Budget 2025W'!T1204</f>
        <v>0</v>
      </c>
      <c r="N644" s="163">
        <f>+'[1]Budget 2025W'!U1204</f>
        <v>0</v>
      </c>
      <c r="O644" s="163">
        <f>+'[1]Budget 2025W'!V1204</f>
        <v>0</v>
      </c>
      <c r="P644" s="131"/>
      <c r="Q644" s="207">
        <f t="shared" si="67"/>
        <v>0</v>
      </c>
    </row>
    <row r="645" spans="2:17" ht="16.5" thickTop="1" thickBot="1" x14ac:dyDescent="0.25">
      <c r="C645" s="201"/>
      <c r="D645" s="168"/>
      <c r="E645" s="168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31"/>
      <c r="Q645" s="171"/>
    </row>
    <row r="646" spans="2:17" ht="16.5" thickBot="1" x14ac:dyDescent="0.3">
      <c r="B646" s="141"/>
      <c r="C646" s="203" t="s">
        <v>254</v>
      </c>
      <c r="D646" s="204">
        <f t="shared" ref="D646:O646" si="68">D602-D605-D623-D644</f>
        <v>0</v>
      </c>
      <c r="E646" s="204">
        <f t="shared" si="68"/>
        <v>0</v>
      </c>
      <c r="F646" s="205">
        <f t="shared" si="68"/>
        <v>0</v>
      </c>
      <c r="G646" s="205">
        <f t="shared" si="68"/>
        <v>0</v>
      </c>
      <c r="H646" s="205">
        <f t="shared" si="68"/>
        <v>0</v>
      </c>
      <c r="I646" s="205">
        <f t="shared" si="68"/>
        <v>0</v>
      </c>
      <c r="J646" s="205">
        <f t="shared" si="68"/>
        <v>0</v>
      </c>
      <c r="K646" s="205">
        <f t="shared" si="68"/>
        <v>0</v>
      </c>
      <c r="L646" s="205">
        <f t="shared" si="68"/>
        <v>0</v>
      </c>
      <c r="M646" s="205">
        <f t="shared" si="68"/>
        <v>0</v>
      </c>
      <c r="N646" s="205">
        <f t="shared" si="68"/>
        <v>0</v>
      </c>
      <c r="O646" s="205">
        <f t="shared" si="68"/>
        <v>0</v>
      </c>
      <c r="P646" s="131"/>
      <c r="Q646" s="183">
        <f>SUM(D646:O646)</f>
        <v>0</v>
      </c>
    </row>
    <row r="647" spans="2:17" ht="16.5" thickTop="1" thickBot="1" x14ac:dyDescent="0.25">
      <c r="C647" s="206"/>
      <c r="D647" s="186"/>
      <c r="E647" s="186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31"/>
      <c r="Q647" s="171"/>
    </row>
    <row r="648" spans="2:17" ht="16.5" hidden="1" thickBot="1" x14ac:dyDescent="0.3">
      <c r="B648" s="141"/>
      <c r="C648" s="142" t="s">
        <v>255</v>
      </c>
      <c r="D648" s="143"/>
      <c r="E648" s="144"/>
      <c r="F648" s="145"/>
      <c r="G648" s="145"/>
      <c r="H648" s="146"/>
      <c r="I648" s="146"/>
      <c r="J648" s="146"/>
      <c r="K648" s="146"/>
      <c r="L648" s="146"/>
      <c r="M648" s="146"/>
      <c r="N648" s="146"/>
      <c r="O648" s="146"/>
      <c r="P648" s="129"/>
      <c r="Q648" s="145"/>
    </row>
    <row r="649" spans="2:17" ht="16.5" hidden="1" thickBot="1" x14ac:dyDescent="0.3">
      <c r="C649" s="157" t="s">
        <v>26</v>
      </c>
      <c r="D649" s="158"/>
      <c r="E649" s="158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31"/>
      <c r="Q649" s="161"/>
    </row>
    <row r="650" spans="2:17" ht="15.75" hidden="1" thickBot="1" x14ac:dyDescent="0.25">
      <c r="C650" s="153" t="s">
        <v>196</v>
      </c>
      <c r="D650" s="75">
        <f>+'[1]Budget 2025W'!K867</f>
        <v>0</v>
      </c>
      <c r="E650" s="75">
        <f>+'[1]Budget 2025W'!L867</f>
        <v>0</v>
      </c>
      <c r="F650" s="154">
        <f>+'[1]Budget 2025W'!M867</f>
        <v>0</v>
      </c>
      <c r="G650" s="154">
        <f>+'[1]Budget 2025W'!N867</f>
        <v>0</v>
      </c>
      <c r="H650" s="154">
        <f>+'[1]Budget 2025W'!O867</f>
        <v>0</v>
      </c>
      <c r="I650" s="154">
        <f>+'[1]Budget 2025W'!P867</f>
        <v>0</v>
      </c>
      <c r="J650" s="154">
        <f>+'[1]Budget 2025W'!Q867</f>
        <v>0</v>
      </c>
      <c r="K650" s="154">
        <f>+'[1]Budget 2025W'!R867</f>
        <v>0</v>
      </c>
      <c r="L650" s="154">
        <f>+'[1]Budget 2025W'!S867</f>
        <v>0</v>
      </c>
      <c r="M650" s="154">
        <f>+'[1]Budget 2025W'!T867</f>
        <v>0</v>
      </c>
      <c r="N650" s="154">
        <f>+'[1]Budget 2025W'!U867</f>
        <v>0</v>
      </c>
      <c r="O650" s="154">
        <f>+'[1]Budget 2025W'!V867</f>
        <v>0</v>
      </c>
      <c r="P650" s="131"/>
      <c r="Q650" s="156">
        <f t="shared" ref="Q650:Q661" si="69">SUM(D650:O650)</f>
        <v>0</v>
      </c>
    </row>
    <row r="651" spans="2:17" ht="15.75" hidden="1" thickBot="1" x14ac:dyDescent="0.25">
      <c r="C651" s="153" t="s">
        <v>256</v>
      </c>
      <c r="D651" s="75">
        <f>+'[1]Budget 2025W'!K868</f>
        <v>0</v>
      </c>
      <c r="E651" s="75">
        <f>+'[1]Budget 2025W'!L868</f>
        <v>0</v>
      </c>
      <c r="F651" s="154">
        <f>+'[1]Budget 2025W'!M868</f>
        <v>0</v>
      </c>
      <c r="G651" s="154">
        <f>+'[1]Budget 2025W'!N868</f>
        <v>0</v>
      </c>
      <c r="H651" s="154">
        <f>+'[1]Budget 2025W'!O868</f>
        <v>0</v>
      </c>
      <c r="I651" s="154">
        <f>+'[1]Budget 2025W'!P868</f>
        <v>0</v>
      </c>
      <c r="J651" s="154">
        <f>+'[1]Budget 2025W'!Q868</f>
        <v>0</v>
      </c>
      <c r="K651" s="154">
        <f>+'[1]Budget 2025W'!R868</f>
        <v>0</v>
      </c>
      <c r="L651" s="154">
        <f>+'[1]Budget 2025W'!S868</f>
        <v>0</v>
      </c>
      <c r="M651" s="154">
        <f>+'[1]Budget 2025W'!T868</f>
        <v>0</v>
      </c>
      <c r="N651" s="154">
        <f>+'[1]Budget 2025W'!U868</f>
        <v>0</v>
      </c>
      <c r="O651" s="154">
        <f>+'[1]Budget 2025W'!V868</f>
        <v>0</v>
      </c>
      <c r="P651" s="131"/>
      <c r="Q651" s="156">
        <f t="shared" si="69"/>
        <v>0</v>
      </c>
    </row>
    <row r="652" spans="2:17" ht="15.75" hidden="1" thickBot="1" x14ac:dyDescent="0.25">
      <c r="C652" s="153" t="s">
        <v>257</v>
      </c>
      <c r="D652" s="75">
        <f>+'[1]Budget 2025W'!K869</f>
        <v>0</v>
      </c>
      <c r="E652" s="75">
        <f>+'[1]Budget 2025W'!L869</f>
        <v>0</v>
      </c>
      <c r="F652" s="154">
        <f>+'[1]Budget 2025W'!M869</f>
        <v>0</v>
      </c>
      <c r="G652" s="154">
        <f>+'[1]Budget 2025W'!N869</f>
        <v>0</v>
      </c>
      <c r="H652" s="154">
        <f>+'[1]Budget 2025W'!O869</f>
        <v>0</v>
      </c>
      <c r="I652" s="154">
        <f>+'[1]Budget 2025W'!P869</f>
        <v>0</v>
      </c>
      <c r="J652" s="154">
        <f>+'[1]Budget 2025W'!Q869</f>
        <v>0</v>
      </c>
      <c r="K652" s="154">
        <f>+'[1]Budget 2025W'!R869</f>
        <v>0</v>
      </c>
      <c r="L652" s="154">
        <f>+'[1]Budget 2025W'!S869</f>
        <v>0</v>
      </c>
      <c r="M652" s="154">
        <f>+'[1]Budget 2025W'!T869</f>
        <v>0</v>
      </c>
      <c r="N652" s="154">
        <f>+'[1]Budget 2025W'!U869</f>
        <v>0</v>
      </c>
      <c r="O652" s="154">
        <f>+'[1]Budget 2025W'!V869</f>
        <v>0</v>
      </c>
      <c r="P652" s="131"/>
      <c r="Q652" s="156">
        <f t="shared" si="69"/>
        <v>0</v>
      </c>
    </row>
    <row r="653" spans="2:17" ht="15.75" hidden="1" thickBot="1" x14ac:dyDescent="0.25">
      <c r="C653" s="153" t="s">
        <v>258</v>
      </c>
      <c r="D653" s="75">
        <f>+'[1]Budget 2025W'!K870</f>
        <v>0</v>
      </c>
      <c r="E653" s="75">
        <f>+'[1]Budget 2025W'!L870</f>
        <v>0</v>
      </c>
      <c r="F653" s="154">
        <f>+'[1]Budget 2025W'!M870</f>
        <v>0</v>
      </c>
      <c r="G653" s="154">
        <f>+'[1]Budget 2025W'!N870</f>
        <v>0</v>
      </c>
      <c r="H653" s="154">
        <f>+'[1]Budget 2025W'!O870</f>
        <v>0</v>
      </c>
      <c r="I653" s="154">
        <f>+'[1]Budget 2025W'!P870</f>
        <v>0</v>
      </c>
      <c r="J653" s="154">
        <f>+'[1]Budget 2025W'!Q870</f>
        <v>0</v>
      </c>
      <c r="K653" s="154">
        <f>+'[1]Budget 2025W'!R870</f>
        <v>0</v>
      </c>
      <c r="L653" s="154">
        <f>+'[1]Budget 2025W'!S870</f>
        <v>0</v>
      </c>
      <c r="M653" s="154">
        <f>+'[1]Budget 2025W'!T870</f>
        <v>0</v>
      </c>
      <c r="N653" s="154">
        <f>+'[1]Budget 2025W'!U870</f>
        <v>0</v>
      </c>
      <c r="O653" s="154">
        <f>+'[1]Budget 2025W'!V870</f>
        <v>0</v>
      </c>
      <c r="P653" s="131"/>
      <c r="Q653" s="156">
        <f t="shared" si="69"/>
        <v>0</v>
      </c>
    </row>
    <row r="654" spans="2:17" ht="15.75" hidden="1" thickBot="1" x14ac:dyDescent="0.25">
      <c r="C654" s="153" t="s">
        <v>102</v>
      </c>
      <c r="D654" s="75">
        <f>+'[1]Budget 2025W'!K871</f>
        <v>0</v>
      </c>
      <c r="E654" s="75">
        <f>+'[1]Budget 2025W'!L871</f>
        <v>0</v>
      </c>
      <c r="F654" s="154">
        <f>+'[1]Budget 2025W'!M871</f>
        <v>0</v>
      </c>
      <c r="G654" s="154">
        <f>+'[1]Budget 2025W'!N871</f>
        <v>0</v>
      </c>
      <c r="H654" s="154">
        <f>+'[1]Budget 2025W'!O871</f>
        <v>0</v>
      </c>
      <c r="I654" s="154">
        <f>+'[1]Budget 2025W'!P871</f>
        <v>0</v>
      </c>
      <c r="J654" s="154">
        <f>+'[1]Budget 2025W'!Q871</f>
        <v>0</v>
      </c>
      <c r="K654" s="154">
        <f>+'[1]Budget 2025W'!R871</f>
        <v>0</v>
      </c>
      <c r="L654" s="154">
        <f>+'[1]Budget 2025W'!S871</f>
        <v>0</v>
      </c>
      <c r="M654" s="154">
        <f>+'[1]Budget 2025W'!T871</f>
        <v>0</v>
      </c>
      <c r="N654" s="154">
        <f>+'[1]Budget 2025W'!U871</f>
        <v>0</v>
      </c>
      <c r="O654" s="154">
        <f>+'[1]Budget 2025W'!V871</f>
        <v>0</v>
      </c>
      <c r="P654" s="131"/>
      <c r="Q654" s="156">
        <f t="shared" si="69"/>
        <v>0</v>
      </c>
    </row>
    <row r="655" spans="2:17" ht="15.75" hidden="1" thickBot="1" x14ac:dyDescent="0.25">
      <c r="C655" s="153" t="s">
        <v>259</v>
      </c>
      <c r="D655" s="75">
        <f>+'[1]Budget 2025W'!K872</f>
        <v>0</v>
      </c>
      <c r="E655" s="75">
        <f>+'[1]Budget 2025W'!L872</f>
        <v>0</v>
      </c>
      <c r="F655" s="154">
        <f>+'[1]Budget 2025W'!M872</f>
        <v>0</v>
      </c>
      <c r="G655" s="154">
        <f>+'[1]Budget 2025W'!N872</f>
        <v>0</v>
      </c>
      <c r="H655" s="154">
        <f>+'[1]Budget 2025W'!O872</f>
        <v>0</v>
      </c>
      <c r="I655" s="154">
        <f>+'[1]Budget 2025W'!P872</f>
        <v>0</v>
      </c>
      <c r="J655" s="154">
        <f>+'[1]Budget 2025W'!Q872</f>
        <v>0</v>
      </c>
      <c r="K655" s="154">
        <f>+'[1]Budget 2025W'!R872</f>
        <v>0</v>
      </c>
      <c r="L655" s="154">
        <f>+'[1]Budget 2025W'!S872</f>
        <v>0</v>
      </c>
      <c r="M655" s="154">
        <f>+'[1]Budget 2025W'!T872</f>
        <v>0</v>
      </c>
      <c r="N655" s="154">
        <f>+'[1]Budget 2025W'!U872</f>
        <v>0</v>
      </c>
      <c r="O655" s="154">
        <f>+'[1]Budget 2025W'!V872</f>
        <v>0</v>
      </c>
      <c r="P655" s="131"/>
      <c r="Q655" s="156">
        <f t="shared" si="69"/>
        <v>0</v>
      </c>
    </row>
    <row r="656" spans="2:17" ht="15.75" hidden="1" thickBot="1" x14ac:dyDescent="0.25">
      <c r="C656" s="153" t="s">
        <v>260</v>
      </c>
      <c r="D656" s="75">
        <f>+'[1]Budget 2025W'!K873</f>
        <v>0</v>
      </c>
      <c r="E656" s="75">
        <f>+'[1]Budget 2025W'!L873</f>
        <v>0</v>
      </c>
      <c r="F656" s="154">
        <f>+'[1]Budget 2025W'!M873</f>
        <v>0</v>
      </c>
      <c r="G656" s="154">
        <f>+'[1]Budget 2025W'!N873</f>
        <v>0</v>
      </c>
      <c r="H656" s="154">
        <f>+'[1]Budget 2025W'!O873</f>
        <v>0</v>
      </c>
      <c r="I656" s="154">
        <f>+'[1]Budget 2025W'!P873</f>
        <v>0</v>
      </c>
      <c r="J656" s="154">
        <f>+'[1]Budget 2025W'!Q873</f>
        <v>0</v>
      </c>
      <c r="K656" s="154">
        <f>+'[1]Budget 2025W'!R873</f>
        <v>0</v>
      </c>
      <c r="L656" s="154">
        <f>+'[1]Budget 2025W'!S873</f>
        <v>0</v>
      </c>
      <c r="M656" s="154">
        <f>+'[1]Budget 2025W'!T873</f>
        <v>0</v>
      </c>
      <c r="N656" s="154">
        <f>+'[1]Budget 2025W'!U873</f>
        <v>0</v>
      </c>
      <c r="O656" s="154">
        <f>+'[1]Budget 2025W'!V873</f>
        <v>0</v>
      </c>
      <c r="P656" s="131"/>
      <c r="Q656" s="156">
        <f t="shared" si="69"/>
        <v>0</v>
      </c>
    </row>
    <row r="657" spans="2:17" ht="15.75" hidden="1" thickBot="1" x14ac:dyDescent="0.25">
      <c r="C657" s="153" t="s">
        <v>261</v>
      </c>
      <c r="D657" s="75">
        <f>+'[1]Budget 2025W'!K874</f>
        <v>0</v>
      </c>
      <c r="E657" s="75">
        <f>+'[1]Budget 2025W'!L874</f>
        <v>0</v>
      </c>
      <c r="F657" s="154">
        <f>+'[1]Budget 2025W'!M874</f>
        <v>0</v>
      </c>
      <c r="G657" s="154">
        <f>+'[1]Budget 2025W'!N874</f>
        <v>0</v>
      </c>
      <c r="H657" s="154">
        <f>+'[1]Budget 2025W'!O874</f>
        <v>0</v>
      </c>
      <c r="I657" s="154">
        <f>+'[1]Budget 2025W'!P874</f>
        <v>0</v>
      </c>
      <c r="J657" s="154">
        <f>+'[1]Budget 2025W'!Q874</f>
        <v>0</v>
      </c>
      <c r="K657" s="154">
        <f>+'[1]Budget 2025W'!R874</f>
        <v>0</v>
      </c>
      <c r="L657" s="154">
        <f>+'[1]Budget 2025W'!S874</f>
        <v>0</v>
      </c>
      <c r="M657" s="154">
        <f>+'[1]Budget 2025W'!T874</f>
        <v>0</v>
      </c>
      <c r="N657" s="154">
        <f>+'[1]Budget 2025W'!U874</f>
        <v>0</v>
      </c>
      <c r="O657" s="154">
        <f>+'[1]Budget 2025W'!V874</f>
        <v>0</v>
      </c>
      <c r="P657" s="131"/>
      <c r="Q657" s="156">
        <f t="shared" si="69"/>
        <v>0</v>
      </c>
    </row>
    <row r="658" spans="2:17" ht="15.75" hidden="1" thickBot="1" x14ac:dyDescent="0.25">
      <c r="C658" s="153" t="s">
        <v>262</v>
      </c>
      <c r="D658" s="75">
        <f>+'[1]Budget 2025W'!K875</f>
        <v>0</v>
      </c>
      <c r="E658" s="75">
        <f>+'[1]Budget 2025W'!L875</f>
        <v>0</v>
      </c>
      <c r="F658" s="154">
        <f>+'[1]Budget 2025W'!M875</f>
        <v>0</v>
      </c>
      <c r="G658" s="154">
        <f>+'[1]Budget 2025W'!N875</f>
        <v>0</v>
      </c>
      <c r="H658" s="154">
        <f>+'[1]Budget 2025W'!O875</f>
        <v>0</v>
      </c>
      <c r="I658" s="154">
        <f>+'[1]Budget 2025W'!P875</f>
        <v>0</v>
      </c>
      <c r="J658" s="154">
        <f>+'[1]Budget 2025W'!Q875</f>
        <v>0</v>
      </c>
      <c r="K658" s="154">
        <f>+'[1]Budget 2025W'!R875</f>
        <v>0</v>
      </c>
      <c r="L658" s="154">
        <f>+'[1]Budget 2025W'!S875</f>
        <v>0</v>
      </c>
      <c r="M658" s="154">
        <f>+'[1]Budget 2025W'!T875</f>
        <v>0</v>
      </c>
      <c r="N658" s="154">
        <f>+'[1]Budget 2025W'!U875</f>
        <v>0</v>
      </c>
      <c r="O658" s="154">
        <f>+'[1]Budget 2025W'!V875</f>
        <v>0</v>
      </c>
      <c r="P658" s="131"/>
      <c r="Q658" s="156">
        <f t="shared" si="69"/>
        <v>0</v>
      </c>
    </row>
    <row r="659" spans="2:17" ht="15.75" hidden="1" thickBot="1" x14ac:dyDescent="0.25">
      <c r="C659" s="153" t="s">
        <v>263</v>
      </c>
      <c r="D659" s="75">
        <f>+'[1]Budget 2025W'!K876</f>
        <v>0</v>
      </c>
      <c r="E659" s="75">
        <f>+'[1]Budget 2025W'!L876</f>
        <v>0</v>
      </c>
      <c r="F659" s="154">
        <f>+'[1]Budget 2025W'!M876</f>
        <v>0</v>
      </c>
      <c r="G659" s="154">
        <f>+'[1]Budget 2025W'!N876</f>
        <v>0</v>
      </c>
      <c r="H659" s="154">
        <f>+'[1]Budget 2025W'!O876</f>
        <v>0</v>
      </c>
      <c r="I659" s="154">
        <f>+'[1]Budget 2025W'!P876</f>
        <v>0</v>
      </c>
      <c r="J659" s="154">
        <f>+'[1]Budget 2025W'!Q876</f>
        <v>0</v>
      </c>
      <c r="K659" s="154">
        <f>+'[1]Budget 2025W'!R876</f>
        <v>0</v>
      </c>
      <c r="L659" s="154">
        <f>+'[1]Budget 2025W'!S876</f>
        <v>0</v>
      </c>
      <c r="M659" s="154">
        <f>+'[1]Budget 2025W'!T876</f>
        <v>0</v>
      </c>
      <c r="N659" s="154">
        <f>+'[1]Budget 2025W'!U876</f>
        <v>0</v>
      </c>
      <c r="O659" s="154">
        <f>+'[1]Budget 2025W'!V876</f>
        <v>0</v>
      </c>
      <c r="P659" s="131"/>
      <c r="Q659" s="156">
        <f t="shared" si="69"/>
        <v>0</v>
      </c>
    </row>
    <row r="660" spans="2:17" ht="17.25" hidden="1" thickTop="1" thickBot="1" x14ac:dyDescent="0.3">
      <c r="C660" s="162" t="s">
        <v>264</v>
      </c>
      <c r="D660" s="163">
        <f>+'[1]Budget 2025W'!K878</f>
        <v>0</v>
      </c>
      <c r="E660" s="163">
        <f>+'[1]Budget 2025W'!L878</f>
        <v>0</v>
      </c>
      <c r="F660" s="163">
        <f>+'[1]Budget 2025W'!M878</f>
        <v>0</v>
      </c>
      <c r="G660" s="163">
        <f>+'[1]Budget 2025W'!N878</f>
        <v>0</v>
      </c>
      <c r="H660" s="163">
        <f>+'[1]Budget 2025W'!O878</f>
        <v>0</v>
      </c>
      <c r="I660" s="163">
        <f>+'[1]Budget 2025W'!P878</f>
        <v>0</v>
      </c>
      <c r="J660" s="163">
        <f>+'[1]Budget 2025W'!Q878</f>
        <v>0</v>
      </c>
      <c r="K660" s="163">
        <f>+'[1]Budget 2025W'!R878</f>
        <v>0</v>
      </c>
      <c r="L660" s="163">
        <f>+'[1]Budget 2025W'!S878</f>
        <v>0</v>
      </c>
      <c r="M660" s="163">
        <f>+'[1]Budget 2025W'!T878</f>
        <v>0</v>
      </c>
      <c r="N660" s="163">
        <f>+'[1]Budget 2025W'!U878</f>
        <v>0</v>
      </c>
      <c r="O660" s="163">
        <f>+'[1]Budget 2025W'!V878</f>
        <v>0</v>
      </c>
      <c r="P660" s="131"/>
      <c r="Q660" s="207">
        <f t="shared" si="69"/>
        <v>0</v>
      </c>
    </row>
    <row r="661" spans="2:17" ht="17.25" thickTop="1" thickBot="1" x14ac:dyDescent="0.3">
      <c r="B661" s="141"/>
      <c r="C661" s="212" t="s">
        <v>265</v>
      </c>
      <c r="D661" s="213">
        <f t="shared" ref="D661:O661" si="70">D660</f>
        <v>0</v>
      </c>
      <c r="E661" s="213">
        <f t="shared" si="70"/>
        <v>0</v>
      </c>
      <c r="F661" s="214">
        <f t="shared" si="70"/>
        <v>0</v>
      </c>
      <c r="G661" s="214">
        <f t="shared" si="70"/>
        <v>0</v>
      </c>
      <c r="H661" s="214">
        <f t="shared" si="70"/>
        <v>0</v>
      </c>
      <c r="I661" s="214">
        <f t="shared" si="70"/>
        <v>0</v>
      </c>
      <c r="J661" s="214">
        <f t="shared" si="70"/>
        <v>0</v>
      </c>
      <c r="K661" s="214">
        <f t="shared" si="70"/>
        <v>0</v>
      </c>
      <c r="L661" s="214">
        <f t="shared" si="70"/>
        <v>0</v>
      </c>
      <c r="M661" s="214">
        <f t="shared" si="70"/>
        <v>0</v>
      </c>
      <c r="N661" s="214">
        <f t="shared" si="70"/>
        <v>0</v>
      </c>
      <c r="O661" s="214">
        <f t="shared" si="70"/>
        <v>0</v>
      </c>
      <c r="P661" s="131"/>
      <c r="Q661" s="183">
        <f t="shared" si="69"/>
        <v>0</v>
      </c>
    </row>
    <row r="662" spans="2:17" ht="16.5" thickTop="1" thickBot="1" x14ac:dyDescent="0.25">
      <c r="C662" s="206"/>
      <c r="D662" s="186"/>
      <c r="E662" s="186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31"/>
      <c r="Q662" s="171"/>
    </row>
    <row r="663" spans="2:17" ht="3.95" customHeight="1" thickBot="1" x14ac:dyDescent="0.25">
      <c r="C663" s="172"/>
      <c r="D663" s="173"/>
      <c r="E663" s="173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31"/>
      <c r="Q663" s="176"/>
    </row>
    <row r="664" spans="2:17" ht="17.25" thickTop="1" thickBot="1" x14ac:dyDescent="0.3">
      <c r="B664" s="141"/>
      <c r="C664" s="178" t="s">
        <v>266</v>
      </c>
      <c r="D664" s="180"/>
      <c r="E664" s="180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31"/>
      <c r="Q664" s="183"/>
    </row>
    <row r="665" spans="2:17" ht="16.5" thickBot="1" x14ac:dyDescent="0.3">
      <c r="B665" s="141"/>
      <c r="C665" s="142" t="s">
        <v>267</v>
      </c>
      <c r="D665" s="143"/>
      <c r="E665" s="144"/>
      <c r="F665" s="145"/>
      <c r="G665" s="145"/>
      <c r="H665" s="146"/>
      <c r="I665" s="146"/>
      <c r="J665" s="146"/>
      <c r="K665" s="146"/>
      <c r="L665" s="146"/>
      <c r="M665" s="146"/>
      <c r="N665" s="146"/>
      <c r="O665" s="146"/>
      <c r="P665" s="129"/>
      <c r="Q665" s="145"/>
    </row>
    <row r="666" spans="2:17" ht="15.75" x14ac:dyDescent="0.25">
      <c r="C666" s="157" t="s">
        <v>97</v>
      </c>
      <c r="D666" s="158"/>
      <c r="E666" s="158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31"/>
      <c r="Q666" s="161"/>
    </row>
    <row r="667" spans="2:17" x14ac:dyDescent="0.2">
      <c r="C667" s="153" t="s">
        <v>98</v>
      </c>
      <c r="D667" s="75">
        <f>+'[1]Budget 2025W'!K882</f>
        <v>0</v>
      </c>
      <c r="E667" s="75">
        <f>+'[1]Budget 2025W'!L882</f>
        <v>0</v>
      </c>
      <c r="F667" s="75">
        <f>+'[1]Budget 2025W'!M882</f>
        <v>0</v>
      </c>
      <c r="G667" s="75">
        <f>+'[1]Budget 2025W'!N882</f>
        <v>0</v>
      </c>
      <c r="H667" s="75">
        <f>+'[1]Budget 2025W'!O882</f>
        <v>0</v>
      </c>
      <c r="I667" s="75">
        <f>+'[1]Budget 2025W'!P882</f>
        <v>2500</v>
      </c>
      <c r="J667" s="75">
        <f>+'[1]Budget 2025W'!Q882</f>
        <v>2500</v>
      </c>
      <c r="K667" s="75">
        <f>+'[1]Budget 2025W'!R882</f>
        <v>2500</v>
      </c>
      <c r="L667" s="75">
        <f>+'[1]Budget 2025W'!S882</f>
        <v>2500</v>
      </c>
      <c r="M667" s="75">
        <f>+'[1]Budget 2025W'!T882</f>
        <v>2500</v>
      </c>
      <c r="N667" s="75">
        <f>+'[1]Budget 2025W'!U882</f>
        <v>2500</v>
      </c>
      <c r="O667" s="75">
        <f>+'[1]Budget 2025W'!V882</f>
        <v>2500</v>
      </c>
      <c r="P667" s="131"/>
      <c r="Q667" s="156">
        <f t="shared" ref="Q667:Q683" si="71">SUM(D667:O667)</f>
        <v>17500</v>
      </c>
    </row>
    <row r="668" spans="2:17" x14ac:dyDescent="0.2">
      <c r="C668" s="153" t="s">
        <v>99</v>
      </c>
      <c r="D668" s="75">
        <f>+'[1]Budget 2025W'!K883</f>
        <v>0</v>
      </c>
      <c r="E668" s="75">
        <f>+'[1]Budget 2025W'!L883</f>
        <v>0</v>
      </c>
      <c r="F668" s="154">
        <f>+'[1]Budget 2025W'!M883</f>
        <v>0</v>
      </c>
      <c r="G668" s="154">
        <f>+'[1]Budget 2025W'!N883</f>
        <v>0</v>
      </c>
      <c r="H668" s="154">
        <f>+'[1]Budget 2025W'!O883</f>
        <v>0</v>
      </c>
      <c r="I668" s="154">
        <f>+'[1]Budget 2025W'!P883</f>
        <v>0</v>
      </c>
      <c r="J668" s="154">
        <f>+'[1]Budget 2025W'!Q883</f>
        <v>0</v>
      </c>
      <c r="K668" s="154">
        <f>+'[1]Budget 2025W'!R883</f>
        <v>0</v>
      </c>
      <c r="L668" s="154">
        <f>+'[1]Budget 2025W'!S883</f>
        <v>0</v>
      </c>
      <c r="M668" s="154">
        <f>+'[1]Budget 2025W'!T883</f>
        <v>0</v>
      </c>
      <c r="N668" s="154">
        <f>+'[1]Budget 2025W'!U883</f>
        <v>0</v>
      </c>
      <c r="O668" s="154">
        <f>+'[1]Budget 2025W'!V883</f>
        <v>0</v>
      </c>
      <c r="P668" s="131"/>
      <c r="Q668" s="156">
        <f t="shared" si="71"/>
        <v>0</v>
      </c>
    </row>
    <row r="669" spans="2:17" x14ac:dyDescent="0.2">
      <c r="C669" s="153" t="s">
        <v>100</v>
      </c>
      <c r="D669" s="75">
        <f>+'[1]Budget 2025W'!K884</f>
        <v>0</v>
      </c>
      <c r="E669" s="75">
        <f>+'[1]Budget 2025W'!L884</f>
        <v>0</v>
      </c>
      <c r="F669" s="154">
        <f>+'[1]Budget 2025W'!M884</f>
        <v>0</v>
      </c>
      <c r="G669" s="154">
        <f>+'[1]Budget 2025W'!N884</f>
        <v>0</v>
      </c>
      <c r="H669" s="154">
        <f>+'[1]Budget 2025W'!O884</f>
        <v>0</v>
      </c>
      <c r="I669" s="154">
        <f>+'[1]Budget 2025W'!P884</f>
        <v>0</v>
      </c>
      <c r="J669" s="154">
        <f>+'[1]Budget 2025W'!Q884</f>
        <v>0</v>
      </c>
      <c r="K669" s="154">
        <f>+'[1]Budget 2025W'!R884</f>
        <v>0</v>
      </c>
      <c r="L669" s="154">
        <f>+'[1]Budget 2025W'!S884</f>
        <v>0</v>
      </c>
      <c r="M669" s="154">
        <f>+'[1]Budget 2025W'!T884</f>
        <v>0</v>
      </c>
      <c r="N669" s="154">
        <f>+'[1]Budget 2025W'!U884</f>
        <v>0</v>
      </c>
      <c r="O669" s="154">
        <f>+'[1]Budget 2025W'!V884</f>
        <v>0</v>
      </c>
      <c r="P669" s="131"/>
      <c r="Q669" s="156">
        <f t="shared" si="71"/>
        <v>0</v>
      </c>
    </row>
    <row r="670" spans="2:17" x14ac:dyDescent="0.2">
      <c r="C670" s="153" t="s">
        <v>101</v>
      </c>
      <c r="D670" s="75">
        <f>+'[1]Budget 2025W'!K885</f>
        <v>0</v>
      </c>
      <c r="E670" s="75">
        <f>+'[1]Budget 2025W'!L885</f>
        <v>0</v>
      </c>
      <c r="F670" s="154">
        <f>+'[1]Budget 2025W'!M885</f>
        <v>0</v>
      </c>
      <c r="G670" s="154">
        <f>+'[1]Budget 2025W'!N885</f>
        <v>0</v>
      </c>
      <c r="H670" s="154">
        <f>+'[1]Budget 2025W'!O885</f>
        <v>0</v>
      </c>
      <c r="I670" s="154">
        <f>+'[1]Budget 2025W'!P885</f>
        <v>0</v>
      </c>
      <c r="J670" s="154">
        <f>+'[1]Budget 2025W'!Q885</f>
        <v>86.956521739130437</v>
      </c>
      <c r="K670" s="154">
        <f>+'[1]Budget 2025W'!R885</f>
        <v>260.86956521739131</v>
      </c>
      <c r="L670" s="154">
        <f>+'[1]Budget 2025W'!S885</f>
        <v>86.956521739130437</v>
      </c>
      <c r="M670" s="154">
        <f>+'[1]Budget 2025W'!T885</f>
        <v>0</v>
      </c>
      <c r="N670" s="154">
        <f>+'[1]Budget 2025W'!U885</f>
        <v>0</v>
      </c>
      <c r="O670" s="154">
        <f>+'[1]Budget 2025W'!V885</f>
        <v>173.91304347826087</v>
      </c>
      <c r="P670" s="131"/>
      <c r="Q670" s="156">
        <f t="shared" si="71"/>
        <v>608.695652173913</v>
      </c>
    </row>
    <row r="671" spans="2:17" x14ac:dyDescent="0.2">
      <c r="C671" s="153" t="s">
        <v>102</v>
      </c>
      <c r="D671" s="75">
        <f>+'[1]Budget 2025W'!K886</f>
        <v>0</v>
      </c>
      <c r="E671" s="75">
        <f>+'[1]Budget 2025W'!L886</f>
        <v>0</v>
      </c>
      <c r="F671" s="154">
        <f>+'[1]Budget 2025W'!M886</f>
        <v>0</v>
      </c>
      <c r="G671" s="154">
        <f>+'[1]Budget 2025W'!N886</f>
        <v>0</v>
      </c>
      <c r="H671" s="154">
        <f>+'[1]Budget 2025W'!O886</f>
        <v>0</v>
      </c>
      <c r="I671" s="154">
        <f>+'[1]Budget 2025W'!P886</f>
        <v>0</v>
      </c>
      <c r="J671" s="154">
        <f>+'[1]Budget 2025W'!Q886</f>
        <v>0</v>
      </c>
      <c r="K671" s="154">
        <f>+'[1]Budget 2025W'!R886</f>
        <v>0</v>
      </c>
      <c r="L671" s="154">
        <f>+'[1]Budget 2025W'!S886</f>
        <v>0</v>
      </c>
      <c r="M671" s="154">
        <f>+'[1]Budget 2025W'!T886</f>
        <v>0</v>
      </c>
      <c r="N671" s="154">
        <f>+'[1]Budget 2025W'!U886</f>
        <v>0</v>
      </c>
      <c r="O671" s="154">
        <f>+'[1]Budget 2025W'!V886</f>
        <v>0</v>
      </c>
      <c r="P671" s="131"/>
      <c r="Q671" s="156">
        <f t="shared" si="71"/>
        <v>0</v>
      </c>
    </row>
    <row r="672" spans="2:17" x14ac:dyDescent="0.2">
      <c r="C672" s="153" t="s">
        <v>103</v>
      </c>
      <c r="D672" s="75">
        <f>+'[1]Budget 2025W'!K887</f>
        <v>0</v>
      </c>
      <c r="E672" s="75">
        <f>+'[1]Budget 2025W'!L887</f>
        <v>0</v>
      </c>
      <c r="F672" s="154">
        <f>+'[1]Budget 2025W'!M887</f>
        <v>0</v>
      </c>
      <c r="G672" s="154">
        <f>+'[1]Budget 2025W'!N887</f>
        <v>0</v>
      </c>
      <c r="H672" s="154">
        <f>+'[1]Budget 2025W'!O887</f>
        <v>0</v>
      </c>
      <c r="I672" s="154">
        <f>+'[1]Budget 2025W'!P887</f>
        <v>697.57999999999993</v>
      </c>
      <c r="J672" s="154">
        <f>+'[1]Budget 2025W'!Q887</f>
        <v>720.91043478260872</v>
      </c>
      <c r="K672" s="154">
        <f>+'[1]Budget 2025W'!R887</f>
        <v>767.57130434782607</v>
      </c>
      <c r="L672" s="154">
        <f>+'[1]Budget 2025W'!S887</f>
        <v>720.91043478260872</v>
      </c>
      <c r="M672" s="154">
        <f>+'[1]Budget 2025W'!T887</f>
        <v>697.57999999999993</v>
      </c>
      <c r="N672" s="154">
        <f>+'[1]Budget 2025W'!U887</f>
        <v>697.57999999999993</v>
      </c>
      <c r="O672" s="154">
        <f>+'[1]Budget 2025W'!V887</f>
        <v>744.24086956521728</v>
      </c>
      <c r="P672" s="131"/>
      <c r="Q672" s="156">
        <f t="shared" si="71"/>
        <v>5046.373043478261</v>
      </c>
    </row>
    <row r="673" spans="3:17" x14ac:dyDescent="0.2">
      <c r="C673" s="153" t="s">
        <v>104</v>
      </c>
      <c r="D673" s="75">
        <f>+'[1]Budget 2025W'!K888</f>
        <v>0</v>
      </c>
      <c r="E673" s="75">
        <f>+'[1]Budget 2025W'!L888</f>
        <v>0</v>
      </c>
      <c r="F673" s="154">
        <f>+'[1]Budget 2025W'!M888</f>
        <v>0</v>
      </c>
      <c r="G673" s="154">
        <f>+'[1]Budget 2025W'!N888</f>
        <v>0</v>
      </c>
      <c r="H673" s="154">
        <f>+'[1]Budget 2025W'!O888</f>
        <v>0</v>
      </c>
      <c r="I673" s="154">
        <f>+'[1]Budget 2025W'!P888</f>
        <v>216.66666666666663</v>
      </c>
      <c r="J673" s="154">
        <f>+'[1]Budget 2025W'!Q888</f>
        <v>223.91304347826087</v>
      </c>
      <c r="K673" s="154">
        <f>+'[1]Budget 2025W'!R888</f>
        <v>238.40579710144928</v>
      </c>
      <c r="L673" s="154">
        <f>+'[1]Budget 2025W'!S888</f>
        <v>223.91304347826087</v>
      </c>
      <c r="M673" s="154">
        <f>+'[1]Budget 2025W'!T888</f>
        <v>216.66666666666663</v>
      </c>
      <c r="N673" s="154">
        <f>+'[1]Budget 2025W'!U888</f>
        <v>216.66666666666663</v>
      </c>
      <c r="O673" s="154">
        <f>+'[1]Budget 2025W'!V888</f>
        <v>231.15942028985506</v>
      </c>
      <c r="P673" s="131"/>
      <c r="Q673" s="156">
        <f t="shared" si="71"/>
        <v>1567.391304347826</v>
      </c>
    </row>
    <row r="674" spans="3:17" x14ac:dyDescent="0.2">
      <c r="C674" s="153" t="s">
        <v>105</v>
      </c>
      <c r="D674" s="75">
        <f>+'[1]Budget 2025W'!K889</f>
        <v>0</v>
      </c>
      <c r="E674" s="75">
        <f>+'[1]Budget 2025W'!L889</f>
        <v>0</v>
      </c>
      <c r="F674" s="154">
        <f>+'[1]Budget 2025W'!M889</f>
        <v>0</v>
      </c>
      <c r="G674" s="154">
        <f>+'[1]Budget 2025W'!N889</f>
        <v>0</v>
      </c>
      <c r="H674" s="154">
        <f>+'[1]Budget 2025W'!O889</f>
        <v>0</v>
      </c>
      <c r="I674" s="154">
        <f>+'[1]Budget 2025W'!P889</f>
        <v>32.5</v>
      </c>
      <c r="J674" s="154">
        <f>+'[1]Budget 2025W'!Q889</f>
        <v>33.58695652173914</v>
      </c>
      <c r="K674" s="154">
        <f>+'[1]Budget 2025W'!R889</f>
        <v>35.760869565217391</v>
      </c>
      <c r="L674" s="154">
        <f>+'[1]Budget 2025W'!S889</f>
        <v>33.58695652173914</v>
      </c>
      <c r="M674" s="154">
        <f>+'[1]Budget 2025W'!T889</f>
        <v>32.5</v>
      </c>
      <c r="N674" s="154">
        <f>+'[1]Budget 2025W'!U889</f>
        <v>32.5</v>
      </c>
      <c r="O674" s="154">
        <f>+'[1]Budget 2025W'!V889</f>
        <v>34.673913043478258</v>
      </c>
      <c r="P674" s="131"/>
      <c r="Q674" s="156">
        <f t="shared" si="71"/>
        <v>235.10869565217394</v>
      </c>
    </row>
    <row r="675" spans="3:17" x14ac:dyDescent="0.2">
      <c r="C675" s="153" t="s">
        <v>106</v>
      </c>
      <c r="D675" s="75">
        <f>+'[1]Budget 2025W'!K890</f>
        <v>0</v>
      </c>
      <c r="E675" s="75">
        <f>+'[1]Budget 2025W'!L890</f>
        <v>0</v>
      </c>
      <c r="F675" s="154">
        <f>+'[1]Budget 2025W'!M890</f>
        <v>0</v>
      </c>
      <c r="G675" s="154">
        <f>+'[1]Budget 2025W'!N890</f>
        <v>0</v>
      </c>
      <c r="H675" s="154">
        <f>+'[1]Budget 2025W'!O890</f>
        <v>0</v>
      </c>
      <c r="I675" s="154">
        <f>+'[1]Budget 2025W'!P890</f>
        <v>0</v>
      </c>
      <c r="J675" s="154">
        <f>+'[1]Budget 2025W'!Q890</f>
        <v>0</v>
      </c>
      <c r="K675" s="154">
        <f>+'[1]Budget 2025W'!R890</f>
        <v>0</v>
      </c>
      <c r="L675" s="154">
        <f>+'[1]Budget 2025W'!S890</f>
        <v>0</v>
      </c>
      <c r="M675" s="154">
        <f>+'[1]Budget 2025W'!T890</f>
        <v>0</v>
      </c>
      <c r="N675" s="154">
        <f>+'[1]Budget 2025W'!U890</f>
        <v>0</v>
      </c>
      <c r="O675" s="154">
        <f>+'[1]Budget 2025W'!V890</f>
        <v>0</v>
      </c>
      <c r="P675" s="131"/>
      <c r="Q675" s="156">
        <f t="shared" si="71"/>
        <v>0</v>
      </c>
    </row>
    <row r="676" spans="3:17" x14ac:dyDescent="0.2">
      <c r="C676" s="153" t="s">
        <v>107</v>
      </c>
      <c r="D676" s="75">
        <f>+'[1]Budget 2025W'!K891</f>
        <v>0</v>
      </c>
      <c r="E676" s="75">
        <f>+'[1]Budget 2025W'!L891</f>
        <v>0</v>
      </c>
      <c r="F676" s="154">
        <f>+'[1]Budget 2025W'!M891</f>
        <v>0</v>
      </c>
      <c r="G676" s="154">
        <f>+'[1]Budget 2025W'!N891</f>
        <v>0</v>
      </c>
      <c r="H676" s="154">
        <f>+'[1]Budget 2025W'!O891</f>
        <v>0</v>
      </c>
      <c r="I676" s="154">
        <f>+'[1]Budget 2025W'!P891</f>
        <v>100</v>
      </c>
      <c r="J676" s="154">
        <f>+'[1]Budget 2025W'!Q891</f>
        <v>100</v>
      </c>
      <c r="K676" s="154">
        <f>+'[1]Budget 2025W'!R891</f>
        <v>100</v>
      </c>
      <c r="L676" s="154">
        <f>+'[1]Budget 2025W'!S891</f>
        <v>100</v>
      </c>
      <c r="M676" s="154">
        <f>+'[1]Budget 2025W'!T891</f>
        <v>100</v>
      </c>
      <c r="N676" s="154">
        <f>+'[1]Budget 2025W'!U891</f>
        <v>100</v>
      </c>
      <c r="O676" s="154">
        <f>+'[1]Budget 2025W'!V891</f>
        <v>100</v>
      </c>
      <c r="P676" s="131"/>
      <c r="Q676" s="156">
        <f t="shared" si="71"/>
        <v>700</v>
      </c>
    </row>
    <row r="677" spans="3:17" x14ac:dyDescent="0.2">
      <c r="C677" s="153" t="s">
        <v>108</v>
      </c>
      <c r="D677" s="75">
        <f>+'[1]Budget 2025W'!K892</f>
        <v>0</v>
      </c>
      <c r="E677" s="75">
        <f>+'[1]Budget 2025W'!L892</f>
        <v>0</v>
      </c>
      <c r="F677" s="154">
        <f>+'[1]Budget 2025W'!M892</f>
        <v>0</v>
      </c>
      <c r="G677" s="154">
        <f>+'[1]Budget 2025W'!N892</f>
        <v>0</v>
      </c>
      <c r="H677" s="154">
        <f>+'[1]Budget 2025W'!O892</f>
        <v>0</v>
      </c>
      <c r="I677" s="154">
        <f>+'[1]Budget 2025W'!P892</f>
        <v>0</v>
      </c>
      <c r="J677" s="154">
        <f>+'[1]Budget 2025W'!Q892</f>
        <v>0</v>
      </c>
      <c r="K677" s="154">
        <f>+'[1]Budget 2025W'!R892</f>
        <v>0</v>
      </c>
      <c r="L677" s="154">
        <f>+'[1]Budget 2025W'!S892</f>
        <v>0</v>
      </c>
      <c r="M677" s="154">
        <f>+'[1]Budget 2025W'!T892</f>
        <v>0</v>
      </c>
      <c r="N677" s="154">
        <f>+'[1]Budget 2025W'!U892</f>
        <v>0</v>
      </c>
      <c r="O677" s="154">
        <f>+'[1]Budget 2025W'!V892</f>
        <v>0</v>
      </c>
      <c r="P677" s="131"/>
      <c r="Q677" s="156">
        <f t="shared" si="71"/>
        <v>0</v>
      </c>
    </row>
    <row r="678" spans="3:17" x14ac:dyDescent="0.2">
      <c r="C678" s="153" t="s">
        <v>109</v>
      </c>
      <c r="D678" s="75">
        <f>+'[1]Budget 2025W'!K893</f>
        <v>0</v>
      </c>
      <c r="E678" s="75">
        <f>+'[1]Budget 2025W'!L893</f>
        <v>0</v>
      </c>
      <c r="F678" s="154">
        <f>+'[1]Budget 2025W'!M893</f>
        <v>0</v>
      </c>
      <c r="G678" s="154">
        <f>+'[1]Budget 2025W'!N893</f>
        <v>0</v>
      </c>
      <c r="H678" s="154">
        <f>+'[1]Budget 2025W'!O893</f>
        <v>0</v>
      </c>
      <c r="I678" s="154">
        <f>+'[1]Budget 2025W'!P893</f>
        <v>0</v>
      </c>
      <c r="J678" s="154">
        <f>+'[1]Budget 2025W'!Q893</f>
        <v>0</v>
      </c>
      <c r="K678" s="154">
        <f>+'[1]Budget 2025W'!R893</f>
        <v>0</v>
      </c>
      <c r="L678" s="154">
        <f>+'[1]Budget 2025W'!S893</f>
        <v>0</v>
      </c>
      <c r="M678" s="154">
        <f>+'[1]Budget 2025W'!T893</f>
        <v>0</v>
      </c>
      <c r="N678" s="154">
        <f>+'[1]Budget 2025W'!U893</f>
        <v>0</v>
      </c>
      <c r="O678" s="154">
        <f>+'[1]Budget 2025W'!V893</f>
        <v>0</v>
      </c>
      <c r="P678" s="131"/>
      <c r="Q678" s="156">
        <f t="shared" si="71"/>
        <v>0</v>
      </c>
    </row>
    <row r="679" spans="3:17" x14ac:dyDescent="0.2">
      <c r="C679" s="153" t="s">
        <v>110</v>
      </c>
      <c r="D679" s="75">
        <f>+'[1]Budget 2025W'!K894</f>
        <v>0</v>
      </c>
      <c r="E679" s="75">
        <f>+'[1]Budget 2025W'!L894</f>
        <v>0</v>
      </c>
      <c r="F679" s="154">
        <f>+'[1]Budget 2025W'!M894</f>
        <v>0</v>
      </c>
      <c r="G679" s="154">
        <f>+'[1]Budget 2025W'!N894</f>
        <v>0</v>
      </c>
      <c r="H679" s="154">
        <f>+'[1]Budget 2025W'!O894</f>
        <v>0</v>
      </c>
      <c r="I679" s="154">
        <f>+'[1]Budget 2025W'!P894</f>
        <v>0</v>
      </c>
      <c r="J679" s="154">
        <f>+'[1]Budget 2025W'!Q894</f>
        <v>0</v>
      </c>
      <c r="K679" s="154">
        <f>+'[1]Budget 2025W'!R894</f>
        <v>0</v>
      </c>
      <c r="L679" s="154">
        <f>+'[1]Budget 2025W'!S894</f>
        <v>0</v>
      </c>
      <c r="M679" s="154">
        <f>+'[1]Budget 2025W'!T894</f>
        <v>0</v>
      </c>
      <c r="N679" s="154">
        <f>+'[1]Budget 2025W'!U894</f>
        <v>0</v>
      </c>
      <c r="O679" s="154">
        <f>+'[1]Budget 2025W'!V894</f>
        <v>0</v>
      </c>
      <c r="P679" s="131"/>
      <c r="Q679" s="156">
        <f t="shared" si="71"/>
        <v>0</v>
      </c>
    </row>
    <row r="680" spans="3:17" x14ac:dyDescent="0.2">
      <c r="C680" s="153" t="s">
        <v>111</v>
      </c>
      <c r="D680" s="75">
        <f>+'[1]Budget 2025W'!K895</f>
        <v>0</v>
      </c>
      <c r="E680" s="75">
        <f>+'[1]Budget 2025W'!L895</f>
        <v>0</v>
      </c>
      <c r="F680" s="154">
        <f>+'[1]Budget 2025W'!M895</f>
        <v>0</v>
      </c>
      <c r="G680" s="154">
        <f>+'[1]Budget 2025W'!N895</f>
        <v>0</v>
      </c>
      <c r="H680" s="154">
        <f>+'[1]Budget 2025W'!O895</f>
        <v>0</v>
      </c>
      <c r="I680" s="154">
        <f>+'[1]Budget 2025W'!P895</f>
        <v>0</v>
      </c>
      <c r="J680" s="154">
        <f>+'[1]Budget 2025W'!Q895</f>
        <v>0</v>
      </c>
      <c r="K680" s="154">
        <f>+'[1]Budget 2025W'!R895</f>
        <v>0</v>
      </c>
      <c r="L680" s="154">
        <f>+'[1]Budget 2025W'!S895</f>
        <v>0</v>
      </c>
      <c r="M680" s="154">
        <f>+'[1]Budget 2025W'!T895</f>
        <v>0</v>
      </c>
      <c r="N680" s="154">
        <f>+'[1]Budget 2025W'!U895</f>
        <v>0</v>
      </c>
      <c r="O680" s="154">
        <f>+'[1]Budget 2025W'!V895</f>
        <v>0</v>
      </c>
      <c r="P680" s="131"/>
      <c r="Q680" s="156">
        <f t="shared" si="71"/>
        <v>0</v>
      </c>
    </row>
    <row r="681" spans="3:17" x14ac:dyDescent="0.2">
      <c r="C681" s="153" t="s">
        <v>112</v>
      </c>
      <c r="D681" s="75">
        <f>+'[1]Budget 2025W'!K896</f>
        <v>0</v>
      </c>
      <c r="E681" s="75">
        <f>+'[1]Budget 2025W'!L896</f>
        <v>0</v>
      </c>
      <c r="F681" s="154">
        <f>+'[1]Budget 2025W'!M896</f>
        <v>0</v>
      </c>
      <c r="G681" s="154">
        <f>+'[1]Budget 2025W'!N896</f>
        <v>0</v>
      </c>
      <c r="H681" s="154">
        <f>+'[1]Budget 2025W'!O896</f>
        <v>0</v>
      </c>
      <c r="I681" s="154">
        <f>+'[1]Budget 2025W'!P896</f>
        <v>0</v>
      </c>
      <c r="J681" s="154">
        <f>+'[1]Budget 2025W'!Q896</f>
        <v>0</v>
      </c>
      <c r="K681" s="154">
        <f>+'[1]Budget 2025W'!R896</f>
        <v>0</v>
      </c>
      <c r="L681" s="154">
        <f>+'[1]Budget 2025W'!S896</f>
        <v>0</v>
      </c>
      <c r="M681" s="154">
        <f>+'[1]Budget 2025W'!T896</f>
        <v>0</v>
      </c>
      <c r="N681" s="154">
        <f>+'[1]Budget 2025W'!U896</f>
        <v>0</v>
      </c>
      <c r="O681" s="154">
        <f>+'[1]Budget 2025W'!V896</f>
        <v>0</v>
      </c>
      <c r="P681" s="131"/>
      <c r="Q681" s="156">
        <f t="shared" si="71"/>
        <v>0</v>
      </c>
    </row>
    <row r="682" spans="3:17" ht="15.75" thickBot="1" x14ac:dyDescent="0.25">
      <c r="C682" s="153" t="s">
        <v>113</v>
      </c>
      <c r="D682" s="75">
        <f>+'[1]Budget 2025W'!K897</f>
        <v>0</v>
      </c>
      <c r="E682" s="75">
        <f>+'[1]Budget 2025W'!L897</f>
        <v>0</v>
      </c>
      <c r="F682" s="154">
        <f>+'[1]Budget 2025W'!M897</f>
        <v>0</v>
      </c>
      <c r="G682" s="154">
        <f>+'[1]Budget 2025W'!N897</f>
        <v>0</v>
      </c>
      <c r="H682" s="154">
        <f>+'[1]Budget 2025W'!O897</f>
        <v>0</v>
      </c>
      <c r="I682" s="154">
        <f>+'[1]Budget 2025W'!P897</f>
        <v>8.4070796460176983E-2</v>
      </c>
      <c r="J682" s="154">
        <f>+'[1]Budget 2025W'!Q897</f>
        <v>7.7235772357723581E-2</v>
      </c>
      <c r="K682" s="154">
        <f>+'[1]Budget 2025W'!R897</f>
        <v>7.7235772357723581E-2</v>
      </c>
      <c r="L682" s="154">
        <f>+'[1]Budget 2025W'!S897</f>
        <v>7.7235772357723581E-2</v>
      </c>
      <c r="M682" s="154">
        <f>+'[1]Budget 2025W'!T897</f>
        <v>7.7235772357723581E-2</v>
      </c>
      <c r="N682" s="154">
        <f>+'[1]Budget 2025W'!U897</f>
        <v>7.7235772357723581E-2</v>
      </c>
      <c r="O682" s="154">
        <f>+'[1]Budget 2025W'!V897</f>
        <v>7.7235772357723581E-2</v>
      </c>
      <c r="P682" s="131"/>
      <c r="Q682" s="156">
        <f t="shared" si="71"/>
        <v>0.54748543060651855</v>
      </c>
    </row>
    <row r="683" spans="3:17" ht="17.25" thickTop="1" thickBot="1" x14ac:dyDescent="0.3">
      <c r="C683" s="162" t="s">
        <v>114</v>
      </c>
      <c r="D683" s="163">
        <f>+'[1]Budget 2025W'!K900</f>
        <v>0</v>
      </c>
      <c r="E683" s="163">
        <f>+'[1]Budget 2025W'!L900</f>
        <v>0</v>
      </c>
      <c r="F683" s="163">
        <f>+'[1]Budget 2025W'!M900</f>
        <v>0</v>
      </c>
      <c r="G683" s="163">
        <f>+'[1]Budget 2025W'!N900</f>
        <v>0</v>
      </c>
      <c r="H683" s="163">
        <f>+'[1]Budget 2025W'!O900</f>
        <v>0</v>
      </c>
      <c r="I683" s="163">
        <f>+'[1]Budget 2025W'!P900</f>
        <v>3546.8307374631268</v>
      </c>
      <c r="J683" s="163">
        <f>+'[1]Budget 2025W'!Q900</f>
        <v>3665.4441922940969</v>
      </c>
      <c r="K683" s="163">
        <f>+'[1]Budget 2025W'!R900</f>
        <v>3902.6847720042419</v>
      </c>
      <c r="L683" s="163">
        <f>+'[1]Budget 2025W'!S900</f>
        <v>3665.4441922940969</v>
      </c>
      <c r="M683" s="163">
        <f>+'[1]Budget 2025W'!T900</f>
        <v>3546.8239024390241</v>
      </c>
      <c r="N683" s="163">
        <f>+'[1]Budget 2025W'!U900</f>
        <v>3546.8239024390241</v>
      </c>
      <c r="O683" s="163">
        <f>+'[1]Budget 2025W'!V900</f>
        <v>3784.0644821491696</v>
      </c>
      <c r="P683" s="131"/>
      <c r="Q683" s="207">
        <f t="shared" si="71"/>
        <v>25658.11618108278</v>
      </c>
    </row>
    <row r="684" spans="3:17" ht="16.5" thickTop="1" x14ac:dyDescent="0.25">
      <c r="C684" s="195" t="s">
        <v>44</v>
      </c>
      <c r="D684" s="196"/>
      <c r="E684" s="196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31"/>
      <c r="Q684" s="161"/>
    </row>
    <row r="685" spans="3:17" x14ac:dyDescent="0.2">
      <c r="C685" s="153" t="s">
        <v>268</v>
      </c>
      <c r="D685" s="75">
        <f>+'[1]Budget 2025W'!K905</f>
        <v>0</v>
      </c>
      <c r="E685" s="75">
        <f>+'[1]Budget 2025W'!L905</f>
        <v>0</v>
      </c>
      <c r="F685" s="154">
        <f>+'[1]Budget 2025W'!M905</f>
        <v>0</v>
      </c>
      <c r="G685" s="154">
        <f>+'[1]Budget 2025W'!N905</f>
        <v>0</v>
      </c>
      <c r="H685" s="154">
        <f>+'[1]Budget 2025W'!O905</f>
        <v>0</v>
      </c>
      <c r="I685" s="154">
        <f>+'[1]Budget 2025W'!P905</f>
        <v>0</v>
      </c>
      <c r="J685" s="154">
        <f>+'[1]Budget 2025W'!Q905</f>
        <v>0</v>
      </c>
      <c r="K685" s="154">
        <f>+'[1]Budget 2025W'!R905</f>
        <v>0</v>
      </c>
      <c r="L685" s="154">
        <f>+'[1]Budget 2025W'!S905</f>
        <v>0</v>
      </c>
      <c r="M685" s="154">
        <f>+'[1]Budget 2025W'!T905</f>
        <v>0</v>
      </c>
      <c r="N685" s="154">
        <f>+'[1]Budget 2025W'!U905</f>
        <v>0</v>
      </c>
      <c r="O685" s="154">
        <f>+'[1]Budget 2025W'!V905</f>
        <v>0</v>
      </c>
      <c r="P685" s="131"/>
      <c r="Q685" s="156">
        <f t="shared" ref="Q685:Q721" si="72">SUM(D685:O685)</f>
        <v>0</v>
      </c>
    </row>
    <row r="686" spans="3:17" x14ac:dyDescent="0.2">
      <c r="C686" s="153" t="s">
        <v>269</v>
      </c>
      <c r="D686" s="75">
        <f>+'[1]Budget 2025W'!K906</f>
        <v>0</v>
      </c>
      <c r="E686" s="75">
        <f>+'[1]Budget 2025W'!L906</f>
        <v>0</v>
      </c>
      <c r="F686" s="154">
        <f>+'[1]Budget 2025W'!M906</f>
        <v>0</v>
      </c>
      <c r="G686" s="154">
        <f>+'[1]Budget 2025W'!N906</f>
        <v>0</v>
      </c>
      <c r="H686" s="154">
        <f>+'[1]Budget 2025W'!O906</f>
        <v>0</v>
      </c>
      <c r="I686" s="154">
        <f>+'[1]Budget 2025W'!P906</f>
        <v>450</v>
      </c>
      <c r="J686" s="154">
        <f>+'[1]Budget 2025W'!Q906</f>
        <v>450</v>
      </c>
      <c r="K686" s="154">
        <f>+'[1]Budget 2025W'!R906</f>
        <v>450</v>
      </c>
      <c r="L686" s="154">
        <f>+'[1]Budget 2025W'!S906</f>
        <v>450</v>
      </c>
      <c r="M686" s="154">
        <f>+'[1]Budget 2025W'!T906</f>
        <v>450</v>
      </c>
      <c r="N686" s="154">
        <f>+'[1]Budget 2025W'!U906</f>
        <v>450</v>
      </c>
      <c r="O686" s="154">
        <f>+'[1]Budget 2025W'!V906</f>
        <v>450</v>
      </c>
      <c r="P686" s="131"/>
      <c r="Q686" s="156">
        <f t="shared" si="72"/>
        <v>3150</v>
      </c>
    </row>
    <row r="687" spans="3:17" x14ac:dyDescent="0.2">
      <c r="C687" s="153" t="s">
        <v>270</v>
      </c>
      <c r="D687" s="75">
        <f>+'[1]Budget 2025W'!K907</f>
        <v>0</v>
      </c>
      <c r="E687" s="75">
        <f>+'[1]Budget 2025W'!L907</f>
        <v>0</v>
      </c>
      <c r="F687" s="154">
        <f>+'[1]Budget 2025W'!M907</f>
        <v>0</v>
      </c>
      <c r="G687" s="154">
        <f>+'[1]Budget 2025W'!N907</f>
        <v>0</v>
      </c>
      <c r="H687" s="154">
        <f>+'[1]Budget 2025W'!O907</f>
        <v>0</v>
      </c>
      <c r="I687" s="154">
        <f>+'[1]Budget 2025W'!P907</f>
        <v>0</v>
      </c>
      <c r="J687" s="154">
        <f>+'[1]Budget 2025W'!Q907</f>
        <v>0</v>
      </c>
      <c r="K687" s="154">
        <f>+'[1]Budget 2025W'!R907</f>
        <v>0</v>
      </c>
      <c r="L687" s="154">
        <f>+'[1]Budget 2025W'!S907</f>
        <v>0</v>
      </c>
      <c r="M687" s="154">
        <f>+'[1]Budget 2025W'!T907</f>
        <v>0</v>
      </c>
      <c r="N687" s="154">
        <f>+'[1]Budget 2025W'!U907</f>
        <v>0</v>
      </c>
      <c r="O687" s="154">
        <f>+'[1]Budget 2025W'!V907</f>
        <v>0</v>
      </c>
      <c r="P687" s="131"/>
      <c r="Q687" s="156">
        <f t="shared" si="72"/>
        <v>0</v>
      </c>
    </row>
    <row r="688" spans="3:17" x14ac:dyDescent="0.2">
      <c r="C688" s="153" t="s">
        <v>271</v>
      </c>
      <c r="D688" s="75">
        <f>+'[1]Budget 2025W'!K908</f>
        <v>0</v>
      </c>
      <c r="E688" s="75">
        <f>+'[1]Budget 2025W'!L908</f>
        <v>0</v>
      </c>
      <c r="F688" s="154">
        <f>+'[1]Budget 2025W'!M908</f>
        <v>0</v>
      </c>
      <c r="G688" s="154">
        <f>+'[1]Budget 2025W'!N908</f>
        <v>0</v>
      </c>
      <c r="H688" s="154">
        <f>+'[1]Budget 2025W'!O908</f>
        <v>0</v>
      </c>
      <c r="I688" s="154">
        <f>+'[1]Budget 2025W'!P908</f>
        <v>0</v>
      </c>
      <c r="J688" s="154">
        <f>+'[1]Budget 2025W'!Q908</f>
        <v>0</v>
      </c>
      <c r="K688" s="154">
        <f>+'[1]Budget 2025W'!R908</f>
        <v>0</v>
      </c>
      <c r="L688" s="154">
        <f>+'[1]Budget 2025W'!S908</f>
        <v>0</v>
      </c>
      <c r="M688" s="154">
        <f>+'[1]Budget 2025W'!T908</f>
        <v>0</v>
      </c>
      <c r="N688" s="154">
        <f>+'[1]Budget 2025W'!U908</f>
        <v>0</v>
      </c>
      <c r="O688" s="154">
        <f>+'[1]Budget 2025W'!V908</f>
        <v>0</v>
      </c>
      <c r="P688" s="131"/>
      <c r="Q688" s="156">
        <f t="shared" si="72"/>
        <v>0</v>
      </c>
    </row>
    <row r="689" spans="3:17" x14ac:dyDescent="0.2">
      <c r="C689" s="153" t="s">
        <v>116</v>
      </c>
      <c r="D689" s="75">
        <f>+'[1]Budget 2025W'!K909</f>
        <v>0</v>
      </c>
      <c r="E689" s="75">
        <f>+'[1]Budget 2025W'!L909</f>
        <v>0</v>
      </c>
      <c r="F689" s="154">
        <f>+'[1]Budget 2025W'!M909</f>
        <v>0</v>
      </c>
      <c r="G689" s="154">
        <f>+'[1]Budget 2025W'!N909</f>
        <v>0</v>
      </c>
      <c r="H689" s="154">
        <f>+'[1]Budget 2025W'!O909</f>
        <v>0</v>
      </c>
      <c r="I689" s="154">
        <f>+'[1]Budget 2025W'!P909</f>
        <v>0</v>
      </c>
      <c r="J689" s="154">
        <f>+'[1]Budget 2025W'!Q909</f>
        <v>0</v>
      </c>
      <c r="K689" s="154">
        <f>+'[1]Budget 2025W'!R909</f>
        <v>0</v>
      </c>
      <c r="L689" s="154">
        <f>+'[1]Budget 2025W'!S909</f>
        <v>0</v>
      </c>
      <c r="M689" s="154">
        <f>+'[1]Budget 2025W'!T909</f>
        <v>0</v>
      </c>
      <c r="N689" s="154">
        <f>+'[1]Budget 2025W'!U909</f>
        <v>0</v>
      </c>
      <c r="O689" s="154">
        <f>+'[1]Budget 2025W'!V909</f>
        <v>0</v>
      </c>
      <c r="P689" s="131"/>
      <c r="Q689" s="156">
        <f t="shared" si="72"/>
        <v>0</v>
      </c>
    </row>
    <row r="690" spans="3:17" x14ac:dyDescent="0.2">
      <c r="C690" s="153" t="s">
        <v>120</v>
      </c>
      <c r="D690" s="75">
        <f>+'[1]Budget 2025W'!K910</f>
        <v>0</v>
      </c>
      <c r="E690" s="75">
        <f>+'[1]Budget 2025W'!L910</f>
        <v>0</v>
      </c>
      <c r="F690" s="154">
        <f>+'[1]Budget 2025W'!M910</f>
        <v>0</v>
      </c>
      <c r="G690" s="154">
        <f>+'[1]Budget 2025W'!N910</f>
        <v>0</v>
      </c>
      <c r="H690" s="154">
        <f>+'[1]Budget 2025W'!O910</f>
        <v>0</v>
      </c>
      <c r="I690" s="154">
        <f>+'[1]Budget 2025W'!P910</f>
        <v>0</v>
      </c>
      <c r="J690" s="154">
        <f>+'[1]Budget 2025W'!Q910</f>
        <v>0</v>
      </c>
      <c r="K690" s="154">
        <f>+'[1]Budget 2025W'!R910</f>
        <v>0</v>
      </c>
      <c r="L690" s="154">
        <f>+'[1]Budget 2025W'!S910</f>
        <v>0</v>
      </c>
      <c r="M690" s="154">
        <f>+'[1]Budget 2025W'!T910</f>
        <v>0</v>
      </c>
      <c r="N690" s="154">
        <f>+'[1]Budget 2025W'!U910</f>
        <v>0</v>
      </c>
      <c r="O690" s="154">
        <f>+'[1]Budget 2025W'!V910</f>
        <v>0</v>
      </c>
      <c r="P690" s="131"/>
      <c r="Q690" s="156">
        <f t="shared" si="72"/>
        <v>0</v>
      </c>
    </row>
    <row r="691" spans="3:17" x14ac:dyDescent="0.2">
      <c r="C691" s="153" t="s">
        <v>121</v>
      </c>
      <c r="D691" s="75">
        <f>+'[1]Budget 2025W'!K911</f>
        <v>0</v>
      </c>
      <c r="E691" s="75">
        <f>+'[1]Budget 2025W'!L911</f>
        <v>0</v>
      </c>
      <c r="F691" s="154">
        <f>+'[1]Budget 2025W'!M911</f>
        <v>0</v>
      </c>
      <c r="G691" s="154">
        <f>+'[1]Budget 2025W'!N911</f>
        <v>0</v>
      </c>
      <c r="H691" s="154">
        <f>+'[1]Budget 2025W'!O911</f>
        <v>0</v>
      </c>
      <c r="I691" s="154">
        <f>+'[1]Budget 2025W'!P911</f>
        <v>1630.4347826086957</v>
      </c>
      <c r="J691" s="154">
        <f>+'[1]Budget 2025W'!Q911</f>
        <v>1630.4347826086957</v>
      </c>
      <c r="K691" s="154">
        <f>+'[1]Budget 2025W'!R911</f>
        <v>1630.4347826086957</v>
      </c>
      <c r="L691" s="154">
        <f>+'[1]Budget 2025W'!S911</f>
        <v>1630.4347826086957</v>
      </c>
      <c r="M691" s="154">
        <f>+'[1]Budget 2025W'!T911</f>
        <v>1630.4347826086957</v>
      </c>
      <c r="N691" s="154">
        <f>+'[1]Budget 2025W'!U911</f>
        <v>1630.4347826086957</v>
      </c>
      <c r="O691" s="154">
        <f>+'[1]Budget 2025W'!V911</f>
        <v>1630.4347826086957</v>
      </c>
      <c r="P691" s="131"/>
      <c r="Q691" s="156">
        <f t="shared" si="72"/>
        <v>11413.04347826087</v>
      </c>
    </row>
    <row r="692" spans="3:17" x14ac:dyDescent="0.2">
      <c r="C692" s="153" t="s">
        <v>122</v>
      </c>
      <c r="D692" s="75">
        <f>+'[1]Budget 2025W'!K912</f>
        <v>0</v>
      </c>
      <c r="E692" s="75">
        <f>+'[1]Budget 2025W'!L912</f>
        <v>0</v>
      </c>
      <c r="F692" s="154">
        <f>+'[1]Budget 2025W'!M912</f>
        <v>0</v>
      </c>
      <c r="G692" s="154">
        <f>+'[1]Budget 2025W'!N912</f>
        <v>0</v>
      </c>
      <c r="H692" s="154">
        <f>+'[1]Budget 2025W'!O912</f>
        <v>0</v>
      </c>
      <c r="I692" s="154">
        <f>+'[1]Budget 2025W'!P912</f>
        <v>0</v>
      </c>
      <c r="J692" s="154">
        <f>+'[1]Budget 2025W'!Q912</f>
        <v>0</v>
      </c>
      <c r="K692" s="154">
        <f>+'[1]Budget 2025W'!R912</f>
        <v>0</v>
      </c>
      <c r="L692" s="154">
        <f>+'[1]Budget 2025W'!S912</f>
        <v>0</v>
      </c>
      <c r="M692" s="154">
        <f>+'[1]Budget 2025W'!T912</f>
        <v>0</v>
      </c>
      <c r="N692" s="154">
        <f>+'[1]Budget 2025W'!U912</f>
        <v>0</v>
      </c>
      <c r="O692" s="154">
        <f>+'[1]Budget 2025W'!V912</f>
        <v>0</v>
      </c>
      <c r="P692" s="131"/>
      <c r="Q692" s="156">
        <f t="shared" si="72"/>
        <v>0</v>
      </c>
    </row>
    <row r="693" spans="3:17" x14ac:dyDescent="0.2">
      <c r="C693" s="153" t="s">
        <v>272</v>
      </c>
      <c r="D693" s="75">
        <f>+'[1]Budget 2025W'!K913</f>
        <v>0</v>
      </c>
      <c r="E693" s="75">
        <f>+'[1]Budget 2025W'!L913</f>
        <v>0</v>
      </c>
      <c r="F693" s="154">
        <f>+'[1]Budget 2025W'!M913</f>
        <v>0</v>
      </c>
      <c r="G693" s="154">
        <f>+'[1]Budget 2025W'!N913</f>
        <v>0</v>
      </c>
      <c r="H693" s="154">
        <f>+'[1]Budget 2025W'!O913</f>
        <v>0</v>
      </c>
      <c r="I693" s="154">
        <f>+'[1]Budget 2025W'!P913</f>
        <v>0</v>
      </c>
      <c r="J693" s="154">
        <f>+'[1]Budget 2025W'!Q913</f>
        <v>0</v>
      </c>
      <c r="K693" s="154">
        <f>+'[1]Budget 2025W'!R913</f>
        <v>0</v>
      </c>
      <c r="L693" s="154">
        <f>+'[1]Budget 2025W'!S913</f>
        <v>0</v>
      </c>
      <c r="M693" s="154">
        <f>+'[1]Budget 2025W'!T913</f>
        <v>0</v>
      </c>
      <c r="N693" s="154">
        <f>+'[1]Budget 2025W'!U913</f>
        <v>0</v>
      </c>
      <c r="O693" s="154">
        <f>+'[1]Budget 2025W'!V913</f>
        <v>0</v>
      </c>
      <c r="P693" s="131"/>
      <c r="Q693" s="156">
        <f t="shared" si="72"/>
        <v>0</v>
      </c>
    </row>
    <row r="694" spans="3:17" x14ac:dyDescent="0.2">
      <c r="C694" s="153" t="s">
        <v>273</v>
      </c>
      <c r="D694" s="75">
        <f>+'[1]Budget 2025W'!K914</f>
        <v>0</v>
      </c>
      <c r="E694" s="75">
        <f>+'[1]Budget 2025W'!L914</f>
        <v>0</v>
      </c>
      <c r="F694" s="154">
        <f>+'[1]Budget 2025W'!M914</f>
        <v>0</v>
      </c>
      <c r="G694" s="154">
        <f>+'[1]Budget 2025W'!N914</f>
        <v>0</v>
      </c>
      <c r="H694" s="154">
        <f>+'[1]Budget 2025W'!O914</f>
        <v>0</v>
      </c>
      <c r="I694" s="154">
        <f>+'[1]Budget 2025W'!P914</f>
        <v>991.78</v>
      </c>
      <c r="J694" s="154">
        <f>+'[1]Budget 2025W'!Q914</f>
        <v>1422.0925000000002</v>
      </c>
      <c r="K694" s="154">
        <f>+'[1]Budget 2025W'!R914</f>
        <v>1422.0925000000002</v>
      </c>
      <c r="L694" s="154">
        <f>+'[1]Budget 2025W'!S914</f>
        <v>1356.2175000000002</v>
      </c>
      <c r="M694" s="154">
        <f>+'[1]Budget 2025W'!T914</f>
        <v>1189.4050000000002</v>
      </c>
      <c r="N694" s="154">
        <f>+'[1]Budget 2025W'!U914</f>
        <v>2190.7475000000004</v>
      </c>
      <c r="O694" s="154">
        <f>+'[1]Budget 2025W'!V914</f>
        <v>3210.3225000000002</v>
      </c>
      <c r="P694" s="131"/>
      <c r="Q694" s="156">
        <f t="shared" si="72"/>
        <v>11782.657500000003</v>
      </c>
    </row>
    <row r="695" spans="3:17" x14ac:dyDescent="0.2">
      <c r="C695" s="153" t="s">
        <v>123</v>
      </c>
      <c r="D695" s="75">
        <f>+'[1]Budget 2025W'!K915</f>
        <v>0</v>
      </c>
      <c r="E695" s="75">
        <f>+'[1]Budget 2025W'!L915</f>
        <v>0</v>
      </c>
      <c r="F695" s="154">
        <f>+'[1]Budget 2025W'!M915</f>
        <v>0</v>
      </c>
      <c r="G695" s="154">
        <f>+'[1]Budget 2025W'!N915</f>
        <v>0</v>
      </c>
      <c r="H695" s="154">
        <f>+'[1]Budget 2025W'!O915</f>
        <v>0</v>
      </c>
      <c r="I695" s="154">
        <f>+'[1]Budget 2025W'!P915</f>
        <v>0</v>
      </c>
      <c r="J695" s="154">
        <f>+'[1]Budget 2025W'!Q915</f>
        <v>0</v>
      </c>
      <c r="K695" s="154">
        <f>+'[1]Budget 2025W'!R915</f>
        <v>0</v>
      </c>
      <c r="L695" s="154">
        <f>+'[1]Budget 2025W'!S915</f>
        <v>0</v>
      </c>
      <c r="M695" s="154">
        <f>+'[1]Budget 2025W'!T915</f>
        <v>0</v>
      </c>
      <c r="N695" s="154">
        <f>+'[1]Budget 2025W'!U915</f>
        <v>0</v>
      </c>
      <c r="O695" s="154">
        <f>+'[1]Budget 2025W'!V915</f>
        <v>0</v>
      </c>
      <c r="P695" s="131"/>
      <c r="Q695" s="156">
        <f t="shared" si="72"/>
        <v>0</v>
      </c>
    </row>
    <row r="696" spans="3:17" x14ac:dyDescent="0.2">
      <c r="C696" s="153" t="s">
        <v>274</v>
      </c>
      <c r="D696" s="75">
        <f>+'[1]Budget 2025W'!K916</f>
        <v>0</v>
      </c>
      <c r="E696" s="75">
        <f>+'[1]Budget 2025W'!L916</f>
        <v>0</v>
      </c>
      <c r="F696" s="154">
        <f>+'[1]Budget 2025W'!M916</f>
        <v>0</v>
      </c>
      <c r="G696" s="154">
        <f>+'[1]Budget 2025W'!N916</f>
        <v>0</v>
      </c>
      <c r="H696" s="154">
        <f>+'[1]Budget 2025W'!O916</f>
        <v>0</v>
      </c>
      <c r="I696" s="154">
        <f>+'[1]Budget 2025W'!P916</f>
        <v>0</v>
      </c>
      <c r="J696" s="154">
        <f>+'[1]Budget 2025W'!Q916</f>
        <v>0</v>
      </c>
      <c r="K696" s="154">
        <f>+'[1]Budget 2025W'!R916</f>
        <v>0</v>
      </c>
      <c r="L696" s="154">
        <f>+'[1]Budget 2025W'!S916</f>
        <v>0</v>
      </c>
      <c r="M696" s="154">
        <f>+'[1]Budget 2025W'!T916</f>
        <v>0</v>
      </c>
      <c r="N696" s="154">
        <f>+'[1]Budget 2025W'!U916</f>
        <v>0</v>
      </c>
      <c r="O696" s="154">
        <f>+'[1]Budget 2025W'!V916</f>
        <v>0</v>
      </c>
      <c r="P696" s="131"/>
      <c r="Q696" s="156">
        <f t="shared" si="72"/>
        <v>0</v>
      </c>
    </row>
    <row r="697" spans="3:17" x14ac:dyDescent="0.2">
      <c r="C697" s="153" t="s">
        <v>170</v>
      </c>
      <c r="D697" s="75">
        <f>+'[1]Budget 2025W'!K917</f>
        <v>0</v>
      </c>
      <c r="E697" s="75">
        <f>+'[1]Budget 2025W'!L917</f>
        <v>0</v>
      </c>
      <c r="F697" s="154">
        <f>+'[1]Budget 2025W'!M917</f>
        <v>0</v>
      </c>
      <c r="G697" s="154">
        <f>+'[1]Budget 2025W'!N917</f>
        <v>0</v>
      </c>
      <c r="H697" s="154">
        <f>+'[1]Budget 2025W'!O917</f>
        <v>0</v>
      </c>
      <c r="I697" s="154">
        <f>+'[1]Budget 2025W'!P917</f>
        <v>54.744680851063826</v>
      </c>
      <c r="J697" s="154">
        <f>+'[1]Budget 2025W'!Q917</f>
        <v>54.744680851063826</v>
      </c>
      <c r="K697" s="154">
        <f>+'[1]Budget 2025W'!R917</f>
        <v>54.744680851063826</v>
      </c>
      <c r="L697" s="154">
        <f>+'[1]Budget 2025W'!S917</f>
        <v>54.744680851063826</v>
      </c>
      <c r="M697" s="154">
        <f>+'[1]Budget 2025W'!T917</f>
        <v>54.744680851063826</v>
      </c>
      <c r="N697" s="154">
        <f>+'[1]Budget 2025W'!U917</f>
        <v>54.744680851063826</v>
      </c>
      <c r="O697" s="154">
        <f>+'[1]Budget 2025W'!V917</f>
        <v>54.744680851063826</v>
      </c>
      <c r="P697" s="131"/>
      <c r="Q697" s="156">
        <f t="shared" si="72"/>
        <v>383.21276595744678</v>
      </c>
    </row>
    <row r="698" spans="3:17" x14ac:dyDescent="0.2">
      <c r="C698" s="153" t="s">
        <v>125</v>
      </c>
      <c r="D698" s="75">
        <f>+'[1]Budget 2025W'!K918</f>
        <v>0</v>
      </c>
      <c r="E698" s="75">
        <f>+'[1]Budget 2025W'!L918</f>
        <v>0</v>
      </c>
      <c r="F698" s="154">
        <f>+'[1]Budget 2025W'!M918</f>
        <v>0</v>
      </c>
      <c r="G698" s="154">
        <f>+'[1]Budget 2025W'!N918</f>
        <v>0</v>
      </c>
      <c r="H698" s="154">
        <f>+'[1]Budget 2025W'!O918</f>
        <v>0</v>
      </c>
      <c r="I698" s="154">
        <f>+'[1]Budget 2025W'!P918</f>
        <v>0</v>
      </c>
      <c r="J698" s="154">
        <f>+'[1]Budget 2025W'!Q918</f>
        <v>0</v>
      </c>
      <c r="K698" s="154">
        <f>+'[1]Budget 2025W'!R918</f>
        <v>0</v>
      </c>
      <c r="L698" s="154">
        <f>+'[1]Budget 2025W'!S918</f>
        <v>0</v>
      </c>
      <c r="M698" s="154">
        <f>+'[1]Budget 2025W'!T918</f>
        <v>0</v>
      </c>
      <c r="N698" s="154">
        <f>+'[1]Budget 2025W'!U918</f>
        <v>0</v>
      </c>
      <c r="O698" s="154">
        <f>+'[1]Budget 2025W'!V918</f>
        <v>0</v>
      </c>
      <c r="P698" s="131"/>
      <c r="Q698" s="156">
        <f t="shared" si="72"/>
        <v>0</v>
      </c>
    </row>
    <row r="699" spans="3:17" x14ac:dyDescent="0.2">
      <c r="C699" s="153" t="s">
        <v>126</v>
      </c>
      <c r="D699" s="75">
        <f>+'[1]Budget 2025W'!K919</f>
        <v>0</v>
      </c>
      <c r="E699" s="75">
        <f>+'[1]Budget 2025W'!L919</f>
        <v>0</v>
      </c>
      <c r="F699" s="154">
        <f>+'[1]Budget 2025W'!M919</f>
        <v>0</v>
      </c>
      <c r="G699" s="154">
        <f>+'[1]Budget 2025W'!N919</f>
        <v>0</v>
      </c>
      <c r="H699" s="154">
        <f>+'[1]Budget 2025W'!O919</f>
        <v>0</v>
      </c>
      <c r="I699" s="154">
        <f>+'[1]Budget 2025W'!P919</f>
        <v>0</v>
      </c>
      <c r="J699" s="154">
        <f>+'[1]Budget 2025W'!Q919</f>
        <v>0</v>
      </c>
      <c r="K699" s="154">
        <f>+'[1]Budget 2025W'!R919</f>
        <v>0</v>
      </c>
      <c r="L699" s="154">
        <f>+'[1]Budget 2025W'!S919</f>
        <v>0</v>
      </c>
      <c r="M699" s="154">
        <f>+'[1]Budget 2025W'!T919</f>
        <v>0</v>
      </c>
      <c r="N699" s="154">
        <f>+'[1]Budget 2025W'!U919</f>
        <v>0</v>
      </c>
      <c r="O699" s="154">
        <f>+'[1]Budget 2025W'!V919</f>
        <v>0</v>
      </c>
      <c r="P699" s="131"/>
      <c r="Q699" s="156">
        <f t="shared" si="72"/>
        <v>0</v>
      </c>
    </row>
    <row r="700" spans="3:17" x14ac:dyDescent="0.2">
      <c r="C700" s="153" t="s">
        <v>275</v>
      </c>
      <c r="D700" s="75">
        <f>+'[1]Budget 2025W'!K920</f>
        <v>0</v>
      </c>
      <c r="E700" s="75">
        <f>+'[1]Budget 2025W'!L920</f>
        <v>0</v>
      </c>
      <c r="F700" s="154">
        <f>+'[1]Budget 2025W'!M920</f>
        <v>0</v>
      </c>
      <c r="G700" s="154">
        <f>+'[1]Budget 2025W'!N920</f>
        <v>0</v>
      </c>
      <c r="H700" s="154">
        <f>+'[1]Budget 2025W'!O920</f>
        <v>0</v>
      </c>
      <c r="I700" s="154">
        <f>+'[1]Budget 2025W'!P920</f>
        <v>0</v>
      </c>
      <c r="J700" s="154">
        <f>+'[1]Budget 2025W'!Q920</f>
        <v>0</v>
      </c>
      <c r="K700" s="154">
        <f>+'[1]Budget 2025W'!R920</f>
        <v>0</v>
      </c>
      <c r="L700" s="154">
        <f>+'[1]Budget 2025W'!S920</f>
        <v>0</v>
      </c>
      <c r="M700" s="154">
        <f>+'[1]Budget 2025W'!T920</f>
        <v>0</v>
      </c>
      <c r="N700" s="154">
        <f>+'[1]Budget 2025W'!U920</f>
        <v>0</v>
      </c>
      <c r="O700" s="154">
        <f>+'[1]Budget 2025W'!V920</f>
        <v>0</v>
      </c>
      <c r="P700" s="131"/>
      <c r="Q700" s="156">
        <f t="shared" si="72"/>
        <v>0</v>
      </c>
    </row>
    <row r="701" spans="3:17" x14ac:dyDescent="0.2">
      <c r="C701" s="153" t="s">
        <v>276</v>
      </c>
      <c r="D701" s="75">
        <f>+'[1]Budget 2025W'!K921</f>
        <v>0</v>
      </c>
      <c r="E701" s="75">
        <f>+'[1]Budget 2025W'!L921</f>
        <v>0</v>
      </c>
      <c r="F701" s="154">
        <f>+'[1]Budget 2025W'!M921</f>
        <v>0</v>
      </c>
      <c r="G701" s="154">
        <f>+'[1]Budget 2025W'!N921</f>
        <v>0</v>
      </c>
      <c r="H701" s="154">
        <f>+'[1]Budget 2025W'!O921</f>
        <v>0</v>
      </c>
      <c r="I701" s="154">
        <f>+'[1]Budget 2025W'!P921</f>
        <v>150</v>
      </c>
      <c r="J701" s="154">
        <f>+'[1]Budget 2025W'!Q921</f>
        <v>150</v>
      </c>
      <c r="K701" s="154">
        <f>+'[1]Budget 2025W'!R921</f>
        <v>150</v>
      </c>
      <c r="L701" s="154">
        <f>+'[1]Budget 2025W'!S921</f>
        <v>150</v>
      </c>
      <c r="M701" s="154">
        <f>+'[1]Budget 2025W'!T921</f>
        <v>150</v>
      </c>
      <c r="N701" s="154">
        <f>+'[1]Budget 2025W'!U921</f>
        <v>150</v>
      </c>
      <c r="O701" s="154">
        <f>+'[1]Budget 2025W'!V921</f>
        <v>1150</v>
      </c>
      <c r="P701" s="131"/>
      <c r="Q701" s="156">
        <f t="shared" si="72"/>
        <v>2050</v>
      </c>
    </row>
    <row r="702" spans="3:17" x14ac:dyDescent="0.2">
      <c r="C702" s="153" t="s">
        <v>277</v>
      </c>
      <c r="D702" s="75">
        <f>+'[1]Budget 2025W'!K922</f>
        <v>0</v>
      </c>
      <c r="E702" s="75">
        <f>+'[1]Budget 2025W'!L922</f>
        <v>0</v>
      </c>
      <c r="F702" s="154">
        <f>+'[1]Budget 2025W'!M922</f>
        <v>0</v>
      </c>
      <c r="G702" s="154">
        <f>+'[1]Budget 2025W'!N922</f>
        <v>0</v>
      </c>
      <c r="H702" s="154">
        <f>+'[1]Budget 2025W'!O922</f>
        <v>0</v>
      </c>
      <c r="I702" s="154">
        <f>+'[1]Budget 2025W'!P922</f>
        <v>0</v>
      </c>
      <c r="J702" s="154">
        <f>+'[1]Budget 2025W'!Q922</f>
        <v>0</v>
      </c>
      <c r="K702" s="154">
        <f>+'[1]Budget 2025W'!R922</f>
        <v>0</v>
      </c>
      <c r="L702" s="154">
        <f>+'[1]Budget 2025W'!S922</f>
        <v>0</v>
      </c>
      <c r="M702" s="154">
        <f>+'[1]Budget 2025W'!T922</f>
        <v>0</v>
      </c>
      <c r="N702" s="154">
        <f>+'[1]Budget 2025W'!U922</f>
        <v>0</v>
      </c>
      <c r="O702" s="154">
        <f>+'[1]Budget 2025W'!V922</f>
        <v>0</v>
      </c>
      <c r="P702" s="131"/>
      <c r="Q702" s="156">
        <f t="shared" si="72"/>
        <v>0</v>
      </c>
    </row>
    <row r="703" spans="3:17" x14ac:dyDescent="0.2">
      <c r="C703" s="153" t="s">
        <v>131</v>
      </c>
      <c r="D703" s="75">
        <f>+'[1]Budget 2025W'!K923</f>
        <v>0</v>
      </c>
      <c r="E703" s="75">
        <f>+'[1]Budget 2025W'!L923</f>
        <v>0</v>
      </c>
      <c r="F703" s="154">
        <f>+'[1]Budget 2025W'!M923</f>
        <v>0</v>
      </c>
      <c r="G703" s="154">
        <f>+'[1]Budget 2025W'!N923</f>
        <v>0</v>
      </c>
      <c r="H703" s="154">
        <f>+'[1]Budget 2025W'!O923</f>
        <v>0</v>
      </c>
      <c r="I703" s="154">
        <f>+'[1]Budget 2025W'!P923</f>
        <v>166.66666666666666</v>
      </c>
      <c r="J703" s="154">
        <f>+'[1]Budget 2025W'!Q923</f>
        <v>166.66666666666666</v>
      </c>
      <c r="K703" s="154">
        <f>+'[1]Budget 2025W'!R923</f>
        <v>166.66666666666666</v>
      </c>
      <c r="L703" s="154">
        <f>+'[1]Budget 2025W'!S923</f>
        <v>166.66666666666666</v>
      </c>
      <c r="M703" s="154">
        <f>+'[1]Budget 2025W'!T923</f>
        <v>166.66666666666666</v>
      </c>
      <c r="N703" s="154">
        <f>+'[1]Budget 2025W'!U923</f>
        <v>166.66666666666666</v>
      </c>
      <c r="O703" s="154">
        <f>+'[1]Budget 2025W'!V923</f>
        <v>166.66666666666666</v>
      </c>
      <c r="P703" s="131"/>
      <c r="Q703" s="156">
        <f t="shared" si="72"/>
        <v>1166.6666666666665</v>
      </c>
    </row>
    <row r="704" spans="3:17" x14ac:dyDescent="0.2">
      <c r="C704" s="153" t="s">
        <v>278</v>
      </c>
      <c r="D704" s="75">
        <f>+'[1]Budget 2025W'!K924</f>
        <v>0</v>
      </c>
      <c r="E704" s="75">
        <f>+'[1]Budget 2025W'!L924</f>
        <v>0</v>
      </c>
      <c r="F704" s="154">
        <f>+'[1]Budget 2025W'!M924</f>
        <v>0</v>
      </c>
      <c r="G704" s="154">
        <f>+'[1]Budget 2025W'!N924</f>
        <v>0</v>
      </c>
      <c r="H704" s="154">
        <f>+'[1]Budget 2025W'!O924</f>
        <v>0</v>
      </c>
      <c r="I704" s="154">
        <f>+'[1]Budget 2025W'!P924</f>
        <v>0</v>
      </c>
      <c r="J704" s="154">
        <f>+'[1]Budget 2025W'!Q924</f>
        <v>0</v>
      </c>
      <c r="K704" s="154">
        <f>+'[1]Budget 2025W'!R924</f>
        <v>0</v>
      </c>
      <c r="L704" s="154">
        <f>+'[1]Budget 2025W'!S924</f>
        <v>0</v>
      </c>
      <c r="M704" s="154">
        <f>+'[1]Budget 2025W'!T924</f>
        <v>0</v>
      </c>
      <c r="N704" s="154">
        <f>+'[1]Budget 2025W'!U924</f>
        <v>0</v>
      </c>
      <c r="O704" s="154">
        <f>+'[1]Budget 2025W'!V924</f>
        <v>0</v>
      </c>
      <c r="P704" s="131"/>
      <c r="Q704" s="156">
        <f t="shared" si="72"/>
        <v>0</v>
      </c>
    </row>
    <row r="705" spans="3:17" x14ac:dyDescent="0.2">
      <c r="C705" s="153" t="s">
        <v>279</v>
      </c>
      <c r="D705" s="75">
        <f>+'[1]Budget 2025W'!K925</f>
        <v>0</v>
      </c>
      <c r="E705" s="75">
        <f>+'[1]Budget 2025W'!L925</f>
        <v>0</v>
      </c>
      <c r="F705" s="154">
        <f>+'[1]Budget 2025W'!M925</f>
        <v>0</v>
      </c>
      <c r="G705" s="154">
        <f>+'[1]Budget 2025W'!N925</f>
        <v>0</v>
      </c>
      <c r="H705" s="154">
        <f>+'[1]Budget 2025W'!O925</f>
        <v>0</v>
      </c>
      <c r="I705" s="154">
        <f>+'[1]Budget 2025W'!P925</f>
        <v>1300</v>
      </c>
      <c r="J705" s="154">
        <f>+'[1]Budget 2025W'!Q925</f>
        <v>300</v>
      </c>
      <c r="K705" s="154">
        <f>+'[1]Budget 2025W'!R925</f>
        <v>1300</v>
      </c>
      <c r="L705" s="154">
        <f>+'[1]Budget 2025W'!S925</f>
        <v>300</v>
      </c>
      <c r="M705" s="154">
        <f>+'[1]Budget 2025W'!T925</f>
        <v>1300</v>
      </c>
      <c r="N705" s="154">
        <f>+'[1]Budget 2025W'!U925</f>
        <v>300</v>
      </c>
      <c r="O705" s="154">
        <f>+'[1]Budget 2025W'!V925</f>
        <v>300</v>
      </c>
      <c r="P705" s="131"/>
      <c r="Q705" s="156">
        <f t="shared" si="72"/>
        <v>5100</v>
      </c>
    </row>
    <row r="706" spans="3:17" x14ac:dyDescent="0.2">
      <c r="C706" s="153" t="s">
        <v>280</v>
      </c>
      <c r="D706" s="75">
        <f>+'[1]Budget 2025W'!K926</f>
        <v>0</v>
      </c>
      <c r="E706" s="75">
        <f>+'[1]Budget 2025W'!L926</f>
        <v>0</v>
      </c>
      <c r="F706" s="154">
        <f>+'[1]Budget 2025W'!M926</f>
        <v>0</v>
      </c>
      <c r="G706" s="154">
        <f>+'[1]Budget 2025W'!N926</f>
        <v>0</v>
      </c>
      <c r="H706" s="154">
        <f>+'[1]Budget 2025W'!O926</f>
        <v>0</v>
      </c>
      <c r="I706" s="154">
        <f>+'[1]Budget 2025W'!P926</f>
        <v>0</v>
      </c>
      <c r="J706" s="154">
        <f>+'[1]Budget 2025W'!Q926</f>
        <v>0</v>
      </c>
      <c r="K706" s="154">
        <f>+'[1]Budget 2025W'!R926</f>
        <v>0</v>
      </c>
      <c r="L706" s="154">
        <f>+'[1]Budget 2025W'!S926</f>
        <v>0</v>
      </c>
      <c r="M706" s="154">
        <f>+'[1]Budget 2025W'!T926</f>
        <v>0</v>
      </c>
      <c r="N706" s="154">
        <f>+'[1]Budget 2025W'!U926</f>
        <v>0</v>
      </c>
      <c r="O706" s="154">
        <f>+'[1]Budget 2025W'!V926</f>
        <v>0</v>
      </c>
      <c r="P706" s="131"/>
      <c r="Q706" s="156">
        <f t="shared" si="72"/>
        <v>0</v>
      </c>
    </row>
    <row r="707" spans="3:17" x14ac:dyDescent="0.2">
      <c r="C707" s="153" t="s">
        <v>134</v>
      </c>
      <c r="D707" s="75">
        <f>+'[1]Budget 2025W'!K927</f>
        <v>0</v>
      </c>
      <c r="E707" s="75">
        <f>+'[1]Budget 2025W'!L927</f>
        <v>0</v>
      </c>
      <c r="F707" s="154">
        <f>+'[1]Budget 2025W'!M927</f>
        <v>0</v>
      </c>
      <c r="G707" s="154">
        <f>+'[1]Budget 2025W'!N927</f>
        <v>0</v>
      </c>
      <c r="H707" s="154">
        <f>+'[1]Budget 2025W'!O927</f>
        <v>0</v>
      </c>
      <c r="I707" s="154">
        <f>+'[1]Budget 2025W'!P927</f>
        <v>80</v>
      </c>
      <c r="J707" s="154">
        <f>+'[1]Budget 2025W'!Q927</f>
        <v>80</v>
      </c>
      <c r="K707" s="154">
        <f>+'[1]Budget 2025W'!R927</f>
        <v>80</v>
      </c>
      <c r="L707" s="154">
        <f>+'[1]Budget 2025W'!S927</f>
        <v>80</v>
      </c>
      <c r="M707" s="154">
        <f>+'[1]Budget 2025W'!T927</f>
        <v>80</v>
      </c>
      <c r="N707" s="154">
        <f>+'[1]Budget 2025W'!U927</f>
        <v>80</v>
      </c>
      <c r="O707" s="154">
        <f>+'[1]Budget 2025W'!V927</f>
        <v>80</v>
      </c>
      <c r="P707" s="131"/>
      <c r="Q707" s="156">
        <f t="shared" si="72"/>
        <v>560</v>
      </c>
    </row>
    <row r="708" spans="3:17" x14ac:dyDescent="0.2">
      <c r="C708" s="153" t="s">
        <v>281</v>
      </c>
      <c r="D708" s="75">
        <f>+'[1]Budget 2025W'!K928</f>
        <v>0</v>
      </c>
      <c r="E708" s="75">
        <f>+'[1]Budget 2025W'!L928</f>
        <v>0</v>
      </c>
      <c r="F708" s="154">
        <f>+'[1]Budget 2025W'!M928</f>
        <v>0</v>
      </c>
      <c r="G708" s="154">
        <f>+'[1]Budget 2025W'!N928</f>
        <v>0</v>
      </c>
      <c r="H708" s="154">
        <f>+'[1]Budget 2025W'!O928</f>
        <v>0</v>
      </c>
      <c r="I708" s="154">
        <f>+'[1]Budget 2025W'!P928</f>
        <v>0</v>
      </c>
      <c r="J708" s="154">
        <f>+'[1]Budget 2025W'!Q928</f>
        <v>0</v>
      </c>
      <c r="K708" s="154">
        <f>+'[1]Budget 2025W'!R928</f>
        <v>0</v>
      </c>
      <c r="L708" s="154">
        <f>+'[1]Budget 2025W'!S928</f>
        <v>0</v>
      </c>
      <c r="M708" s="154">
        <f>+'[1]Budget 2025W'!T928</f>
        <v>0</v>
      </c>
      <c r="N708" s="154">
        <f>+'[1]Budget 2025W'!U928</f>
        <v>0</v>
      </c>
      <c r="O708" s="154">
        <f>+'[1]Budget 2025W'!V928</f>
        <v>0</v>
      </c>
      <c r="P708" s="131"/>
      <c r="Q708" s="156">
        <f t="shared" si="72"/>
        <v>0</v>
      </c>
    </row>
    <row r="709" spans="3:17" x14ac:dyDescent="0.2">
      <c r="C709" s="153" t="s">
        <v>182</v>
      </c>
      <c r="D709" s="75">
        <f>+'[1]Budget 2025W'!K929</f>
        <v>0</v>
      </c>
      <c r="E709" s="75">
        <f>+'[1]Budget 2025W'!L929</f>
        <v>0</v>
      </c>
      <c r="F709" s="154">
        <f>+'[1]Budget 2025W'!M929</f>
        <v>0</v>
      </c>
      <c r="G709" s="154">
        <f>+'[1]Budget 2025W'!N929</f>
        <v>0</v>
      </c>
      <c r="H709" s="154">
        <f>+'[1]Budget 2025W'!O929</f>
        <v>0</v>
      </c>
      <c r="I709" s="154">
        <f>+'[1]Budget 2025W'!P929</f>
        <v>0</v>
      </c>
      <c r="J709" s="154">
        <f>+'[1]Budget 2025W'!Q929</f>
        <v>0</v>
      </c>
      <c r="K709" s="154">
        <f>+'[1]Budget 2025W'!R929</f>
        <v>0</v>
      </c>
      <c r="L709" s="154">
        <f>+'[1]Budget 2025W'!S929</f>
        <v>0</v>
      </c>
      <c r="M709" s="154">
        <f>+'[1]Budget 2025W'!T929</f>
        <v>0</v>
      </c>
      <c r="N709" s="154">
        <f>+'[1]Budget 2025W'!U929</f>
        <v>0</v>
      </c>
      <c r="O709" s="154">
        <f>+'[1]Budget 2025W'!V929</f>
        <v>0</v>
      </c>
      <c r="P709" s="131"/>
      <c r="Q709" s="156">
        <f t="shared" si="72"/>
        <v>0</v>
      </c>
    </row>
    <row r="710" spans="3:17" x14ac:dyDescent="0.2">
      <c r="C710" s="153" t="s">
        <v>282</v>
      </c>
      <c r="D710" s="75">
        <f>+'[1]Budget 2025W'!K930</f>
        <v>0</v>
      </c>
      <c r="E710" s="75">
        <f>+'[1]Budget 2025W'!L930</f>
        <v>0</v>
      </c>
      <c r="F710" s="154">
        <f>+'[1]Budget 2025W'!M930</f>
        <v>0</v>
      </c>
      <c r="G710" s="154">
        <f>+'[1]Budget 2025W'!N930</f>
        <v>0</v>
      </c>
      <c r="H710" s="154">
        <f>+'[1]Budget 2025W'!O930</f>
        <v>0</v>
      </c>
      <c r="I710" s="154">
        <f>+'[1]Budget 2025W'!P930</f>
        <v>0</v>
      </c>
      <c r="J710" s="154">
        <f>+'[1]Budget 2025W'!Q930</f>
        <v>0</v>
      </c>
      <c r="K710" s="154">
        <f>+'[1]Budget 2025W'!R930</f>
        <v>0</v>
      </c>
      <c r="L710" s="154">
        <f>+'[1]Budget 2025W'!S930</f>
        <v>0</v>
      </c>
      <c r="M710" s="154">
        <f>+'[1]Budget 2025W'!T930</f>
        <v>0</v>
      </c>
      <c r="N710" s="154">
        <f>+'[1]Budget 2025W'!U930</f>
        <v>0</v>
      </c>
      <c r="O710" s="154">
        <f>+'[1]Budget 2025W'!V930</f>
        <v>0</v>
      </c>
      <c r="P710" s="131"/>
      <c r="Q710" s="156">
        <f t="shared" si="72"/>
        <v>0</v>
      </c>
    </row>
    <row r="711" spans="3:17" x14ac:dyDescent="0.2">
      <c r="C711" s="153" t="s">
        <v>283</v>
      </c>
      <c r="D711" s="75">
        <f>+'[1]Budget 2025W'!K931</f>
        <v>0</v>
      </c>
      <c r="E711" s="75">
        <f>+'[1]Budget 2025W'!L931</f>
        <v>0</v>
      </c>
      <c r="F711" s="154">
        <f>+'[1]Budget 2025W'!M931</f>
        <v>0</v>
      </c>
      <c r="G711" s="154">
        <f>+'[1]Budget 2025W'!N931</f>
        <v>0</v>
      </c>
      <c r="H711" s="154">
        <f>+'[1]Budget 2025W'!O931</f>
        <v>0</v>
      </c>
      <c r="I711" s="154">
        <f>+'[1]Budget 2025W'!P931</f>
        <v>0</v>
      </c>
      <c r="J711" s="154">
        <f>+'[1]Budget 2025W'!Q931</f>
        <v>0</v>
      </c>
      <c r="K711" s="154">
        <f>+'[1]Budget 2025W'!R931</f>
        <v>0</v>
      </c>
      <c r="L711" s="154">
        <f>+'[1]Budget 2025W'!S931</f>
        <v>0</v>
      </c>
      <c r="M711" s="154">
        <f>+'[1]Budget 2025W'!T931</f>
        <v>0</v>
      </c>
      <c r="N711" s="154">
        <f>+'[1]Budget 2025W'!U931</f>
        <v>0</v>
      </c>
      <c r="O711" s="154">
        <f>+'[1]Budget 2025W'!V931</f>
        <v>0</v>
      </c>
      <c r="P711" s="131"/>
      <c r="Q711" s="156">
        <f t="shared" si="72"/>
        <v>0</v>
      </c>
    </row>
    <row r="712" spans="3:17" x14ac:dyDescent="0.2">
      <c r="C712" s="153" t="s">
        <v>284</v>
      </c>
      <c r="D712" s="75">
        <f>+'[1]Budget 2025W'!K932</f>
        <v>0</v>
      </c>
      <c r="E712" s="75">
        <f>+'[1]Budget 2025W'!L932</f>
        <v>0</v>
      </c>
      <c r="F712" s="154">
        <f>+'[1]Budget 2025W'!M932</f>
        <v>0</v>
      </c>
      <c r="G712" s="154">
        <f>+'[1]Budget 2025W'!N932</f>
        <v>0</v>
      </c>
      <c r="H712" s="154">
        <f>+'[1]Budget 2025W'!O932</f>
        <v>0</v>
      </c>
      <c r="I712" s="154">
        <f>+'[1]Budget 2025W'!P932</f>
        <v>2608.695652173913</v>
      </c>
      <c r="J712" s="154">
        <f>+'[1]Budget 2025W'!Q932</f>
        <v>1000</v>
      </c>
      <c r="K712" s="154">
        <f>+'[1]Budget 2025W'!R932</f>
        <v>1000</v>
      </c>
      <c r="L712" s="154">
        <f>+'[1]Budget 2025W'!S932</f>
        <v>0</v>
      </c>
      <c r="M712" s="154">
        <f>+'[1]Budget 2025W'!T932</f>
        <v>0</v>
      </c>
      <c r="N712" s="154">
        <f>+'[1]Budget 2025W'!U932</f>
        <v>0</v>
      </c>
      <c r="O712" s="154">
        <f>+'[1]Budget 2025W'!V932</f>
        <v>0</v>
      </c>
      <c r="P712" s="131"/>
      <c r="Q712" s="156">
        <f t="shared" si="72"/>
        <v>4608.695652173913</v>
      </c>
    </row>
    <row r="713" spans="3:17" x14ac:dyDescent="0.2">
      <c r="C713" s="153" t="s">
        <v>285</v>
      </c>
      <c r="D713" s="75">
        <f>+'[1]Budget 2025W'!K933</f>
        <v>0</v>
      </c>
      <c r="E713" s="75">
        <f>+'[1]Budget 2025W'!L933</f>
        <v>0</v>
      </c>
      <c r="F713" s="154">
        <f>+'[1]Budget 2025W'!M933</f>
        <v>0</v>
      </c>
      <c r="G713" s="154">
        <f>+'[1]Budget 2025W'!N933</f>
        <v>0</v>
      </c>
      <c r="H713" s="154">
        <f>+'[1]Budget 2025W'!O933</f>
        <v>0</v>
      </c>
      <c r="I713" s="154">
        <f>+'[1]Budget 2025W'!P933</f>
        <v>0</v>
      </c>
      <c r="J713" s="154">
        <f>+'[1]Budget 2025W'!Q933</f>
        <v>0</v>
      </c>
      <c r="K713" s="154">
        <f>+'[1]Budget 2025W'!R933</f>
        <v>0</v>
      </c>
      <c r="L713" s="154">
        <f>+'[1]Budget 2025W'!S933</f>
        <v>0</v>
      </c>
      <c r="M713" s="154">
        <f>+'[1]Budget 2025W'!T933</f>
        <v>0</v>
      </c>
      <c r="N713" s="154">
        <f>+'[1]Budget 2025W'!U933</f>
        <v>0</v>
      </c>
      <c r="O713" s="154">
        <f>+'[1]Budget 2025W'!V933</f>
        <v>0</v>
      </c>
      <c r="P713" s="131"/>
      <c r="Q713" s="156">
        <f t="shared" si="72"/>
        <v>0</v>
      </c>
    </row>
    <row r="714" spans="3:17" x14ac:dyDescent="0.2">
      <c r="C714" s="153" t="s">
        <v>286</v>
      </c>
      <c r="D714" s="75">
        <f>+'[1]Budget 2025W'!K934</f>
        <v>0</v>
      </c>
      <c r="E714" s="75">
        <f>+'[1]Budget 2025W'!L934</f>
        <v>0</v>
      </c>
      <c r="F714" s="154">
        <f>+'[1]Budget 2025W'!M934</f>
        <v>0</v>
      </c>
      <c r="G714" s="154">
        <f>+'[1]Budget 2025W'!N934</f>
        <v>0</v>
      </c>
      <c r="H714" s="154">
        <f>+'[1]Budget 2025W'!O934</f>
        <v>0</v>
      </c>
      <c r="I714" s="154">
        <f>+'[1]Budget 2025W'!P934</f>
        <v>0</v>
      </c>
      <c r="J714" s="154">
        <f>+'[1]Budget 2025W'!Q934</f>
        <v>0</v>
      </c>
      <c r="K714" s="154">
        <f>+'[1]Budget 2025W'!R934</f>
        <v>0</v>
      </c>
      <c r="L714" s="154">
        <f>+'[1]Budget 2025W'!S934</f>
        <v>0</v>
      </c>
      <c r="M714" s="154">
        <f>+'[1]Budget 2025W'!T934</f>
        <v>0</v>
      </c>
      <c r="N714" s="154">
        <f>+'[1]Budget 2025W'!U934</f>
        <v>0</v>
      </c>
      <c r="O714" s="154">
        <f>+'[1]Budget 2025W'!V934</f>
        <v>0</v>
      </c>
      <c r="P714" s="131"/>
      <c r="Q714" s="156">
        <f t="shared" si="72"/>
        <v>0</v>
      </c>
    </row>
    <row r="715" spans="3:17" x14ac:dyDescent="0.2">
      <c r="C715" s="153" t="s">
        <v>139</v>
      </c>
      <c r="D715" s="75">
        <f>+'[1]Budget 2025W'!K935</f>
        <v>0</v>
      </c>
      <c r="E715" s="75">
        <f>+'[1]Budget 2025W'!L935</f>
        <v>0</v>
      </c>
      <c r="F715" s="154">
        <f>+'[1]Budget 2025W'!M935</f>
        <v>0</v>
      </c>
      <c r="G715" s="154">
        <f>+'[1]Budget 2025W'!N935</f>
        <v>0</v>
      </c>
      <c r="H715" s="154">
        <f>+'[1]Budget 2025W'!O935</f>
        <v>0</v>
      </c>
      <c r="I715" s="154">
        <f>+'[1]Budget 2025W'!P935</f>
        <v>0</v>
      </c>
      <c r="J715" s="154">
        <f>+'[1]Budget 2025W'!Q935</f>
        <v>0</v>
      </c>
      <c r="K715" s="154">
        <f>+'[1]Budget 2025W'!R935</f>
        <v>0</v>
      </c>
      <c r="L715" s="154">
        <f>+'[1]Budget 2025W'!S935</f>
        <v>0</v>
      </c>
      <c r="M715" s="154">
        <f>+'[1]Budget 2025W'!T935</f>
        <v>0</v>
      </c>
      <c r="N715" s="154">
        <f>+'[1]Budget 2025W'!U935</f>
        <v>700</v>
      </c>
      <c r="O715" s="154">
        <f>+'[1]Budget 2025W'!V935</f>
        <v>0</v>
      </c>
      <c r="P715" s="131"/>
      <c r="Q715" s="156">
        <f t="shared" si="72"/>
        <v>700</v>
      </c>
    </row>
    <row r="716" spans="3:17" x14ac:dyDescent="0.2">
      <c r="C716" s="153" t="s">
        <v>140</v>
      </c>
      <c r="D716" s="75">
        <f>+'[1]Budget 2025W'!K936</f>
        <v>0</v>
      </c>
      <c r="E716" s="75">
        <f>+'[1]Budget 2025W'!L936</f>
        <v>0</v>
      </c>
      <c r="F716" s="154">
        <f>+'[1]Budget 2025W'!M936</f>
        <v>0</v>
      </c>
      <c r="G716" s="154">
        <f>+'[1]Budget 2025W'!N936</f>
        <v>0</v>
      </c>
      <c r="H716" s="154">
        <f>+'[1]Budget 2025W'!O936</f>
        <v>0</v>
      </c>
      <c r="I716" s="154">
        <f>+'[1]Budget 2025W'!P936</f>
        <v>1560</v>
      </c>
      <c r="J716" s="154">
        <f>+'[1]Budget 2025W'!Q936</f>
        <v>1560</v>
      </c>
      <c r="K716" s="154">
        <f>+'[1]Budget 2025W'!R936</f>
        <v>1560</v>
      </c>
      <c r="L716" s="154">
        <f>+'[1]Budget 2025W'!S936</f>
        <v>1560</v>
      </c>
      <c r="M716" s="154">
        <f>+'[1]Budget 2025W'!T936</f>
        <v>1560</v>
      </c>
      <c r="N716" s="154">
        <f>+'[1]Budget 2025W'!U936</f>
        <v>1560</v>
      </c>
      <c r="O716" s="154">
        <f>+'[1]Budget 2025W'!V936</f>
        <v>1560</v>
      </c>
      <c r="P716" s="131"/>
      <c r="Q716" s="156">
        <f t="shared" si="72"/>
        <v>10920</v>
      </c>
    </row>
    <row r="717" spans="3:17" x14ac:dyDescent="0.2">
      <c r="C717" s="153" t="s">
        <v>141</v>
      </c>
      <c r="D717" s="75">
        <f>+'[1]Budget 2025W'!K937</f>
        <v>0</v>
      </c>
      <c r="E717" s="75">
        <f>+'[1]Budget 2025W'!L937</f>
        <v>0</v>
      </c>
      <c r="F717" s="154">
        <f>+'[1]Budget 2025W'!M937</f>
        <v>0</v>
      </c>
      <c r="G717" s="154">
        <f>+'[1]Budget 2025W'!N937</f>
        <v>0</v>
      </c>
      <c r="H717" s="154">
        <f>+'[1]Budget 2025W'!O937</f>
        <v>0</v>
      </c>
      <c r="I717" s="154">
        <f>+'[1]Budget 2025W'!P937</f>
        <v>975.6</v>
      </c>
      <c r="J717" s="154">
        <f>+'[1]Budget 2025W'!Q937</f>
        <v>975.6</v>
      </c>
      <c r="K717" s="154">
        <f>+'[1]Budget 2025W'!R937</f>
        <v>975.6</v>
      </c>
      <c r="L717" s="154">
        <f>+'[1]Budget 2025W'!S937</f>
        <v>975.6</v>
      </c>
      <c r="M717" s="154">
        <f>+'[1]Budget 2025W'!T937</f>
        <v>975.6</v>
      </c>
      <c r="N717" s="154">
        <f>+'[1]Budget 2025W'!U937</f>
        <v>975.6</v>
      </c>
      <c r="O717" s="154">
        <f>+'[1]Budget 2025W'!V937</f>
        <v>975.6</v>
      </c>
      <c r="P717" s="131"/>
      <c r="Q717" s="156">
        <f t="shared" si="72"/>
        <v>6829.2000000000007</v>
      </c>
    </row>
    <row r="718" spans="3:17" x14ac:dyDescent="0.2">
      <c r="C718" s="153" t="s">
        <v>142</v>
      </c>
      <c r="D718" s="75">
        <f>+'[1]Budget 2025W'!K938</f>
        <v>0</v>
      </c>
      <c r="E718" s="75">
        <f>+'[1]Budget 2025W'!L938</f>
        <v>0</v>
      </c>
      <c r="F718" s="154">
        <f>+'[1]Budget 2025W'!M938</f>
        <v>0</v>
      </c>
      <c r="G718" s="154">
        <f>+'[1]Budget 2025W'!N938</f>
        <v>0</v>
      </c>
      <c r="H718" s="154">
        <f>+'[1]Budget 2025W'!O938</f>
        <v>0</v>
      </c>
      <c r="I718" s="154">
        <f>+'[1]Budget 2025W'!P938</f>
        <v>0</v>
      </c>
      <c r="J718" s="154">
        <f>+'[1]Budget 2025W'!Q938</f>
        <v>700</v>
      </c>
      <c r="K718" s="154">
        <f>+'[1]Budget 2025W'!R938</f>
        <v>0</v>
      </c>
      <c r="L718" s="154">
        <f>+'[1]Budget 2025W'!S938</f>
        <v>0</v>
      </c>
      <c r="M718" s="154">
        <f>+'[1]Budget 2025W'!T938</f>
        <v>300</v>
      </c>
      <c r="N718" s="154">
        <f>+'[1]Budget 2025W'!U938</f>
        <v>0</v>
      </c>
      <c r="O718" s="154">
        <f>+'[1]Budget 2025W'!V938</f>
        <v>300</v>
      </c>
      <c r="P718" s="131"/>
      <c r="Q718" s="156">
        <f t="shared" si="72"/>
        <v>1300</v>
      </c>
    </row>
    <row r="719" spans="3:17" ht="15.75" thickBot="1" x14ac:dyDescent="0.25">
      <c r="C719" s="153" t="s">
        <v>143</v>
      </c>
      <c r="D719" s="75">
        <f>+'[1]Budget 2025W'!K939</f>
        <v>0</v>
      </c>
      <c r="E719" s="75">
        <f>+'[1]Budget 2025W'!L939</f>
        <v>0</v>
      </c>
      <c r="F719" s="154">
        <f>+'[1]Budget 2025W'!M939</f>
        <v>0</v>
      </c>
      <c r="G719" s="154">
        <f>+'[1]Budget 2025W'!N939</f>
        <v>0</v>
      </c>
      <c r="H719" s="154">
        <f>+'[1]Budget 2025W'!O939</f>
        <v>0</v>
      </c>
      <c r="I719" s="154">
        <f>+'[1]Budget 2025W'!P939</f>
        <v>0</v>
      </c>
      <c r="J719" s="154">
        <f>+'[1]Budget 2025W'!Q939</f>
        <v>0</v>
      </c>
      <c r="K719" s="154">
        <f>+'[1]Budget 2025W'!R939</f>
        <v>0</v>
      </c>
      <c r="L719" s="154">
        <f>+'[1]Budget 2025W'!S939</f>
        <v>0</v>
      </c>
      <c r="M719" s="154">
        <f>+'[1]Budget 2025W'!T939</f>
        <v>0</v>
      </c>
      <c r="N719" s="154">
        <f>+'[1]Budget 2025W'!U939</f>
        <v>0</v>
      </c>
      <c r="O719" s="154">
        <f>+'[1]Budget 2025W'!V939</f>
        <v>0</v>
      </c>
      <c r="P719" s="131"/>
      <c r="Q719" s="156">
        <f t="shared" si="72"/>
        <v>0</v>
      </c>
    </row>
    <row r="720" spans="3:17" ht="17.25" thickTop="1" thickBot="1" x14ac:dyDescent="0.3">
      <c r="C720" s="162" t="s">
        <v>144</v>
      </c>
      <c r="D720" s="163">
        <f>+'[1]Budget 2025W'!K943</f>
        <v>0</v>
      </c>
      <c r="E720" s="163">
        <f>+'[1]Budget 2025W'!L943</f>
        <v>0</v>
      </c>
      <c r="F720" s="163">
        <f>+'[1]Budget 2025W'!M943</f>
        <v>0</v>
      </c>
      <c r="G720" s="163">
        <f>+'[1]Budget 2025W'!N943</f>
        <v>0</v>
      </c>
      <c r="H720" s="163">
        <f>+'[1]Budget 2025W'!O943</f>
        <v>0</v>
      </c>
      <c r="I720" s="163">
        <f>+'[1]Budget 2025W'!P943</f>
        <v>9967.9217823003401</v>
      </c>
      <c r="J720" s="163">
        <f>+'[1]Budget 2025W'!Q943</f>
        <v>8489.5386301264261</v>
      </c>
      <c r="K720" s="163">
        <f>+'[1]Budget 2025W'!R943</f>
        <v>8789.5386301264261</v>
      </c>
      <c r="L720" s="163">
        <f>+'[1]Budget 2025W'!S943</f>
        <v>6723.6636301264271</v>
      </c>
      <c r="M720" s="163">
        <f>+'[1]Budget 2025W'!T943</f>
        <v>7856.8511301264271</v>
      </c>
      <c r="N720" s="163">
        <f>+'[1]Budget 2025W'!U943</f>
        <v>8258.1936301264268</v>
      </c>
      <c r="O720" s="163">
        <f>+'[1]Budget 2025W'!V943</f>
        <v>9877.7686301264275</v>
      </c>
      <c r="P720" s="131"/>
      <c r="Q720" s="207">
        <f t="shared" si="72"/>
        <v>59963.476063058901</v>
      </c>
    </row>
    <row r="721" spans="2:17" ht="17.25" thickTop="1" thickBot="1" x14ac:dyDescent="0.3">
      <c r="B721" s="141"/>
      <c r="C721" s="215" t="s">
        <v>287</v>
      </c>
      <c r="D721" s="216">
        <f t="shared" ref="D721:O721" si="73">D683+D720</f>
        <v>0</v>
      </c>
      <c r="E721" s="216">
        <f t="shared" si="73"/>
        <v>0</v>
      </c>
      <c r="F721" s="217">
        <f t="shared" si="73"/>
        <v>0</v>
      </c>
      <c r="G721" s="217">
        <f t="shared" si="73"/>
        <v>0</v>
      </c>
      <c r="H721" s="217">
        <f t="shared" si="73"/>
        <v>0</v>
      </c>
      <c r="I721" s="217">
        <f t="shared" si="73"/>
        <v>13514.752519763468</v>
      </c>
      <c r="J721" s="217">
        <f t="shared" si="73"/>
        <v>12154.982822420523</v>
      </c>
      <c r="K721" s="217">
        <f t="shared" si="73"/>
        <v>12692.223402130669</v>
      </c>
      <c r="L721" s="217">
        <f t="shared" si="73"/>
        <v>10389.107822420523</v>
      </c>
      <c r="M721" s="217">
        <f t="shared" si="73"/>
        <v>11403.67503256545</v>
      </c>
      <c r="N721" s="217">
        <f t="shared" si="73"/>
        <v>11805.017532565451</v>
      </c>
      <c r="O721" s="217">
        <f t="shared" si="73"/>
        <v>13661.833112275597</v>
      </c>
      <c r="P721" s="131"/>
      <c r="Q721" s="183">
        <f t="shared" si="72"/>
        <v>85621.592244141677</v>
      </c>
    </row>
    <row r="722" spans="2:17" ht="17.25" thickTop="1" thickBot="1" x14ac:dyDescent="0.3">
      <c r="B722" s="141"/>
      <c r="C722" s="142" t="s">
        <v>288</v>
      </c>
      <c r="D722" s="143"/>
      <c r="E722" s="144"/>
      <c r="F722" s="145"/>
      <c r="G722" s="145"/>
      <c r="H722" s="146"/>
      <c r="I722" s="146"/>
      <c r="J722" s="146"/>
      <c r="K722" s="146"/>
      <c r="L722" s="146"/>
      <c r="M722" s="146"/>
      <c r="N722" s="146"/>
      <c r="O722" s="146"/>
      <c r="P722" s="129"/>
      <c r="Q722" s="145"/>
    </row>
    <row r="723" spans="2:17" ht="15.75" hidden="1" x14ac:dyDescent="0.25">
      <c r="C723" s="157" t="s">
        <v>97</v>
      </c>
      <c r="D723" s="158"/>
      <c r="E723" s="158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31"/>
      <c r="Q723" s="161"/>
    </row>
    <row r="724" spans="2:17" hidden="1" x14ac:dyDescent="0.2">
      <c r="C724" s="153" t="s">
        <v>98</v>
      </c>
      <c r="D724" s="75">
        <f>+'[1]Budget 2025W'!K950</f>
        <v>0</v>
      </c>
      <c r="E724" s="75">
        <f>+'[1]Budget 2025W'!L950</f>
        <v>0</v>
      </c>
      <c r="F724" s="154">
        <f>+'[1]Budget 2025W'!M950</f>
        <v>0</v>
      </c>
      <c r="G724" s="154">
        <f>+'[1]Budget 2025W'!N950</f>
        <v>0</v>
      </c>
      <c r="H724" s="154">
        <f>+'[1]Budget 2025W'!O950</f>
        <v>0</v>
      </c>
      <c r="I724" s="154">
        <f>+'[1]Budget 2025W'!P950</f>
        <v>0</v>
      </c>
      <c r="J724" s="154">
        <f>+'[1]Budget 2025W'!Q950</f>
        <v>0</v>
      </c>
      <c r="K724" s="154">
        <f>+'[1]Budget 2025W'!R950</f>
        <v>0</v>
      </c>
      <c r="L724" s="154">
        <f>+'[1]Budget 2025W'!S950</f>
        <v>0</v>
      </c>
      <c r="M724" s="154">
        <f>+'[1]Budget 2025W'!T950</f>
        <v>0</v>
      </c>
      <c r="N724" s="154">
        <f>+'[1]Budget 2025W'!U950</f>
        <v>0</v>
      </c>
      <c r="O724" s="154">
        <f>+'[1]Budget 2025W'!V950</f>
        <v>0</v>
      </c>
      <c r="P724" s="131"/>
      <c r="Q724" s="156">
        <f t="shared" ref="Q724:Q740" si="74">SUM(D724:O724)</f>
        <v>0</v>
      </c>
    </row>
    <row r="725" spans="2:17" hidden="1" x14ac:dyDescent="0.2">
      <c r="C725" s="153" t="s">
        <v>99</v>
      </c>
      <c r="D725" s="75">
        <f>+'[1]Budget 2025W'!K951</f>
        <v>0</v>
      </c>
      <c r="E725" s="75">
        <f>+'[1]Budget 2025W'!L951</f>
        <v>0</v>
      </c>
      <c r="F725" s="154">
        <f>+'[1]Budget 2025W'!M951</f>
        <v>0</v>
      </c>
      <c r="G725" s="154">
        <f>+'[1]Budget 2025W'!N951</f>
        <v>0</v>
      </c>
      <c r="H725" s="154">
        <f>+'[1]Budget 2025W'!O951</f>
        <v>0</v>
      </c>
      <c r="I725" s="154">
        <f>+'[1]Budget 2025W'!P951</f>
        <v>0</v>
      </c>
      <c r="J725" s="154">
        <f>+'[1]Budget 2025W'!Q951</f>
        <v>0</v>
      </c>
      <c r="K725" s="154">
        <f>+'[1]Budget 2025W'!R951</f>
        <v>0</v>
      </c>
      <c r="L725" s="154">
        <f>+'[1]Budget 2025W'!S951</f>
        <v>0</v>
      </c>
      <c r="M725" s="154">
        <f>+'[1]Budget 2025W'!T951</f>
        <v>0</v>
      </c>
      <c r="N725" s="154">
        <f>+'[1]Budget 2025W'!U951</f>
        <v>0</v>
      </c>
      <c r="O725" s="154">
        <f>+'[1]Budget 2025W'!V951</f>
        <v>0</v>
      </c>
      <c r="P725" s="131"/>
      <c r="Q725" s="156">
        <f t="shared" si="74"/>
        <v>0</v>
      </c>
    </row>
    <row r="726" spans="2:17" hidden="1" x14ac:dyDescent="0.2">
      <c r="C726" s="153" t="s">
        <v>100</v>
      </c>
      <c r="D726" s="75">
        <f>+'[1]Budget 2025W'!K952</f>
        <v>0</v>
      </c>
      <c r="E726" s="75">
        <f>+'[1]Budget 2025W'!L952</f>
        <v>0</v>
      </c>
      <c r="F726" s="154">
        <f>+'[1]Budget 2025W'!M952</f>
        <v>0</v>
      </c>
      <c r="G726" s="154">
        <f>+'[1]Budget 2025W'!N952</f>
        <v>0</v>
      </c>
      <c r="H726" s="154">
        <f>+'[1]Budget 2025W'!O952</f>
        <v>0</v>
      </c>
      <c r="I726" s="154">
        <f>+'[1]Budget 2025W'!P952</f>
        <v>0</v>
      </c>
      <c r="J726" s="154">
        <f>+'[1]Budget 2025W'!Q952</f>
        <v>0</v>
      </c>
      <c r="K726" s="154">
        <f>+'[1]Budget 2025W'!R952</f>
        <v>0</v>
      </c>
      <c r="L726" s="154">
        <f>+'[1]Budget 2025W'!S952</f>
        <v>0</v>
      </c>
      <c r="M726" s="154">
        <f>+'[1]Budget 2025W'!T952</f>
        <v>0</v>
      </c>
      <c r="N726" s="154">
        <f>+'[1]Budget 2025W'!U952</f>
        <v>0</v>
      </c>
      <c r="O726" s="154">
        <f>+'[1]Budget 2025W'!V952</f>
        <v>0</v>
      </c>
      <c r="P726" s="131"/>
      <c r="Q726" s="156">
        <f t="shared" si="74"/>
        <v>0</v>
      </c>
    </row>
    <row r="727" spans="2:17" hidden="1" x14ac:dyDescent="0.2">
      <c r="C727" s="153" t="s">
        <v>101</v>
      </c>
      <c r="D727" s="75">
        <f>+'[1]Budget 2025W'!K953</f>
        <v>0</v>
      </c>
      <c r="E727" s="75">
        <f>+'[1]Budget 2025W'!L953</f>
        <v>0</v>
      </c>
      <c r="F727" s="154">
        <f>+'[1]Budget 2025W'!M953</f>
        <v>0</v>
      </c>
      <c r="G727" s="154">
        <f>+'[1]Budget 2025W'!N953</f>
        <v>0</v>
      </c>
      <c r="H727" s="154">
        <f>+'[1]Budget 2025W'!O953</f>
        <v>0</v>
      </c>
      <c r="I727" s="154">
        <f>+'[1]Budget 2025W'!P953</f>
        <v>0</v>
      </c>
      <c r="J727" s="154">
        <f>+'[1]Budget 2025W'!Q953</f>
        <v>0</v>
      </c>
      <c r="K727" s="154">
        <f>+'[1]Budget 2025W'!R953</f>
        <v>0</v>
      </c>
      <c r="L727" s="154">
        <f>+'[1]Budget 2025W'!S953</f>
        <v>0</v>
      </c>
      <c r="M727" s="154">
        <f>+'[1]Budget 2025W'!T953</f>
        <v>0</v>
      </c>
      <c r="N727" s="154">
        <f>+'[1]Budget 2025W'!U953</f>
        <v>0</v>
      </c>
      <c r="O727" s="154">
        <f>+'[1]Budget 2025W'!V953</f>
        <v>0</v>
      </c>
      <c r="P727" s="131"/>
      <c r="Q727" s="156">
        <f t="shared" si="74"/>
        <v>0</v>
      </c>
    </row>
    <row r="728" spans="2:17" hidden="1" x14ac:dyDescent="0.2">
      <c r="C728" s="153" t="s">
        <v>102</v>
      </c>
      <c r="D728" s="75">
        <f>+'[1]Budget 2025W'!K954</f>
        <v>0</v>
      </c>
      <c r="E728" s="75">
        <f>+'[1]Budget 2025W'!L954</f>
        <v>0</v>
      </c>
      <c r="F728" s="154">
        <f>+'[1]Budget 2025W'!M954</f>
        <v>0</v>
      </c>
      <c r="G728" s="154">
        <f>+'[1]Budget 2025W'!N954</f>
        <v>0</v>
      </c>
      <c r="H728" s="154">
        <f>+'[1]Budget 2025W'!O954</f>
        <v>0</v>
      </c>
      <c r="I728" s="154">
        <f>+'[1]Budget 2025W'!P954</f>
        <v>0</v>
      </c>
      <c r="J728" s="154">
        <f>+'[1]Budget 2025W'!Q954</f>
        <v>0</v>
      </c>
      <c r="K728" s="154">
        <f>+'[1]Budget 2025W'!R954</f>
        <v>0</v>
      </c>
      <c r="L728" s="154">
        <f>+'[1]Budget 2025W'!S954</f>
        <v>0</v>
      </c>
      <c r="M728" s="154">
        <f>+'[1]Budget 2025W'!T954</f>
        <v>0</v>
      </c>
      <c r="N728" s="154">
        <f>+'[1]Budget 2025W'!U954</f>
        <v>0</v>
      </c>
      <c r="O728" s="154">
        <f>+'[1]Budget 2025W'!V954</f>
        <v>0</v>
      </c>
      <c r="P728" s="131"/>
      <c r="Q728" s="156">
        <f t="shared" si="74"/>
        <v>0</v>
      </c>
    </row>
    <row r="729" spans="2:17" hidden="1" x14ac:dyDescent="0.2">
      <c r="C729" s="153" t="s">
        <v>103</v>
      </c>
      <c r="D729" s="75">
        <f>+'[1]Budget 2025W'!K955</f>
        <v>0</v>
      </c>
      <c r="E729" s="75">
        <f>+'[1]Budget 2025W'!L955</f>
        <v>0</v>
      </c>
      <c r="F729" s="154">
        <f>+'[1]Budget 2025W'!M955</f>
        <v>0</v>
      </c>
      <c r="G729" s="154">
        <f>+'[1]Budget 2025W'!N955</f>
        <v>0</v>
      </c>
      <c r="H729" s="154">
        <f>+'[1]Budget 2025W'!O955</f>
        <v>0</v>
      </c>
      <c r="I729" s="154">
        <f>+'[1]Budget 2025W'!P955</f>
        <v>0</v>
      </c>
      <c r="J729" s="154">
        <f>+'[1]Budget 2025W'!Q955</f>
        <v>0</v>
      </c>
      <c r="K729" s="154">
        <f>+'[1]Budget 2025W'!R955</f>
        <v>0</v>
      </c>
      <c r="L729" s="154">
        <f>+'[1]Budget 2025W'!S955</f>
        <v>0</v>
      </c>
      <c r="M729" s="154">
        <f>+'[1]Budget 2025W'!T955</f>
        <v>0</v>
      </c>
      <c r="N729" s="154">
        <f>+'[1]Budget 2025W'!U955</f>
        <v>0</v>
      </c>
      <c r="O729" s="154">
        <f>+'[1]Budget 2025W'!V955</f>
        <v>0</v>
      </c>
      <c r="P729" s="131"/>
      <c r="Q729" s="156">
        <f t="shared" si="74"/>
        <v>0</v>
      </c>
    </row>
    <row r="730" spans="2:17" hidden="1" x14ac:dyDescent="0.2">
      <c r="C730" s="153" t="s">
        <v>104</v>
      </c>
      <c r="D730" s="75">
        <f>+'[1]Budget 2025W'!K956</f>
        <v>0</v>
      </c>
      <c r="E730" s="75">
        <f>+'[1]Budget 2025W'!L956</f>
        <v>0</v>
      </c>
      <c r="F730" s="154">
        <f>+'[1]Budget 2025W'!M956</f>
        <v>0</v>
      </c>
      <c r="G730" s="154">
        <f>+'[1]Budget 2025W'!N956</f>
        <v>0</v>
      </c>
      <c r="H730" s="154">
        <f>+'[1]Budget 2025W'!O956</f>
        <v>0</v>
      </c>
      <c r="I730" s="154">
        <f>+'[1]Budget 2025W'!P956</f>
        <v>0</v>
      </c>
      <c r="J730" s="154">
        <f>+'[1]Budget 2025W'!Q956</f>
        <v>0</v>
      </c>
      <c r="K730" s="154">
        <f>+'[1]Budget 2025W'!R956</f>
        <v>0</v>
      </c>
      <c r="L730" s="154">
        <f>+'[1]Budget 2025W'!S956</f>
        <v>0</v>
      </c>
      <c r="M730" s="154">
        <f>+'[1]Budget 2025W'!T956</f>
        <v>0</v>
      </c>
      <c r="N730" s="154">
        <f>+'[1]Budget 2025W'!U956</f>
        <v>0</v>
      </c>
      <c r="O730" s="154">
        <f>+'[1]Budget 2025W'!V956</f>
        <v>0</v>
      </c>
      <c r="P730" s="131"/>
      <c r="Q730" s="156">
        <f t="shared" si="74"/>
        <v>0</v>
      </c>
    </row>
    <row r="731" spans="2:17" hidden="1" x14ac:dyDescent="0.2">
      <c r="C731" s="153" t="s">
        <v>105</v>
      </c>
      <c r="D731" s="75">
        <f>+'[1]Budget 2025W'!K957</f>
        <v>0</v>
      </c>
      <c r="E731" s="75">
        <f>+'[1]Budget 2025W'!L957</f>
        <v>0</v>
      </c>
      <c r="F731" s="154">
        <f>+'[1]Budget 2025W'!M957</f>
        <v>0</v>
      </c>
      <c r="G731" s="154">
        <f>+'[1]Budget 2025W'!N957</f>
        <v>0</v>
      </c>
      <c r="H731" s="154">
        <f>+'[1]Budget 2025W'!O957</f>
        <v>0</v>
      </c>
      <c r="I731" s="154">
        <f>+'[1]Budget 2025W'!P957</f>
        <v>0</v>
      </c>
      <c r="J731" s="154">
        <f>+'[1]Budget 2025W'!Q957</f>
        <v>0</v>
      </c>
      <c r="K731" s="154">
        <f>+'[1]Budget 2025W'!R957</f>
        <v>0</v>
      </c>
      <c r="L731" s="154">
        <f>+'[1]Budget 2025W'!S957</f>
        <v>0</v>
      </c>
      <c r="M731" s="154">
        <f>+'[1]Budget 2025W'!T957</f>
        <v>0</v>
      </c>
      <c r="N731" s="154">
        <f>+'[1]Budget 2025W'!U957</f>
        <v>0</v>
      </c>
      <c r="O731" s="154">
        <f>+'[1]Budget 2025W'!V957</f>
        <v>0</v>
      </c>
      <c r="P731" s="131"/>
      <c r="Q731" s="156">
        <f t="shared" si="74"/>
        <v>0</v>
      </c>
    </row>
    <row r="732" spans="2:17" hidden="1" x14ac:dyDescent="0.2">
      <c r="C732" s="153" t="s">
        <v>106</v>
      </c>
      <c r="D732" s="75">
        <f>+'[1]Budget 2025W'!K958</f>
        <v>0</v>
      </c>
      <c r="E732" s="75">
        <f>+'[1]Budget 2025W'!L958</f>
        <v>0</v>
      </c>
      <c r="F732" s="154">
        <f>+'[1]Budget 2025W'!M958</f>
        <v>0</v>
      </c>
      <c r="G732" s="154">
        <f>+'[1]Budget 2025W'!N958</f>
        <v>0</v>
      </c>
      <c r="H732" s="154">
        <f>+'[1]Budget 2025W'!O958</f>
        <v>0</v>
      </c>
      <c r="I732" s="154">
        <f>+'[1]Budget 2025W'!P958</f>
        <v>0</v>
      </c>
      <c r="J732" s="154">
        <f>+'[1]Budget 2025W'!Q958</f>
        <v>0</v>
      </c>
      <c r="K732" s="154">
        <f>+'[1]Budget 2025W'!R958</f>
        <v>0</v>
      </c>
      <c r="L732" s="154">
        <f>+'[1]Budget 2025W'!S958</f>
        <v>0</v>
      </c>
      <c r="M732" s="154">
        <f>+'[1]Budget 2025W'!T958</f>
        <v>0</v>
      </c>
      <c r="N732" s="154">
        <f>+'[1]Budget 2025W'!U958</f>
        <v>0</v>
      </c>
      <c r="O732" s="154">
        <f>+'[1]Budget 2025W'!V958</f>
        <v>0</v>
      </c>
      <c r="P732" s="131"/>
      <c r="Q732" s="156">
        <f t="shared" si="74"/>
        <v>0</v>
      </c>
    </row>
    <row r="733" spans="2:17" hidden="1" x14ac:dyDescent="0.2">
      <c r="C733" s="153" t="s">
        <v>107</v>
      </c>
      <c r="D733" s="75">
        <f>+'[1]Budget 2025W'!K959</f>
        <v>0</v>
      </c>
      <c r="E733" s="75">
        <f>+'[1]Budget 2025W'!L959</f>
        <v>0</v>
      </c>
      <c r="F733" s="154">
        <f>+'[1]Budget 2025W'!M959</f>
        <v>0</v>
      </c>
      <c r="G733" s="154">
        <f>+'[1]Budget 2025W'!N959</f>
        <v>0</v>
      </c>
      <c r="H733" s="154">
        <f>+'[1]Budget 2025W'!O959</f>
        <v>0</v>
      </c>
      <c r="I733" s="154">
        <f>+'[1]Budget 2025W'!P959</f>
        <v>0</v>
      </c>
      <c r="J733" s="154">
        <f>+'[1]Budget 2025W'!Q959</f>
        <v>0</v>
      </c>
      <c r="K733" s="154">
        <f>+'[1]Budget 2025W'!R959</f>
        <v>0</v>
      </c>
      <c r="L733" s="154">
        <f>+'[1]Budget 2025W'!S959</f>
        <v>0</v>
      </c>
      <c r="M733" s="154">
        <f>+'[1]Budget 2025W'!T959</f>
        <v>0</v>
      </c>
      <c r="N733" s="154">
        <f>+'[1]Budget 2025W'!U959</f>
        <v>0</v>
      </c>
      <c r="O733" s="154">
        <f>+'[1]Budget 2025W'!V959</f>
        <v>0</v>
      </c>
      <c r="P733" s="131"/>
      <c r="Q733" s="156">
        <f t="shared" si="74"/>
        <v>0</v>
      </c>
    </row>
    <row r="734" spans="2:17" hidden="1" x14ac:dyDescent="0.2">
      <c r="C734" s="153" t="s">
        <v>108</v>
      </c>
      <c r="D734" s="75">
        <f>+'[1]Budget 2025W'!K960</f>
        <v>0</v>
      </c>
      <c r="E734" s="75">
        <f>+'[1]Budget 2025W'!L960</f>
        <v>0</v>
      </c>
      <c r="F734" s="154">
        <f>+'[1]Budget 2025W'!M960</f>
        <v>0</v>
      </c>
      <c r="G734" s="154">
        <f>+'[1]Budget 2025W'!N960</f>
        <v>0</v>
      </c>
      <c r="H734" s="154">
        <f>+'[1]Budget 2025W'!O960</f>
        <v>0</v>
      </c>
      <c r="I734" s="154">
        <f>+'[1]Budget 2025W'!P960</f>
        <v>0</v>
      </c>
      <c r="J734" s="154">
        <f>+'[1]Budget 2025W'!Q960</f>
        <v>0</v>
      </c>
      <c r="K734" s="154">
        <f>+'[1]Budget 2025W'!R960</f>
        <v>0</v>
      </c>
      <c r="L734" s="154">
        <f>+'[1]Budget 2025W'!S960</f>
        <v>0</v>
      </c>
      <c r="M734" s="154">
        <f>+'[1]Budget 2025W'!T960</f>
        <v>0</v>
      </c>
      <c r="N734" s="154">
        <f>+'[1]Budget 2025W'!U960</f>
        <v>0</v>
      </c>
      <c r="O734" s="154">
        <f>+'[1]Budget 2025W'!V960</f>
        <v>0</v>
      </c>
      <c r="P734" s="131"/>
      <c r="Q734" s="156">
        <f t="shared" si="74"/>
        <v>0</v>
      </c>
    </row>
    <row r="735" spans="2:17" hidden="1" x14ac:dyDescent="0.2">
      <c r="C735" s="153" t="s">
        <v>109</v>
      </c>
      <c r="D735" s="75">
        <f>+'[1]Budget 2025W'!K961</f>
        <v>0</v>
      </c>
      <c r="E735" s="75">
        <f>+'[1]Budget 2025W'!L961</f>
        <v>0</v>
      </c>
      <c r="F735" s="154">
        <f>+'[1]Budget 2025W'!M961</f>
        <v>0</v>
      </c>
      <c r="G735" s="154">
        <f>+'[1]Budget 2025W'!N961</f>
        <v>0</v>
      </c>
      <c r="H735" s="154">
        <f>+'[1]Budget 2025W'!O961</f>
        <v>0</v>
      </c>
      <c r="I735" s="154">
        <f>+'[1]Budget 2025W'!P961</f>
        <v>0</v>
      </c>
      <c r="J735" s="154">
        <f>+'[1]Budget 2025W'!Q961</f>
        <v>0</v>
      </c>
      <c r="K735" s="154">
        <f>+'[1]Budget 2025W'!R961</f>
        <v>0</v>
      </c>
      <c r="L735" s="154">
        <f>+'[1]Budget 2025W'!S961</f>
        <v>0</v>
      </c>
      <c r="M735" s="154">
        <f>+'[1]Budget 2025W'!T961</f>
        <v>0</v>
      </c>
      <c r="N735" s="154">
        <f>+'[1]Budget 2025W'!U961</f>
        <v>0</v>
      </c>
      <c r="O735" s="154">
        <f>+'[1]Budget 2025W'!V961</f>
        <v>0</v>
      </c>
      <c r="P735" s="131"/>
      <c r="Q735" s="156">
        <f t="shared" si="74"/>
        <v>0</v>
      </c>
    </row>
    <row r="736" spans="2:17" hidden="1" x14ac:dyDescent="0.2">
      <c r="C736" s="153" t="s">
        <v>110</v>
      </c>
      <c r="D736" s="75">
        <f>+'[1]Budget 2025W'!K962</f>
        <v>0</v>
      </c>
      <c r="E736" s="75">
        <f>+'[1]Budget 2025W'!L962</f>
        <v>0</v>
      </c>
      <c r="F736" s="154">
        <f>+'[1]Budget 2025W'!M962</f>
        <v>0</v>
      </c>
      <c r="G736" s="154">
        <f>+'[1]Budget 2025W'!N962</f>
        <v>0</v>
      </c>
      <c r="H736" s="154">
        <f>+'[1]Budget 2025W'!O962</f>
        <v>0</v>
      </c>
      <c r="I736" s="154">
        <f>+'[1]Budget 2025W'!P962</f>
        <v>0</v>
      </c>
      <c r="J736" s="154">
        <f>+'[1]Budget 2025W'!Q962</f>
        <v>0</v>
      </c>
      <c r="K736" s="154">
        <f>+'[1]Budget 2025W'!R962</f>
        <v>0</v>
      </c>
      <c r="L736" s="154">
        <f>+'[1]Budget 2025W'!S962</f>
        <v>0</v>
      </c>
      <c r="M736" s="154">
        <f>+'[1]Budget 2025W'!T962</f>
        <v>0</v>
      </c>
      <c r="N736" s="154">
        <f>+'[1]Budget 2025W'!U962</f>
        <v>0</v>
      </c>
      <c r="O736" s="154">
        <f>+'[1]Budget 2025W'!V962</f>
        <v>0</v>
      </c>
      <c r="P736" s="131"/>
      <c r="Q736" s="156">
        <f t="shared" si="74"/>
        <v>0</v>
      </c>
    </row>
    <row r="737" spans="3:17" hidden="1" x14ac:dyDescent="0.2">
      <c r="C737" s="153" t="s">
        <v>111</v>
      </c>
      <c r="D737" s="75">
        <f>+'[1]Budget 2025W'!K963</f>
        <v>0</v>
      </c>
      <c r="E737" s="75">
        <f>+'[1]Budget 2025W'!L963</f>
        <v>0</v>
      </c>
      <c r="F737" s="154">
        <f>+'[1]Budget 2025W'!M963</f>
        <v>0</v>
      </c>
      <c r="G737" s="154">
        <f>+'[1]Budget 2025W'!N963</f>
        <v>0</v>
      </c>
      <c r="H737" s="154">
        <f>+'[1]Budget 2025W'!O963</f>
        <v>0</v>
      </c>
      <c r="I737" s="154">
        <f>+'[1]Budget 2025W'!P963</f>
        <v>0</v>
      </c>
      <c r="J737" s="154">
        <f>+'[1]Budget 2025W'!Q963</f>
        <v>0</v>
      </c>
      <c r="K737" s="154">
        <f>+'[1]Budget 2025W'!R963</f>
        <v>0</v>
      </c>
      <c r="L737" s="154">
        <f>+'[1]Budget 2025W'!S963</f>
        <v>0</v>
      </c>
      <c r="M737" s="154">
        <f>+'[1]Budget 2025W'!T963</f>
        <v>0</v>
      </c>
      <c r="N737" s="154">
        <f>+'[1]Budget 2025W'!U963</f>
        <v>0</v>
      </c>
      <c r="O737" s="154">
        <f>+'[1]Budget 2025W'!V963</f>
        <v>0</v>
      </c>
      <c r="P737" s="131"/>
      <c r="Q737" s="156">
        <f t="shared" si="74"/>
        <v>0</v>
      </c>
    </row>
    <row r="738" spans="3:17" hidden="1" x14ac:dyDescent="0.2">
      <c r="C738" s="153" t="s">
        <v>112</v>
      </c>
      <c r="D738" s="75">
        <f>+'[1]Budget 2025W'!K964</f>
        <v>0</v>
      </c>
      <c r="E738" s="75">
        <f>+'[1]Budget 2025W'!L964</f>
        <v>0</v>
      </c>
      <c r="F738" s="154">
        <f>+'[1]Budget 2025W'!M964</f>
        <v>0</v>
      </c>
      <c r="G738" s="154">
        <f>+'[1]Budget 2025W'!N964</f>
        <v>0</v>
      </c>
      <c r="H738" s="154">
        <f>+'[1]Budget 2025W'!O964</f>
        <v>0</v>
      </c>
      <c r="I738" s="154">
        <f>+'[1]Budget 2025W'!P964</f>
        <v>0</v>
      </c>
      <c r="J738" s="154">
        <f>+'[1]Budget 2025W'!Q964</f>
        <v>0</v>
      </c>
      <c r="K738" s="154">
        <f>+'[1]Budget 2025W'!R964</f>
        <v>0</v>
      </c>
      <c r="L738" s="154">
        <f>+'[1]Budget 2025W'!S964</f>
        <v>0</v>
      </c>
      <c r="M738" s="154">
        <f>+'[1]Budget 2025W'!T964</f>
        <v>0</v>
      </c>
      <c r="N738" s="154">
        <f>+'[1]Budget 2025W'!U964</f>
        <v>0</v>
      </c>
      <c r="O738" s="154">
        <f>+'[1]Budget 2025W'!V964</f>
        <v>0</v>
      </c>
      <c r="P738" s="131"/>
      <c r="Q738" s="156">
        <f t="shared" si="74"/>
        <v>0</v>
      </c>
    </row>
    <row r="739" spans="3:17" hidden="1" x14ac:dyDescent="0.2">
      <c r="C739" s="153" t="s">
        <v>113</v>
      </c>
      <c r="D739" s="75">
        <f>+'[1]Budget 2025W'!K965</f>
        <v>0</v>
      </c>
      <c r="E739" s="75">
        <f>+'[1]Budget 2025W'!L965</f>
        <v>0</v>
      </c>
      <c r="F739" s="154">
        <f>+'[1]Budget 2025W'!M965</f>
        <v>0</v>
      </c>
      <c r="G739" s="154">
        <f>+'[1]Budget 2025W'!N965</f>
        <v>0</v>
      </c>
      <c r="H739" s="154">
        <f>+'[1]Budget 2025W'!O965</f>
        <v>0</v>
      </c>
      <c r="I739" s="154">
        <f>+'[1]Budget 2025W'!P965</f>
        <v>0</v>
      </c>
      <c r="J739" s="154">
        <f>+'[1]Budget 2025W'!Q965</f>
        <v>0</v>
      </c>
      <c r="K739" s="154">
        <f>+'[1]Budget 2025W'!R965</f>
        <v>0</v>
      </c>
      <c r="L739" s="154">
        <f>+'[1]Budget 2025W'!S965</f>
        <v>0</v>
      </c>
      <c r="M739" s="154">
        <f>+'[1]Budget 2025W'!T965</f>
        <v>0</v>
      </c>
      <c r="N739" s="154">
        <f>+'[1]Budget 2025W'!U965</f>
        <v>0</v>
      </c>
      <c r="O739" s="154">
        <f>+'[1]Budget 2025W'!V965</f>
        <v>0</v>
      </c>
      <c r="P739" s="131"/>
      <c r="Q739" s="156">
        <f t="shared" si="74"/>
        <v>0</v>
      </c>
    </row>
    <row r="740" spans="3:17" ht="17.25" hidden="1" thickTop="1" thickBot="1" x14ac:dyDescent="0.3">
      <c r="C740" s="162" t="s">
        <v>114</v>
      </c>
      <c r="D740" s="163">
        <f>+'[1]Budget 2025W'!K969</f>
        <v>0</v>
      </c>
      <c r="E740" s="163">
        <f>+'[1]Budget 2025W'!L969</f>
        <v>0</v>
      </c>
      <c r="F740" s="163">
        <f>+'[1]Budget 2025W'!M969</f>
        <v>0</v>
      </c>
      <c r="G740" s="163">
        <f>+'[1]Budget 2025W'!N969</f>
        <v>0</v>
      </c>
      <c r="H740" s="163">
        <f>+'[1]Budget 2025W'!O969</f>
        <v>0</v>
      </c>
      <c r="I740" s="163">
        <f>+'[1]Budget 2025W'!P969</f>
        <v>0</v>
      </c>
      <c r="J740" s="163">
        <f>+'[1]Budget 2025W'!Q969</f>
        <v>0</v>
      </c>
      <c r="K740" s="163">
        <f>+'[1]Budget 2025W'!R969</f>
        <v>0</v>
      </c>
      <c r="L740" s="163">
        <f>+'[1]Budget 2025W'!S969</f>
        <v>0</v>
      </c>
      <c r="M740" s="163">
        <f>+'[1]Budget 2025W'!T969</f>
        <v>0</v>
      </c>
      <c r="N740" s="163">
        <f>+'[1]Budget 2025W'!U969</f>
        <v>0</v>
      </c>
      <c r="O740" s="163">
        <f>+'[1]Budget 2025W'!V969</f>
        <v>0</v>
      </c>
      <c r="P740" s="131"/>
      <c r="Q740" s="207">
        <f t="shared" si="74"/>
        <v>0</v>
      </c>
    </row>
    <row r="741" spans="3:17" ht="15.75" x14ac:dyDescent="0.25">
      <c r="C741" s="195" t="s">
        <v>44</v>
      </c>
      <c r="D741" s="196"/>
      <c r="E741" s="196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31"/>
      <c r="Q741" s="161"/>
    </row>
    <row r="742" spans="3:17" x14ac:dyDescent="0.2">
      <c r="C742" s="153" t="s">
        <v>289</v>
      </c>
      <c r="D742" s="75">
        <f>+'[1]Budget 2025W'!K972</f>
        <v>0</v>
      </c>
      <c r="E742" s="75">
        <f>+'[1]Budget 2025W'!L972</f>
        <v>0</v>
      </c>
      <c r="F742" s="154">
        <f>+'[1]Budget 2025W'!M972</f>
        <v>0</v>
      </c>
      <c r="G742" s="154">
        <f>+'[1]Budget 2025W'!N972</f>
        <v>0</v>
      </c>
      <c r="H742" s="154">
        <f>+'[1]Budget 2025W'!O972</f>
        <v>0</v>
      </c>
      <c r="I742" s="154">
        <f>+'[1]Budget 2025W'!P972</f>
        <v>300</v>
      </c>
      <c r="J742" s="154">
        <f>+'[1]Budget 2025W'!Q972</f>
        <v>300</v>
      </c>
      <c r="K742" s="154">
        <f>+'[1]Budget 2025W'!R972</f>
        <v>300</v>
      </c>
      <c r="L742" s="154">
        <f>+'[1]Budget 2025W'!S972</f>
        <v>300</v>
      </c>
      <c r="M742" s="154">
        <f>+'[1]Budget 2025W'!T972</f>
        <v>300</v>
      </c>
      <c r="N742" s="154">
        <f>+'[1]Budget 2025W'!U972</f>
        <v>300</v>
      </c>
      <c r="O742" s="154">
        <f>+'[1]Budget 2025W'!V972</f>
        <v>300</v>
      </c>
      <c r="P742" s="131"/>
      <c r="Q742" s="156">
        <f t="shared" ref="Q742:Q773" si="75">SUM(D742:O742)</f>
        <v>2100</v>
      </c>
    </row>
    <row r="743" spans="3:17" x14ac:dyDescent="0.2">
      <c r="C743" s="153" t="s">
        <v>290</v>
      </c>
      <c r="D743" s="75">
        <f>+'[1]Budget 2025W'!K973</f>
        <v>0</v>
      </c>
      <c r="E743" s="75">
        <f>+'[1]Budget 2025W'!L973</f>
        <v>0</v>
      </c>
      <c r="F743" s="154">
        <f>+'[1]Budget 2025W'!M973</f>
        <v>0</v>
      </c>
      <c r="G743" s="154">
        <f>+'[1]Budget 2025W'!N973</f>
        <v>0</v>
      </c>
      <c r="H743" s="154">
        <f>+'[1]Budget 2025W'!O973</f>
        <v>0</v>
      </c>
      <c r="I743" s="154">
        <f>+'[1]Budget 2025W'!P973</f>
        <v>0</v>
      </c>
      <c r="J743" s="154">
        <f>+'[1]Budget 2025W'!Q973</f>
        <v>0</v>
      </c>
      <c r="K743" s="154">
        <f>+'[1]Budget 2025W'!R973</f>
        <v>0</v>
      </c>
      <c r="L743" s="154">
        <f>+'[1]Budget 2025W'!S973</f>
        <v>0</v>
      </c>
      <c r="M743" s="154">
        <f>+'[1]Budget 2025W'!T973</f>
        <v>0</v>
      </c>
      <c r="N743" s="154">
        <f>+'[1]Budget 2025W'!U973</f>
        <v>0</v>
      </c>
      <c r="O743" s="154">
        <f>+'[1]Budget 2025W'!V973</f>
        <v>0</v>
      </c>
      <c r="P743" s="131"/>
      <c r="Q743" s="156">
        <f t="shared" si="75"/>
        <v>0</v>
      </c>
    </row>
    <row r="744" spans="3:17" x14ac:dyDescent="0.2">
      <c r="C744" s="153" t="s">
        <v>291</v>
      </c>
      <c r="D744" s="75">
        <f>+'[1]Budget 2025W'!K974</f>
        <v>0</v>
      </c>
      <c r="E744" s="75">
        <f>+'[1]Budget 2025W'!L974</f>
        <v>0</v>
      </c>
      <c r="F744" s="154">
        <f>+'[1]Budget 2025W'!M974</f>
        <v>0</v>
      </c>
      <c r="G744" s="154">
        <f>+'[1]Budget 2025W'!N974</f>
        <v>0</v>
      </c>
      <c r="H744" s="154">
        <f>+'[1]Budget 2025W'!O974</f>
        <v>0</v>
      </c>
      <c r="I744" s="154">
        <f>+'[1]Budget 2025W'!P974</f>
        <v>0</v>
      </c>
      <c r="J744" s="154">
        <f>+'[1]Budget 2025W'!Q974</f>
        <v>0</v>
      </c>
      <c r="K744" s="154">
        <f>+'[1]Budget 2025W'!R974</f>
        <v>0</v>
      </c>
      <c r="L744" s="154">
        <f>+'[1]Budget 2025W'!S974</f>
        <v>0</v>
      </c>
      <c r="M744" s="154">
        <f>+'[1]Budget 2025W'!T974</f>
        <v>0</v>
      </c>
      <c r="N744" s="154">
        <f>+'[1]Budget 2025W'!U974</f>
        <v>0</v>
      </c>
      <c r="O744" s="154">
        <f>+'[1]Budget 2025W'!V974</f>
        <v>0</v>
      </c>
      <c r="P744" s="131"/>
      <c r="Q744" s="156">
        <f t="shared" si="75"/>
        <v>0</v>
      </c>
    </row>
    <row r="745" spans="3:17" x14ac:dyDescent="0.2">
      <c r="C745" s="153" t="s">
        <v>120</v>
      </c>
      <c r="D745" s="75">
        <f>+'[1]Budget 2025W'!K975</f>
        <v>0</v>
      </c>
      <c r="E745" s="75">
        <f>+'[1]Budget 2025W'!L975</f>
        <v>0</v>
      </c>
      <c r="F745" s="154">
        <f>+'[1]Budget 2025W'!M975</f>
        <v>0</v>
      </c>
      <c r="G745" s="154">
        <f>+'[1]Budget 2025W'!N975</f>
        <v>0</v>
      </c>
      <c r="H745" s="154">
        <f>+'[1]Budget 2025W'!O975</f>
        <v>0</v>
      </c>
      <c r="I745" s="154">
        <f>+'[1]Budget 2025W'!P975</f>
        <v>0</v>
      </c>
      <c r="J745" s="154">
        <f>+'[1]Budget 2025W'!Q975</f>
        <v>0</v>
      </c>
      <c r="K745" s="154">
        <f>+'[1]Budget 2025W'!R975</f>
        <v>0</v>
      </c>
      <c r="L745" s="154">
        <f>+'[1]Budget 2025W'!S975</f>
        <v>0</v>
      </c>
      <c r="M745" s="154">
        <f>+'[1]Budget 2025W'!T975</f>
        <v>0</v>
      </c>
      <c r="N745" s="154">
        <f>+'[1]Budget 2025W'!U975</f>
        <v>0</v>
      </c>
      <c r="O745" s="154">
        <f>+'[1]Budget 2025W'!V975</f>
        <v>0</v>
      </c>
      <c r="P745" s="131"/>
      <c r="Q745" s="156">
        <f t="shared" si="75"/>
        <v>0</v>
      </c>
    </row>
    <row r="746" spans="3:17" x14ac:dyDescent="0.2">
      <c r="C746" s="153" t="s">
        <v>121</v>
      </c>
      <c r="D746" s="75">
        <f>+'[1]Budget 2025W'!K976</f>
        <v>0</v>
      </c>
      <c r="E746" s="75">
        <f>+'[1]Budget 2025W'!L976</f>
        <v>0</v>
      </c>
      <c r="F746" s="154">
        <f>+'[1]Budget 2025W'!M976</f>
        <v>0</v>
      </c>
      <c r="G746" s="154">
        <f>+'[1]Budget 2025W'!N976</f>
        <v>0</v>
      </c>
      <c r="H746" s="154">
        <f>+'[1]Budget 2025W'!O976</f>
        <v>0</v>
      </c>
      <c r="I746" s="154">
        <f>+'[1]Budget 2025W'!P976</f>
        <v>2500</v>
      </c>
      <c r="J746" s="154">
        <f>+'[1]Budget 2025W'!Q976</f>
        <v>2500</v>
      </c>
      <c r="K746" s="154">
        <f>+'[1]Budget 2025W'!R976</f>
        <v>2500</v>
      </c>
      <c r="L746" s="154">
        <f>+'[1]Budget 2025W'!S976</f>
        <v>2500</v>
      </c>
      <c r="M746" s="154">
        <f>+'[1]Budget 2025W'!T976</f>
        <v>2500</v>
      </c>
      <c r="N746" s="154">
        <f>+'[1]Budget 2025W'!U976</f>
        <v>2500</v>
      </c>
      <c r="O746" s="154">
        <f>+'[1]Budget 2025W'!V976</f>
        <v>3000</v>
      </c>
      <c r="P746" s="131"/>
      <c r="Q746" s="156">
        <f t="shared" si="75"/>
        <v>18000</v>
      </c>
    </row>
    <row r="747" spans="3:17" x14ac:dyDescent="0.2">
      <c r="C747" s="153" t="s">
        <v>122</v>
      </c>
      <c r="D747" s="75">
        <f>+'[1]Budget 2025W'!K977</f>
        <v>0</v>
      </c>
      <c r="E747" s="75">
        <f>+'[1]Budget 2025W'!L977</f>
        <v>0</v>
      </c>
      <c r="F747" s="154">
        <f>+'[1]Budget 2025W'!M977</f>
        <v>0</v>
      </c>
      <c r="G747" s="154">
        <f>+'[1]Budget 2025W'!N977</f>
        <v>0</v>
      </c>
      <c r="H747" s="154">
        <f>+'[1]Budget 2025W'!O977</f>
        <v>0</v>
      </c>
      <c r="I747" s="154">
        <f>+'[1]Budget 2025W'!P977</f>
        <v>0</v>
      </c>
      <c r="J747" s="154">
        <f>+'[1]Budget 2025W'!Q977</f>
        <v>0</v>
      </c>
      <c r="K747" s="154">
        <f>+'[1]Budget 2025W'!R977</f>
        <v>0</v>
      </c>
      <c r="L747" s="154">
        <f>+'[1]Budget 2025W'!S977</f>
        <v>0</v>
      </c>
      <c r="M747" s="154">
        <f>+'[1]Budget 2025W'!T977</f>
        <v>0</v>
      </c>
      <c r="N747" s="154">
        <f>+'[1]Budget 2025W'!U977</f>
        <v>0</v>
      </c>
      <c r="O747" s="154">
        <f>+'[1]Budget 2025W'!V977</f>
        <v>0</v>
      </c>
      <c r="P747" s="131"/>
      <c r="Q747" s="156">
        <f t="shared" si="75"/>
        <v>0</v>
      </c>
    </row>
    <row r="748" spans="3:17" x14ac:dyDescent="0.2">
      <c r="C748" s="153" t="s">
        <v>123</v>
      </c>
      <c r="D748" s="75">
        <f>+'[1]Budget 2025W'!K978</f>
        <v>0</v>
      </c>
      <c r="E748" s="75">
        <f>+'[1]Budget 2025W'!L978</f>
        <v>0</v>
      </c>
      <c r="F748" s="154">
        <f>+'[1]Budget 2025W'!M978</f>
        <v>0</v>
      </c>
      <c r="G748" s="154">
        <f>+'[1]Budget 2025W'!N978</f>
        <v>0</v>
      </c>
      <c r="H748" s="154">
        <f>+'[1]Budget 2025W'!O978</f>
        <v>0</v>
      </c>
      <c r="I748" s="154">
        <f>+'[1]Budget 2025W'!P978</f>
        <v>0</v>
      </c>
      <c r="J748" s="154">
        <f>+'[1]Budget 2025W'!Q978</f>
        <v>0</v>
      </c>
      <c r="K748" s="154">
        <f>+'[1]Budget 2025W'!R978</f>
        <v>0</v>
      </c>
      <c r="L748" s="154">
        <f>+'[1]Budget 2025W'!S978</f>
        <v>0</v>
      </c>
      <c r="M748" s="154">
        <f>+'[1]Budget 2025W'!T978</f>
        <v>0</v>
      </c>
      <c r="N748" s="154">
        <f>+'[1]Budget 2025W'!U978</f>
        <v>0</v>
      </c>
      <c r="O748" s="154">
        <f>+'[1]Budget 2025W'!V978</f>
        <v>0</v>
      </c>
      <c r="P748" s="131"/>
      <c r="Q748" s="156">
        <f t="shared" si="75"/>
        <v>0</v>
      </c>
    </row>
    <row r="749" spans="3:17" x14ac:dyDescent="0.2">
      <c r="C749" s="153" t="s">
        <v>292</v>
      </c>
      <c r="D749" s="75">
        <f>+'[1]Budget 2025W'!K979</f>
        <v>0</v>
      </c>
      <c r="E749" s="75">
        <f>+'[1]Budget 2025W'!L979</f>
        <v>0</v>
      </c>
      <c r="F749" s="154">
        <f>+'[1]Budget 2025W'!M979</f>
        <v>0</v>
      </c>
      <c r="G749" s="154">
        <f>+'[1]Budget 2025W'!N979</f>
        <v>0</v>
      </c>
      <c r="H749" s="154">
        <f>+'[1]Budget 2025W'!O979</f>
        <v>0</v>
      </c>
      <c r="I749" s="154">
        <f>+'[1]Budget 2025W'!P979</f>
        <v>600</v>
      </c>
      <c r="J749" s="154">
        <f>+'[1]Budget 2025W'!Q979</f>
        <v>600</v>
      </c>
      <c r="K749" s="154">
        <f>+'[1]Budget 2025W'!R979</f>
        <v>600</v>
      </c>
      <c r="L749" s="154">
        <f>+'[1]Budget 2025W'!S979</f>
        <v>600</v>
      </c>
      <c r="M749" s="154">
        <f>+'[1]Budget 2025W'!T979</f>
        <v>600</v>
      </c>
      <c r="N749" s="154">
        <f>+'[1]Budget 2025W'!U979</f>
        <v>600</v>
      </c>
      <c r="O749" s="154">
        <f>+'[1]Budget 2025W'!V979</f>
        <v>600</v>
      </c>
      <c r="P749" s="131"/>
      <c r="Q749" s="156">
        <f t="shared" si="75"/>
        <v>4200</v>
      </c>
    </row>
    <row r="750" spans="3:17" x14ac:dyDescent="0.2">
      <c r="C750" s="153" t="s">
        <v>170</v>
      </c>
      <c r="D750" s="75">
        <f>+'[1]Budget 2025W'!K980</f>
        <v>0</v>
      </c>
      <c r="E750" s="75">
        <f>+'[1]Budget 2025W'!L980</f>
        <v>0</v>
      </c>
      <c r="F750" s="154">
        <f>+'[1]Budget 2025W'!M980</f>
        <v>0</v>
      </c>
      <c r="G750" s="154">
        <f>+'[1]Budget 2025W'!N980</f>
        <v>0</v>
      </c>
      <c r="H750" s="154">
        <f>+'[1]Budget 2025W'!O980</f>
        <v>0</v>
      </c>
      <c r="I750" s="154">
        <f>+'[1]Budget 2025W'!P980</f>
        <v>0</v>
      </c>
      <c r="J750" s="154">
        <f>+'[1]Budget 2025W'!Q980</f>
        <v>800</v>
      </c>
      <c r="K750" s="154">
        <f>+'[1]Budget 2025W'!R980</f>
        <v>800</v>
      </c>
      <c r="L750" s="154">
        <f>+'[1]Budget 2025W'!S980</f>
        <v>800</v>
      </c>
      <c r="M750" s="154">
        <f>+'[1]Budget 2025W'!T980</f>
        <v>800</v>
      </c>
      <c r="N750" s="154">
        <f>+'[1]Budget 2025W'!U980</f>
        <v>800</v>
      </c>
      <c r="O750" s="154">
        <f>+'[1]Budget 2025W'!V980</f>
        <v>960</v>
      </c>
      <c r="P750" s="131"/>
      <c r="Q750" s="156">
        <f t="shared" si="75"/>
        <v>4960</v>
      </c>
    </row>
    <row r="751" spans="3:17" x14ac:dyDescent="0.2">
      <c r="C751" s="153" t="s">
        <v>293</v>
      </c>
      <c r="D751" s="75">
        <f>+'[1]Budget 2025W'!K981</f>
        <v>0</v>
      </c>
      <c r="E751" s="75">
        <f>+'[1]Budget 2025W'!L981</f>
        <v>0</v>
      </c>
      <c r="F751" s="154">
        <f>+'[1]Budget 2025W'!M981</f>
        <v>0</v>
      </c>
      <c r="G751" s="154">
        <f>+'[1]Budget 2025W'!N981</f>
        <v>0</v>
      </c>
      <c r="H751" s="154">
        <f>+'[1]Budget 2025W'!O981</f>
        <v>0</v>
      </c>
      <c r="I751" s="154">
        <f>+'[1]Budget 2025W'!P981</f>
        <v>0</v>
      </c>
      <c r="J751" s="154">
        <f>+'[1]Budget 2025W'!Q981</f>
        <v>0</v>
      </c>
      <c r="K751" s="154">
        <f>+'[1]Budget 2025W'!R981</f>
        <v>0</v>
      </c>
      <c r="L751" s="154">
        <f>+'[1]Budget 2025W'!S981</f>
        <v>0</v>
      </c>
      <c r="M751" s="154">
        <f>+'[1]Budget 2025W'!T981</f>
        <v>0</v>
      </c>
      <c r="N751" s="154">
        <f>+'[1]Budget 2025W'!U981</f>
        <v>0</v>
      </c>
      <c r="O751" s="154">
        <f>+'[1]Budget 2025W'!V981</f>
        <v>0</v>
      </c>
      <c r="P751" s="131"/>
      <c r="Q751" s="156">
        <f t="shared" si="75"/>
        <v>0</v>
      </c>
    </row>
    <row r="752" spans="3:17" x14ac:dyDescent="0.2">
      <c r="C752" s="153" t="s">
        <v>126</v>
      </c>
      <c r="D752" s="75">
        <f>+'[1]Budget 2025W'!K982</f>
        <v>0</v>
      </c>
      <c r="E752" s="75">
        <f>+'[1]Budget 2025W'!L982</f>
        <v>0</v>
      </c>
      <c r="F752" s="154">
        <f>+'[1]Budget 2025W'!M982</f>
        <v>0</v>
      </c>
      <c r="G752" s="154">
        <f>+'[1]Budget 2025W'!N982</f>
        <v>0</v>
      </c>
      <c r="H752" s="154">
        <f>+'[1]Budget 2025W'!O982</f>
        <v>0</v>
      </c>
      <c r="I752" s="154">
        <f>+'[1]Budget 2025W'!P982</f>
        <v>0</v>
      </c>
      <c r="J752" s="154">
        <f>+'[1]Budget 2025W'!Q982</f>
        <v>0</v>
      </c>
      <c r="K752" s="154">
        <f>+'[1]Budget 2025W'!R982</f>
        <v>0</v>
      </c>
      <c r="L752" s="154">
        <f>+'[1]Budget 2025W'!S982</f>
        <v>0</v>
      </c>
      <c r="M752" s="154">
        <f>+'[1]Budget 2025W'!T982</f>
        <v>0</v>
      </c>
      <c r="N752" s="154">
        <f>+'[1]Budget 2025W'!U982</f>
        <v>0</v>
      </c>
      <c r="O752" s="154">
        <f>+'[1]Budget 2025W'!V982</f>
        <v>0</v>
      </c>
      <c r="P752" s="131"/>
      <c r="Q752" s="156">
        <f t="shared" si="75"/>
        <v>0</v>
      </c>
    </row>
    <row r="753" spans="3:17" x14ac:dyDescent="0.2">
      <c r="C753" s="153" t="s">
        <v>294</v>
      </c>
      <c r="D753" s="75">
        <f>+'[1]Budget 2025W'!K983</f>
        <v>0</v>
      </c>
      <c r="E753" s="75">
        <f>+'[1]Budget 2025W'!L983</f>
        <v>0</v>
      </c>
      <c r="F753" s="154">
        <f>+'[1]Budget 2025W'!M983</f>
        <v>0</v>
      </c>
      <c r="G753" s="154">
        <f>+'[1]Budget 2025W'!N983</f>
        <v>0</v>
      </c>
      <c r="H753" s="154">
        <f>+'[1]Budget 2025W'!O983</f>
        <v>0</v>
      </c>
      <c r="I753" s="154">
        <f>+'[1]Budget 2025W'!P983</f>
        <v>800</v>
      </c>
      <c r="J753" s="154">
        <f>+'[1]Budget 2025W'!Q983</f>
        <v>800</v>
      </c>
      <c r="K753" s="154">
        <f>+'[1]Budget 2025W'!R983</f>
        <v>800</v>
      </c>
      <c r="L753" s="154">
        <f>+'[1]Budget 2025W'!S983</f>
        <v>800</v>
      </c>
      <c r="M753" s="154">
        <f>+'[1]Budget 2025W'!T983</f>
        <v>800</v>
      </c>
      <c r="N753" s="154">
        <f>+'[1]Budget 2025W'!U983</f>
        <v>800</v>
      </c>
      <c r="O753" s="154">
        <f>+'[1]Budget 2025W'!V983</f>
        <v>800</v>
      </c>
      <c r="P753" s="131"/>
      <c r="Q753" s="156">
        <f t="shared" si="75"/>
        <v>5600</v>
      </c>
    </row>
    <row r="754" spans="3:17" x14ac:dyDescent="0.2">
      <c r="C754" s="153" t="s">
        <v>295</v>
      </c>
      <c r="D754" s="75">
        <f>+'[1]Budget 2025W'!K984</f>
        <v>0</v>
      </c>
      <c r="E754" s="75">
        <f>+'[1]Budget 2025W'!L984</f>
        <v>0</v>
      </c>
      <c r="F754" s="154">
        <f>+'[1]Budget 2025W'!M984</f>
        <v>0</v>
      </c>
      <c r="G754" s="154">
        <f>+'[1]Budget 2025W'!N984</f>
        <v>0</v>
      </c>
      <c r="H754" s="154">
        <f>+'[1]Budget 2025W'!O984</f>
        <v>0</v>
      </c>
      <c r="I754" s="154">
        <f>+'[1]Budget 2025W'!P984</f>
        <v>0</v>
      </c>
      <c r="J754" s="154">
        <f>+'[1]Budget 2025W'!Q984</f>
        <v>0</v>
      </c>
      <c r="K754" s="154">
        <f>+'[1]Budget 2025W'!R984</f>
        <v>0</v>
      </c>
      <c r="L754" s="154">
        <f>+'[1]Budget 2025W'!S984</f>
        <v>0</v>
      </c>
      <c r="M754" s="154">
        <f>+'[1]Budget 2025W'!T984</f>
        <v>0</v>
      </c>
      <c r="N754" s="154">
        <f>+'[1]Budget 2025W'!U984</f>
        <v>0</v>
      </c>
      <c r="O754" s="154">
        <f>+'[1]Budget 2025W'!V984</f>
        <v>0</v>
      </c>
      <c r="P754" s="131"/>
      <c r="Q754" s="156">
        <f t="shared" si="75"/>
        <v>0</v>
      </c>
    </row>
    <row r="755" spans="3:17" x14ac:dyDescent="0.2">
      <c r="C755" s="153" t="s">
        <v>296</v>
      </c>
      <c r="D755" s="75">
        <f>+'[1]Budget 2025W'!K985</f>
        <v>0</v>
      </c>
      <c r="E755" s="75">
        <f>+'[1]Budget 2025W'!L985</f>
        <v>0</v>
      </c>
      <c r="F755" s="154">
        <f>+'[1]Budget 2025W'!M985</f>
        <v>0</v>
      </c>
      <c r="G755" s="154">
        <f>+'[1]Budget 2025W'!N985</f>
        <v>0</v>
      </c>
      <c r="H755" s="154">
        <f>+'[1]Budget 2025W'!O985</f>
        <v>0</v>
      </c>
      <c r="I755" s="154">
        <f>+'[1]Budget 2025W'!P985</f>
        <v>0</v>
      </c>
      <c r="J755" s="154">
        <f>+'[1]Budget 2025W'!Q985</f>
        <v>0</v>
      </c>
      <c r="K755" s="154">
        <f>+'[1]Budget 2025W'!R985</f>
        <v>0</v>
      </c>
      <c r="L755" s="154">
        <f>+'[1]Budget 2025W'!S985</f>
        <v>0</v>
      </c>
      <c r="M755" s="154">
        <f>+'[1]Budget 2025W'!T985</f>
        <v>0</v>
      </c>
      <c r="N755" s="154">
        <f>+'[1]Budget 2025W'!U985</f>
        <v>0</v>
      </c>
      <c r="O755" s="154">
        <f>+'[1]Budget 2025W'!V985</f>
        <v>0</v>
      </c>
      <c r="P755" s="131"/>
      <c r="Q755" s="156">
        <f t="shared" si="75"/>
        <v>0</v>
      </c>
    </row>
    <row r="756" spans="3:17" x14ac:dyDescent="0.2">
      <c r="C756" s="153" t="s">
        <v>297</v>
      </c>
      <c r="D756" s="75">
        <f>+'[1]Budget 2025W'!K986</f>
        <v>0</v>
      </c>
      <c r="E756" s="75">
        <f>+'[1]Budget 2025W'!L986</f>
        <v>0</v>
      </c>
      <c r="F756" s="154">
        <f>+'[1]Budget 2025W'!M986</f>
        <v>0</v>
      </c>
      <c r="G756" s="154">
        <f>+'[1]Budget 2025W'!N986</f>
        <v>0</v>
      </c>
      <c r="H756" s="154">
        <f>+'[1]Budget 2025W'!O986</f>
        <v>0</v>
      </c>
      <c r="I756" s="154">
        <f>+'[1]Budget 2025W'!P986</f>
        <v>0</v>
      </c>
      <c r="J756" s="154">
        <f>+'[1]Budget 2025W'!Q986</f>
        <v>0</v>
      </c>
      <c r="K756" s="154">
        <f>+'[1]Budget 2025W'!R986</f>
        <v>0</v>
      </c>
      <c r="L756" s="154">
        <f>+'[1]Budget 2025W'!S986</f>
        <v>0</v>
      </c>
      <c r="M756" s="154">
        <f>+'[1]Budget 2025W'!T986</f>
        <v>0</v>
      </c>
      <c r="N756" s="154">
        <f>+'[1]Budget 2025W'!U986</f>
        <v>0</v>
      </c>
      <c r="O756" s="154">
        <f>+'[1]Budget 2025W'!V986</f>
        <v>0</v>
      </c>
      <c r="P756" s="131"/>
      <c r="Q756" s="156">
        <f t="shared" si="75"/>
        <v>0</v>
      </c>
    </row>
    <row r="757" spans="3:17" x14ac:dyDescent="0.2">
      <c r="C757" s="153" t="s">
        <v>298</v>
      </c>
      <c r="D757" s="75">
        <f>+'[1]Budget 2025W'!K987</f>
        <v>0</v>
      </c>
      <c r="E757" s="75">
        <f>+'[1]Budget 2025W'!L987</f>
        <v>0</v>
      </c>
      <c r="F757" s="154">
        <f>+'[1]Budget 2025W'!M987</f>
        <v>0</v>
      </c>
      <c r="G757" s="154">
        <f>+'[1]Budget 2025W'!N987</f>
        <v>0</v>
      </c>
      <c r="H757" s="154">
        <f>+'[1]Budget 2025W'!O987</f>
        <v>0</v>
      </c>
      <c r="I757" s="154">
        <f>+'[1]Budget 2025W'!P987</f>
        <v>0</v>
      </c>
      <c r="J757" s="154">
        <f>+'[1]Budget 2025W'!Q987</f>
        <v>0</v>
      </c>
      <c r="K757" s="154">
        <f>+'[1]Budget 2025W'!R987</f>
        <v>0</v>
      </c>
      <c r="L757" s="154">
        <f>+'[1]Budget 2025W'!S987</f>
        <v>0</v>
      </c>
      <c r="M757" s="154">
        <f>+'[1]Budget 2025W'!T987</f>
        <v>0</v>
      </c>
      <c r="N757" s="154">
        <f>+'[1]Budget 2025W'!U987</f>
        <v>0</v>
      </c>
      <c r="O757" s="154">
        <f>+'[1]Budget 2025W'!V987</f>
        <v>0</v>
      </c>
      <c r="P757" s="131"/>
      <c r="Q757" s="156">
        <f t="shared" si="75"/>
        <v>0</v>
      </c>
    </row>
    <row r="758" spans="3:17" x14ac:dyDescent="0.2">
      <c r="C758" s="153" t="s">
        <v>299</v>
      </c>
      <c r="D758" s="75">
        <f>+'[1]Budget 2025W'!K988</f>
        <v>0</v>
      </c>
      <c r="E758" s="75">
        <f>+'[1]Budget 2025W'!L988</f>
        <v>0</v>
      </c>
      <c r="F758" s="154">
        <f>+'[1]Budget 2025W'!M988</f>
        <v>0</v>
      </c>
      <c r="G758" s="154">
        <f>+'[1]Budget 2025W'!N988</f>
        <v>0</v>
      </c>
      <c r="H758" s="154">
        <f>+'[1]Budget 2025W'!O988</f>
        <v>0</v>
      </c>
      <c r="I758" s="154">
        <f>+'[1]Budget 2025W'!P988</f>
        <v>3750</v>
      </c>
      <c r="J758" s="154">
        <f>+'[1]Budget 2025W'!Q988</f>
        <v>3750</v>
      </c>
      <c r="K758" s="154">
        <f>+'[1]Budget 2025W'!R988</f>
        <v>3750</v>
      </c>
      <c r="L758" s="154">
        <f>+'[1]Budget 2025W'!S988</f>
        <v>3750</v>
      </c>
      <c r="M758" s="154">
        <f>+'[1]Budget 2025W'!T988</f>
        <v>3250</v>
      </c>
      <c r="N758" s="154">
        <f>+'[1]Budget 2025W'!U988</f>
        <v>3250</v>
      </c>
      <c r="O758" s="154">
        <f>+'[1]Budget 2025W'!V988</f>
        <v>3050</v>
      </c>
      <c r="P758" s="131"/>
      <c r="Q758" s="156">
        <f t="shared" si="75"/>
        <v>24550</v>
      </c>
    </row>
    <row r="759" spans="3:17" x14ac:dyDescent="0.2">
      <c r="C759" s="153" t="s">
        <v>196</v>
      </c>
      <c r="D759" s="75">
        <f>+'[1]Budget 2025W'!K989</f>
        <v>0</v>
      </c>
      <c r="E759" s="75">
        <f>+'[1]Budget 2025W'!L989</f>
        <v>0</v>
      </c>
      <c r="F759" s="154">
        <f>+'[1]Budget 2025W'!M989</f>
        <v>0</v>
      </c>
      <c r="G759" s="154">
        <f>+'[1]Budget 2025W'!N989</f>
        <v>0</v>
      </c>
      <c r="H759" s="154">
        <f>+'[1]Budget 2025W'!O989</f>
        <v>0</v>
      </c>
      <c r="I759" s="154">
        <f>+'[1]Budget 2025W'!P989</f>
        <v>3500</v>
      </c>
      <c r="J759" s="154">
        <f>+'[1]Budget 2025W'!Q989</f>
        <v>3500</v>
      </c>
      <c r="K759" s="154">
        <f>+'[1]Budget 2025W'!R989</f>
        <v>3500</v>
      </c>
      <c r="L759" s="154">
        <f>+'[1]Budget 2025W'!S989</f>
        <v>3500</v>
      </c>
      <c r="M759" s="154">
        <f>+'[1]Budget 2025W'!T989</f>
        <v>500</v>
      </c>
      <c r="N759" s="154">
        <f>+'[1]Budget 2025W'!U989</f>
        <v>500</v>
      </c>
      <c r="O759" s="154">
        <f>+'[1]Budget 2025W'!V989</f>
        <v>500</v>
      </c>
      <c r="P759" s="131"/>
      <c r="Q759" s="156">
        <f t="shared" si="75"/>
        <v>15500</v>
      </c>
    </row>
    <row r="760" spans="3:17" x14ac:dyDescent="0.2">
      <c r="C760" s="153" t="s">
        <v>134</v>
      </c>
      <c r="D760" s="75">
        <f>+'[1]Budget 2025W'!K990</f>
        <v>0</v>
      </c>
      <c r="E760" s="75">
        <f>+'[1]Budget 2025W'!L990</f>
        <v>0</v>
      </c>
      <c r="F760" s="154">
        <f>+'[1]Budget 2025W'!M990</f>
        <v>0</v>
      </c>
      <c r="G760" s="154">
        <f>+'[1]Budget 2025W'!N990</f>
        <v>0</v>
      </c>
      <c r="H760" s="154">
        <f>+'[1]Budget 2025W'!O990</f>
        <v>0</v>
      </c>
      <c r="I760" s="154">
        <f>+'[1]Budget 2025W'!P990</f>
        <v>0</v>
      </c>
      <c r="J760" s="154">
        <f>+'[1]Budget 2025W'!Q990</f>
        <v>0</v>
      </c>
      <c r="K760" s="154">
        <f>+'[1]Budget 2025W'!R990</f>
        <v>0</v>
      </c>
      <c r="L760" s="154">
        <f>+'[1]Budget 2025W'!S990</f>
        <v>0</v>
      </c>
      <c r="M760" s="154">
        <f>+'[1]Budget 2025W'!T990</f>
        <v>0</v>
      </c>
      <c r="N760" s="154">
        <f>+'[1]Budget 2025W'!U990</f>
        <v>0</v>
      </c>
      <c r="O760" s="154">
        <f>+'[1]Budget 2025W'!V990</f>
        <v>0</v>
      </c>
      <c r="P760" s="131"/>
      <c r="Q760" s="156">
        <f t="shared" si="75"/>
        <v>0</v>
      </c>
    </row>
    <row r="761" spans="3:17" x14ac:dyDescent="0.2">
      <c r="C761" s="153" t="s">
        <v>300</v>
      </c>
      <c r="D761" s="75">
        <f>+'[1]Budget 2025W'!K991</f>
        <v>0</v>
      </c>
      <c r="E761" s="75">
        <f>+'[1]Budget 2025W'!L991</f>
        <v>0</v>
      </c>
      <c r="F761" s="154">
        <f>+'[1]Budget 2025W'!M991</f>
        <v>0</v>
      </c>
      <c r="G761" s="154">
        <f>+'[1]Budget 2025W'!N991</f>
        <v>0</v>
      </c>
      <c r="H761" s="154">
        <f>+'[1]Budget 2025W'!O991</f>
        <v>0</v>
      </c>
      <c r="I761" s="154">
        <f>+'[1]Budget 2025W'!P991</f>
        <v>0</v>
      </c>
      <c r="J761" s="154">
        <f>+'[1]Budget 2025W'!Q991</f>
        <v>0</v>
      </c>
      <c r="K761" s="154">
        <f>+'[1]Budget 2025W'!R991</f>
        <v>0</v>
      </c>
      <c r="L761" s="154">
        <f>+'[1]Budget 2025W'!S991</f>
        <v>0</v>
      </c>
      <c r="M761" s="154">
        <f>+'[1]Budget 2025W'!T991</f>
        <v>0</v>
      </c>
      <c r="N761" s="154">
        <f>+'[1]Budget 2025W'!U991</f>
        <v>0</v>
      </c>
      <c r="O761" s="154">
        <f>+'[1]Budget 2025W'!V991</f>
        <v>0</v>
      </c>
      <c r="P761" s="131"/>
      <c r="Q761" s="156">
        <f t="shared" si="75"/>
        <v>0</v>
      </c>
    </row>
    <row r="762" spans="3:17" x14ac:dyDescent="0.2">
      <c r="C762" s="153" t="s">
        <v>301</v>
      </c>
      <c r="D762" s="75">
        <f>+'[1]Budget 2025W'!K992</f>
        <v>0</v>
      </c>
      <c r="E762" s="75">
        <f>+'[1]Budget 2025W'!L992</f>
        <v>0</v>
      </c>
      <c r="F762" s="154">
        <f>+'[1]Budget 2025W'!M992</f>
        <v>0</v>
      </c>
      <c r="G762" s="154">
        <f>+'[1]Budget 2025W'!N992</f>
        <v>0</v>
      </c>
      <c r="H762" s="154">
        <f>+'[1]Budget 2025W'!O992</f>
        <v>0</v>
      </c>
      <c r="I762" s="154">
        <f>+'[1]Budget 2025W'!P992</f>
        <v>0</v>
      </c>
      <c r="J762" s="154">
        <f>+'[1]Budget 2025W'!Q992</f>
        <v>0</v>
      </c>
      <c r="K762" s="154">
        <f>+'[1]Budget 2025W'!R992</f>
        <v>0</v>
      </c>
      <c r="L762" s="154">
        <f>+'[1]Budget 2025W'!S992</f>
        <v>0</v>
      </c>
      <c r="M762" s="154">
        <f>+'[1]Budget 2025W'!T992</f>
        <v>0</v>
      </c>
      <c r="N762" s="154">
        <f>+'[1]Budget 2025W'!U992</f>
        <v>0</v>
      </c>
      <c r="O762" s="154">
        <f>+'[1]Budget 2025W'!V992</f>
        <v>0</v>
      </c>
      <c r="P762" s="131"/>
      <c r="Q762" s="156">
        <f t="shared" si="75"/>
        <v>0</v>
      </c>
    </row>
    <row r="763" spans="3:17" x14ac:dyDescent="0.2">
      <c r="C763" s="153" t="s">
        <v>302</v>
      </c>
      <c r="D763" s="75">
        <f>+'[1]Budget 2025W'!K993</f>
        <v>0</v>
      </c>
      <c r="E763" s="75">
        <f>+'[1]Budget 2025W'!L993</f>
        <v>0</v>
      </c>
      <c r="F763" s="154">
        <f>+'[1]Budget 2025W'!M993</f>
        <v>0</v>
      </c>
      <c r="G763" s="154">
        <f>+'[1]Budget 2025W'!N993</f>
        <v>0</v>
      </c>
      <c r="H763" s="154">
        <f>+'[1]Budget 2025W'!O993</f>
        <v>0</v>
      </c>
      <c r="I763" s="154">
        <f>+'[1]Budget 2025W'!P993</f>
        <v>0</v>
      </c>
      <c r="J763" s="154">
        <f>+'[1]Budget 2025W'!Q993</f>
        <v>0</v>
      </c>
      <c r="K763" s="154">
        <f>+'[1]Budget 2025W'!R993</f>
        <v>0</v>
      </c>
      <c r="L763" s="154">
        <f>+'[1]Budget 2025W'!S993</f>
        <v>0</v>
      </c>
      <c r="M763" s="154">
        <f>+'[1]Budget 2025W'!T993</f>
        <v>0</v>
      </c>
      <c r="N763" s="154">
        <f>+'[1]Budget 2025W'!U993</f>
        <v>0</v>
      </c>
      <c r="O763" s="154">
        <f>+'[1]Budget 2025W'!V993</f>
        <v>0</v>
      </c>
      <c r="P763" s="131"/>
      <c r="Q763" s="156">
        <f t="shared" si="75"/>
        <v>0</v>
      </c>
    </row>
    <row r="764" spans="3:17" x14ac:dyDescent="0.2">
      <c r="C764" s="153" t="s">
        <v>303</v>
      </c>
      <c r="D764" s="75">
        <f>+'[1]Budget 2025W'!K994</f>
        <v>0</v>
      </c>
      <c r="E764" s="75">
        <f>+'[1]Budget 2025W'!L994</f>
        <v>0</v>
      </c>
      <c r="F764" s="154">
        <f>+'[1]Budget 2025W'!M994</f>
        <v>0</v>
      </c>
      <c r="G764" s="154">
        <f>+'[1]Budget 2025W'!N994</f>
        <v>0</v>
      </c>
      <c r="H764" s="154">
        <f>+'[1]Budget 2025W'!O994</f>
        <v>0</v>
      </c>
      <c r="I764" s="154">
        <f>+'[1]Budget 2025W'!P994</f>
        <v>0</v>
      </c>
      <c r="J764" s="154">
        <f>+'[1]Budget 2025W'!Q994</f>
        <v>0</v>
      </c>
      <c r="K764" s="154">
        <f>+'[1]Budget 2025W'!R994</f>
        <v>0</v>
      </c>
      <c r="L764" s="154">
        <f>+'[1]Budget 2025W'!S994</f>
        <v>0</v>
      </c>
      <c r="M764" s="154">
        <f>+'[1]Budget 2025W'!T994</f>
        <v>0</v>
      </c>
      <c r="N764" s="154">
        <f>+'[1]Budget 2025W'!U994</f>
        <v>0</v>
      </c>
      <c r="O764" s="154">
        <f>+'[1]Budget 2025W'!V994</f>
        <v>0</v>
      </c>
      <c r="P764" s="131"/>
      <c r="Q764" s="156">
        <f t="shared" si="75"/>
        <v>0</v>
      </c>
    </row>
    <row r="765" spans="3:17" x14ac:dyDescent="0.2">
      <c r="C765" s="153" t="s">
        <v>182</v>
      </c>
      <c r="D765" s="75">
        <f>+'[1]Budget 2025W'!K995</f>
        <v>0</v>
      </c>
      <c r="E765" s="75">
        <f>+'[1]Budget 2025W'!L995</f>
        <v>0</v>
      </c>
      <c r="F765" s="154">
        <f>+'[1]Budget 2025W'!M995</f>
        <v>0</v>
      </c>
      <c r="G765" s="154">
        <f>+'[1]Budget 2025W'!N995</f>
        <v>0</v>
      </c>
      <c r="H765" s="154">
        <f>+'[1]Budget 2025W'!O995</f>
        <v>0</v>
      </c>
      <c r="I765" s="154">
        <f>+'[1]Budget 2025W'!P995</f>
        <v>0</v>
      </c>
      <c r="J765" s="154">
        <f>+'[1]Budget 2025W'!Q995</f>
        <v>0</v>
      </c>
      <c r="K765" s="154">
        <f>+'[1]Budget 2025W'!R995</f>
        <v>0</v>
      </c>
      <c r="L765" s="154">
        <f>+'[1]Budget 2025W'!S995</f>
        <v>0</v>
      </c>
      <c r="M765" s="154">
        <f>+'[1]Budget 2025W'!T995</f>
        <v>0</v>
      </c>
      <c r="N765" s="154">
        <f>+'[1]Budget 2025W'!U995</f>
        <v>0</v>
      </c>
      <c r="O765" s="154">
        <f>+'[1]Budget 2025W'!V995</f>
        <v>0</v>
      </c>
      <c r="P765" s="131"/>
      <c r="Q765" s="156">
        <f t="shared" si="75"/>
        <v>0</v>
      </c>
    </row>
    <row r="766" spans="3:17" x14ac:dyDescent="0.2">
      <c r="C766" s="153" t="s">
        <v>242</v>
      </c>
      <c r="D766" s="75">
        <f>+'[1]Budget 2025W'!K996</f>
        <v>0</v>
      </c>
      <c r="E766" s="75">
        <f>+'[1]Budget 2025W'!L996</f>
        <v>0</v>
      </c>
      <c r="F766" s="154">
        <f>+'[1]Budget 2025W'!M996</f>
        <v>0</v>
      </c>
      <c r="G766" s="154">
        <f>+'[1]Budget 2025W'!N996</f>
        <v>0</v>
      </c>
      <c r="H766" s="154">
        <f>+'[1]Budget 2025W'!O996</f>
        <v>0</v>
      </c>
      <c r="I766" s="154">
        <f>+'[1]Budget 2025W'!P996</f>
        <v>0</v>
      </c>
      <c r="J766" s="154">
        <f>+'[1]Budget 2025W'!Q996</f>
        <v>0</v>
      </c>
      <c r="K766" s="154">
        <f>+'[1]Budget 2025W'!R996</f>
        <v>0</v>
      </c>
      <c r="L766" s="154">
        <f>+'[1]Budget 2025W'!S996</f>
        <v>0</v>
      </c>
      <c r="M766" s="154">
        <f>+'[1]Budget 2025W'!T996</f>
        <v>0</v>
      </c>
      <c r="N766" s="154">
        <f>+'[1]Budget 2025W'!U996</f>
        <v>0</v>
      </c>
      <c r="O766" s="154">
        <f>+'[1]Budget 2025W'!V996</f>
        <v>0</v>
      </c>
      <c r="P766" s="131"/>
      <c r="Q766" s="156">
        <f t="shared" si="75"/>
        <v>0</v>
      </c>
    </row>
    <row r="767" spans="3:17" x14ac:dyDescent="0.2">
      <c r="C767" s="153" t="s">
        <v>304</v>
      </c>
      <c r="D767" s="75">
        <f>+'[1]Budget 2025W'!K997</f>
        <v>0</v>
      </c>
      <c r="E767" s="75">
        <f>+'[1]Budget 2025W'!L997</f>
        <v>0</v>
      </c>
      <c r="F767" s="154">
        <f>+'[1]Budget 2025W'!M997</f>
        <v>0</v>
      </c>
      <c r="G767" s="154">
        <f>+'[1]Budget 2025W'!N997</f>
        <v>0</v>
      </c>
      <c r="H767" s="154">
        <f>+'[1]Budget 2025W'!O997</f>
        <v>0</v>
      </c>
      <c r="I767" s="154">
        <f>+'[1]Budget 2025W'!P997</f>
        <v>0</v>
      </c>
      <c r="J767" s="154">
        <f>+'[1]Budget 2025W'!Q997</f>
        <v>0</v>
      </c>
      <c r="K767" s="154">
        <f>+'[1]Budget 2025W'!R997</f>
        <v>0</v>
      </c>
      <c r="L767" s="154">
        <f>+'[1]Budget 2025W'!S997</f>
        <v>0</v>
      </c>
      <c r="M767" s="154">
        <f>+'[1]Budget 2025W'!T997</f>
        <v>0</v>
      </c>
      <c r="N767" s="154">
        <f>+'[1]Budget 2025W'!U997</f>
        <v>0</v>
      </c>
      <c r="O767" s="154">
        <f>+'[1]Budget 2025W'!V997</f>
        <v>0</v>
      </c>
      <c r="P767" s="131"/>
      <c r="Q767" s="156">
        <f t="shared" si="75"/>
        <v>0</v>
      </c>
    </row>
    <row r="768" spans="3:17" x14ac:dyDescent="0.2">
      <c r="C768" s="153" t="s">
        <v>139</v>
      </c>
      <c r="D768" s="75">
        <f>+'[1]Budget 2025W'!K998</f>
        <v>0</v>
      </c>
      <c r="E768" s="75">
        <f>+'[1]Budget 2025W'!L998</f>
        <v>0</v>
      </c>
      <c r="F768" s="154">
        <f>+'[1]Budget 2025W'!M998</f>
        <v>0</v>
      </c>
      <c r="G768" s="154">
        <f>+'[1]Budget 2025W'!N998</f>
        <v>0</v>
      </c>
      <c r="H768" s="154">
        <f>+'[1]Budget 2025W'!O998</f>
        <v>0</v>
      </c>
      <c r="I768" s="154">
        <f>+'[1]Budget 2025W'!P998</f>
        <v>0</v>
      </c>
      <c r="J768" s="154">
        <f>+'[1]Budget 2025W'!Q998</f>
        <v>0</v>
      </c>
      <c r="K768" s="154">
        <f>+'[1]Budget 2025W'!R998</f>
        <v>0</v>
      </c>
      <c r="L768" s="154">
        <f>+'[1]Budget 2025W'!S998</f>
        <v>0</v>
      </c>
      <c r="M768" s="154">
        <f>+'[1]Budget 2025W'!T998</f>
        <v>0</v>
      </c>
      <c r="N768" s="154">
        <f>+'[1]Budget 2025W'!U998</f>
        <v>0</v>
      </c>
      <c r="O768" s="154">
        <f>+'[1]Budget 2025W'!V998</f>
        <v>0</v>
      </c>
      <c r="P768" s="131"/>
      <c r="Q768" s="156">
        <f t="shared" si="75"/>
        <v>0</v>
      </c>
    </row>
    <row r="769" spans="2:17" x14ac:dyDescent="0.2">
      <c r="C769" s="153" t="s">
        <v>140</v>
      </c>
      <c r="D769" s="75">
        <f>+'[1]Budget 2025W'!K999</f>
        <v>0</v>
      </c>
      <c r="E769" s="75">
        <f>+'[1]Budget 2025W'!L999</f>
        <v>0</v>
      </c>
      <c r="F769" s="154">
        <f>+'[1]Budget 2025W'!M999</f>
        <v>0</v>
      </c>
      <c r="G769" s="154">
        <f>+'[1]Budget 2025W'!N999</f>
        <v>0</v>
      </c>
      <c r="H769" s="154">
        <f>+'[1]Budget 2025W'!O999</f>
        <v>0</v>
      </c>
      <c r="I769" s="154">
        <f>+'[1]Budget 2025W'!P999</f>
        <v>180</v>
      </c>
      <c r="J769" s="154">
        <f>+'[1]Budget 2025W'!Q999</f>
        <v>180</v>
      </c>
      <c r="K769" s="154">
        <f>+'[1]Budget 2025W'!R999</f>
        <v>180</v>
      </c>
      <c r="L769" s="154">
        <f>+'[1]Budget 2025W'!S999</f>
        <v>180</v>
      </c>
      <c r="M769" s="154">
        <f>+'[1]Budget 2025W'!T999</f>
        <v>180</v>
      </c>
      <c r="N769" s="154">
        <f>+'[1]Budget 2025W'!U999</f>
        <v>180</v>
      </c>
      <c r="O769" s="154">
        <f>+'[1]Budget 2025W'!V999</f>
        <v>180</v>
      </c>
      <c r="P769" s="131"/>
      <c r="Q769" s="156">
        <f t="shared" si="75"/>
        <v>1260</v>
      </c>
    </row>
    <row r="770" spans="2:17" x14ac:dyDescent="0.2">
      <c r="C770" s="153" t="s">
        <v>141</v>
      </c>
      <c r="D770" s="75">
        <f>+'[1]Budget 2025W'!K1000</f>
        <v>0</v>
      </c>
      <c r="E770" s="75">
        <f>+'[1]Budget 2025W'!L1000</f>
        <v>0</v>
      </c>
      <c r="F770" s="154">
        <f>+'[1]Budget 2025W'!M1000</f>
        <v>0</v>
      </c>
      <c r="G770" s="154">
        <f>+'[1]Budget 2025W'!N1000</f>
        <v>0</v>
      </c>
      <c r="H770" s="154">
        <f>+'[1]Budget 2025W'!O1000</f>
        <v>0</v>
      </c>
      <c r="I770" s="154">
        <f>+'[1]Budget 2025W'!P1000</f>
        <v>117.60000000000001</v>
      </c>
      <c r="J770" s="154">
        <f>+'[1]Budget 2025W'!Q1000</f>
        <v>117.60000000000001</v>
      </c>
      <c r="K770" s="154">
        <f>+'[1]Budget 2025W'!R1000</f>
        <v>117.60000000000001</v>
      </c>
      <c r="L770" s="154">
        <f>+'[1]Budget 2025W'!S1000</f>
        <v>117.60000000000001</v>
      </c>
      <c r="M770" s="154">
        <f>+'[1]Budget 2025W'!T1000</f>
        <v>117.60000000000001</v>
      </c>
      <c r="N770" s="154">
        <f>+'[1]Budget 2025W'!U1000</f>
        <v>117.60000000000001</v>
      </c>
      <c r="O770" s="154">
        <f>+'[1]Budget 2025W'!V1000</f>
        <v>117.60000000000001</v>
      </c>
      <c r="P770" s="131"/>
      <c r="Q770" s="156">
        <f t="shared" si="75"/>
        <v>823.2</v>
      </c>
    </row>
    <row r="771" spans="2:17" ht="15.75" thickBot="1" x14ac:dyDescent="0.25">
      <c r="C771" s="153" t="s">
        <v>305</v>
      </c>
      <c r="D771" s="75">
        <f>+'[1]Budget 2025W'!K1001</f>
        <v>0</v>
      </c>
      <c r="E771" s="75">
        <f>+'[1]Budget 2025W'!L1001</f>
        <v>0</v>
      </c>
      <c r="F771" s="154">
        <f>+'[1]Budget 2025W'!M1001</f>
        <v>0</v>
      </c>
      <c r="G771" s="154">
        <f>+'[1]Budget 2025W'!N1001</f>
        <v>0</v>
      </c>
      <c r="H771" s="154">
        <f>+'[1]Budget 2025W'!O1001</f>
        <v>0</v>
      </c>
      <c r="I771" s="154">
        <f>+'[1]Budget 2025W'!P1001</f>
        <v>0</v>
      </c>
      <c r="J771" s="154">
        <f>+'[1]Budget 2025W'!Q1001</f>
        <v>0</v>
      </c>
      <c r="K771" s="154">
        <f>+'[1]Budget 2025W'!R1001</f>
        <v>0</v>
      </c>
      <c r="L771" s="154">
        <f>+'[1]Budget 2025W'!S1001</f>
        <v>0</v>
      </c>
      <c r="M771" s="154">
        <f>+'[1]Budget 2025W'!T1001</f>
        <v>0</v>
      </c>
      <c r="N771" s="154">
        <f>+'[1]Budget 2025W'!U1001</f>
        <v>0</v>
      </c>
      <c r="O771" s="154">
        <f>+'[1]Budget 2025W'!V1001</f>
        <v>0</v>
      </c>
      <c r="P771" s="131"/>
      <c r="Q771" s="156">
        <f t="shared" si="75"/>
        <v>0</v>
      </c>
    </row>
    <row r="772" spans="2:17" ht="17.25" thickTop="1" thickBot="1" x14ac:dyDescent="0.3">
      <c r="C772" s="162" t="s">
        <v>144</v>
      </c>
      <c r="D772" s="163">
        <f>+'[1]Budget 2025W'!K1004</f>
        <v>0</v>
      </c>
      <c r="E772" s="163">
        <f>+'[1]Budget 2025W'!L1004</f>
        <v>0</v>
      </c>
      <c r="F772" s="163">
        <f>+'[1]Budget 2025W'!M1004</f>
        <v>0</v>
      </c>
      <c r="G772" s="163">
        <f>+'[1]Budget 2025W'!N1004</f>
        <v>0</v>
      </c>
      <c r="H772" s="163">
        <f>+'[1]Budget 2025W'!O1004</f>
        <v>0</v>
      </c>
      <c r="I772" s="163">
        <f>+'[1]Budget 2025W'!P1004</f>
        <v>11747.6</v>
      </c>
      <c r="J772" s="163">
        <f>+'[1]Budget 2025W'!Q1004</f>
        <v>12547.6</v>
      </c>
      <c r="K772" s="163">
        <f>+'[1]Budget 2025W'!R1004</f>
        <v>12547.6</v>
      </c>
      <c r="L772" s="163">
        <f>+'[1]Budget 2025W'!S1004</f>
        <v>12547.6</v>
      </c>
      <c r="M772" s="163">
        <f>+'[1]Budget 2025W'!T1004</f>
        <v>9047.6</v>
      </c>
      <c r="N772" s="163">
        <f>+'[1]Budget 2025W'!U1004</f>
        <v>9047.6</v>
      </c>
      <c r="O772" s="163">
        <f>+'[1]Budget 2025W'!V1004</f>
        <v>9507.6</v>
      </c>
      <c r="P772" s="131"/>
      <c r="Q772" s="207">
        <f t="shared" si="75"/>
        <v>76993.200000000012</v>
      </c>
    </row>
    <row r="773" spans="2:17" ht="17.25" thickTop="1" thickBot="1" x14ac:dyDescent="0.3">
      <c r="B773" s="141"/>
      <c r="C773" s="215" t="s">
        <v>306</v>
      </c>
      <c r="D773" s="216">
        <f t="shared" ref="D773:O773" si="76">D740+D772</f>
        <v>0</v>
      </c>
      <c r="E773" s="216">
        <f t="shared" si="76"/>
        <v>0</v>
      </c>
      <c r="F773" s="217">
        <f t="shared" si="76"/>
        <v>0</v>
      </c>
      <c r="G773" s="217">
        <f t="shared" si="76"/>
        <v>0</v>
      </c>
      <c r="H773" s="217">
        <f t="shared" si="76"/>
        <v>0</v>
      </c>
      <c r="I773" s="217">
        <f t="shared" si="76"/>
        <v>11747.6</v>
      </c>
      <c r="J773" s="217">
        <f t="shared" si="76"/>
        <v>12547.6</v>
      </c>
      <c r="K773" s="217">
        <f t="shared" si="76"/>
        <v>12547.6</v>
      </c>
      <c r="L773" s="217">
        <f t="shared" si="76"/>
        <v>12547.6</v>
      </c>
      <c r="M773" s="217">
        <f t="shared" si="76"/>
        <v>9047.6</v>
      </c>
      <c r="N773" s="217">
        <f t="shared" si="76"/>
        <v>9047.6</v>
      </c>
      <c r="O773" s="217">
        <f t="shared" si="76"/>
        <v>9507.6</v>
      </c>
      <c r="P773" s="131"/>
      <c r="Q773" s="183">
        <f t="shared" si="75"/>
        <v>76993.200000000012</v>
      </c>
    </row>
    <row r="774" spans="2:17" ht="17.25" thickTop="1" thickBot="1" x14ac:dyDescent="0.3">
      <c r="B774" s="141"/>
      <c r="C774" s="142" t="s">
        <v>307</v>
      </c>
      <c r="D774" s="143"/>
      <c r="E774" s="144"/>
      <c r="F774" s="145"/>
      <c r="G774" s="145"/>
      <c r="H774" s="146"/>
      <c r="I774" s="146"/>
      <c r="J774" s="146"/>
      <c r="K774" s="146"/>
      <c r="L774" s="146"/>
      <c r="M774" s="146"/>
      <c r="N774" s="146"/>
      <c r="O774" s="146"/>
      <c r="P774" s="129"/>
      <c r="Q774" s="145"/>
    </row>
    <row r="775" spans="2:17" ht="15.75" x14ac:dyDescent="0.25">
      <c r="C775" s="157" t="s">
        <v>97</v>
      </c>
      <c r="D775" s="158"/>
      <c r="E775" s="158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31"/>
      <c r="Q775" s="161"/>
    </row>
    <row r="776" spans="2:17" x14ac:dyDescent="0.2">
      <c r="C776" s="153" t="s">
        <v>98</v>
      </c>
      <c r="D776" s="75">
        <f>+'[1]Budget 2025W'!K1010</f>
        <v>0</v>
      </c>
      <c r="E776" s="75">
        <f>+'[1]Budget 2025W'!L1010</f>
        <v>0</v>
      </c>
      <c r="F776" s="154">
        <f>+'[1]Budget 2025W'!M1010</f>
        <v>0</v>
      </c>
      <c r="G776" s="154">
        <f>+'[1]Budget 2025W'!N1010</f>
        <v>0</v>
      </c>
      <c r="H776" s="154">
        <f>+'[1]Budget 2025W'!O1010</f>
        <v>0</v>
      </c>
      <c r="I776" s="154">
        <f>+'[1]Budget 2025W'!P1010</f>
        <v>2016.304347826087</v>
      </c>
      <c r="J776" s="154">
        <f>+'[1]Budget 2025W'!Q1010</f>
        <v>2016.304347826087</v>
      </c>
      <c r="K776" s="154">
        <f>+'[1]Budget 2025W'!R1010</f>
        <v>2016.304347826087</v>
      </c>
      <c r="L776" s="154">
        <f>+'[1]Budget 2025W'!S1010</f>
        <v>2016.304347826087</v>
      </c>
      <c r="M776" s="154">
        <f>+'[1]Budget 2025W'!T1010</f>
        <v>2016.304347826087</v>
      </c>
      <c r="N776" s="154">
        <f>+'[1]Budget 2025W'!U1010</f>
        <v>2016.304347826087</v>
      </c>
      <c r="O776" s="154">
        <f>+'[1]Budget 2025W'!V1010</f>
        <v>2016.304347826087</v>
      </c>
      <c r="P776" s="131"/>
      <c r="Q776" s="156">
        <f t="shared" ref="Q776:Q792" si="77">SUM(D776:O776)</f>
        <v>14114.130434782612</v>
      </c>
    </row>
    <row r="777" spans="2:17" x14ac:dyDescent="0.2">
      <c r="C777" s="153" t="s">
        <v>99</v>
      </c>
      <c r="D777" s="75">
        <f>+'[1]Budget 2025W'!K1011</f>
        <v>0</v>
      </c>
      <c r="E777" s="75">
        <f>+'[1]Budget 2025W'!L1011</f>
        <v>0</v>
      </c>
      <c r="F777" s="154">
        <f>+'[1]Budget 2025W'!M1011</f>
        <v>0</v>
      </c>
      <c r="G777" s="154">
        <f>+'[1]Budget 2025W'!N1011</f>
        <v>0</v>
      </c>
      <c r="H777" s="154">
        <f>+'[1]Budget 2025W'!O1011</f>
        <v>0</v>
      </c>
      <c r="I777" s="154">
        <f>+'[1]Budget 2025W'!P1011</f>
        <v>0</v>
      </c>
      <c r="J777" s="154">
        <f>+'[1]Budget 2025W'!Q1011</f>
        <v>0</v>
      </c>
      <c r="K777" s="154">
        <f>+'[1]Budget 2025W'!R1011</f>
        <v>0</v>
      </c>
      <c r="L777" s="154">
        <f>+'[1]Budget 2025W'!S1011</f>
        <v>0</v>
      </c>
      <c r="M777" s="154">
        <f>+'[1]Budget 2025W'!T1011</f>
        <v>0</v>
      </c>
      <c r="N777" s="154">
        <f>+'[1]Budget 2025W'!U1011</f>
        <v>0</v>
      </c>
      <c r="O777" s="154">
        <f>+'[1]Budget 2025W'!V1011</f>
        <v>0</v>
      </c>
      <c r="P777" s="131"/>
      <c r="Q777" s="156">
        <f t="shared" si="77"/>
        <v>0</v>
      </c>
    </row>
    <row r="778" spans="2:17" x14ac:dyDescent="0.2">
      <c r="C778" s="153" t="s">
        <v>100</v>
      </c>
      <c r="D778" s="75">
        <f>+'[1]Budget 2025W'!K1012</f>
        <v>0</v>
      </c>
      <c r="E778" s="75">
        <f>+'[1]Budget 2025W'!L1012</f>
        <v>0</v>
      </c>
      <c r="F778" s="154">
        <f>+'[1]Budget 2025W'!M1012</f>
        <v>0</v>
      </c>
      <c r="G778" s="154">
        <f>+'[1]Budget 2025W'!N1012</f>
        <v>0</v>
      </c>
      <c r="H778" s="154">
        <f>+'[1]Budget 2025W'!O1012</f>
        <v>0</v>
      </c>
      <c r="I778" s="154">
        <f>+'[1]Budget 2025W'!P1012</f>
        <v>0</v>
      </c>
      <c r="J778" s="154">
        <f>+'[1]Budget 2025W'!Q1012</f>
        <v>0</v>
      </c>
      <c r="K778" s="154">
        <f>+'[1]Budget 2025W'!R1012</f>
        <v>0</v>
      </c>
      <c r="L778" s="154">
        <f>+'[1]Budget 2025W'!S1012</f>
        <v>0</v>
      </c>
      <c r="M778" s="154">
        <f>+'[1]Budget 2025W'!T1012</f>
        <v>0</v>
      </c>
      <c r="N778" s="154">
        <f>+'[1]Budget 2025W'!U1012</f>
        <v>0</v>
      </c>
      <c r="O778" s="154">
        <f>+'[1]Budget 2025W'!V1012</f>
        <v>0</v>
      </c>
      <c r="P778" s="131"/>
      <c r="Q778" s="156">
        <f t="shared" si="77"/>
        <v>0</v>
      </c>
    </row>
    <row r="779" spans="2:17" x14ac:dyDescent="0.2">
      <c r="C779" s="153" t="s">
        <v>101</v>
      </c>
      <c r="D779" s="75">
        <f>+'[1]Budget 2025W'!K1013</f>
        <v>0</v>
      </c>
      <c r="E779" s="75">
        <f>+'[1]Budget 2025W'!L1013</f>
        <v>0</v>
      </c>
      <c r="F779" s="154">
        <f>+'[1]Budget 2025W'!M1013</f>
        <v>0</v>
      </c>
      <c r="G779" s="154">
        <f>+'[1]Budget 2025W'!N1013</f>
        <v>0</v>
      </c>
      <c r="H779" s="154">
        <f>+'[1]Budget 2025W'!O1013</f>
        <v>0</v>
      </c>
      <c r="I779" s="154">
        <f>+'[1]Budget 2025W'!P1013</f>
        <v>0</v>
      </c>
      <c r="J779" s="154">
        <f>+'[1]Budget 2025W'!Q1013</f>
        <v>33.605072463768117</v>
      </c>
      <c r="K779" s="154">
        <f>+'[1]Budget 2025W'!R1013</f>
        <v>100.81521739130434</v>
      </c>
      <c r="L779" s="154">
        <f>+'[1]Budget 2025W'!S1013</f>
        <v>33.605072463768117</v>
      </c>
      <c r="M779" s="154">
        <f>+'[1]Budget 2025W'!T1013</f>
        <v>0</v>
      </c>
      <c r="N779" s="154">
        <f>+'[1]Budget 2025W'!U1013</f>
        <v>0</v>
      </c>
      <c r="O779" s="154">
        <f>+'[1]Budget 2025W'!V1013</f>
        <v>67.210144927536234</v>
      </c>
      <c r="P779" s="131"/>
      <c r="Q779" s="156">
        <f t="shared" si="77"/>
        <v>235.23550724637681</v>
      </c>
    </row>
    <row r="780" spans="2:17" x14ac:dyDescent="0.2">
      <c r="C780" s="153" t="s">
        <v>102</v>
      </c>
      <c r="D780" s="75">
        <f>+'[1]Budget 2025W'!K1014</f>
        <v>0</v>
      </c>
      <c r="E780" s="75">
        <f>+'[1]Budget 2025W'!L1014</f>
        <v>0</v>
      </c>
      <c r="F780" s="154">
        <f>+'[1]Budget 2025W'!M1014</f>
        <v>0</v>
      </c>
      <c r="G780" s="154">
        <f>+'[1]Budget 2025W'!N1014</f>
        <v>0</v>
      </c>
      <c r="H780" s="154">
        <f>+'[1]Budget 2025W'!O1014</f>
        <v>0</v>
      </c>
      <c r="I780" s="154">
        <f>+'[1]Budget 2025W'!P1014</f>
        <v>0</v>
      </c>
      <c r="J780" s="154">
        <f>+'[1]Budget 2025W'!Q1014</f>
        <v>0</v>
      </c>
      <c r="K780" s="154">
        <f>+'[1]Budget 2025W'!R1014</f>
        <v>0</v>
      </c>
      <c r="L780" s="154">
        <f>+'[1]Budget 2025W'!S1014</f>
        <v>0</v>
      </c>
      <c r="M780" s="154">
        <f>+'[1]Budget 2025W'!T1014</f>
        <v>0</v>
      </c>
      <c r="N780" s="154">
        <f>+'[1]Budget 2025W'!U1014</f>
        <v>0</v>
      </c>
      <c r="O780" s="154">
        <f>+'[1]Budget 2025W'!V1014</f>
        <v>0</v>
      </c>
      <c r="P780" s="131"/>
      <c r="Q780" s="156">
        <f t="shared" si="77"/>
        <v>0</v>
      </c>
    </row>
    <row r="781" spans="2:17" x14ac:dyDescent="0.2">
      <c r="C781" s="153" t="s">
        <v>103</v>
      </c>
      <c r="D781" s="75">
        <f>+'[1]Budget 2025W'!K1015</f>
        <v>0</v>
      </c>
      <c r="E781" s="75">
        <f>+'[1]Budget 2025W'!L1015</f>
        <v>0</v>
      </c>
      <c r="F781" s="154">
        <f>+'[1]Budget 2025W'!M1015</f>
        <v>0</v>
      </c>
      <c r="G781" s="154">
        <f>+'[1]Budget 2025W'!N1015</f>
        <v>0</v>
      </c>
      <c r="H781" s="154">
        <f>+'[1]Budget 2025W'!O1015</f>
        <v>0</v>
      </c>
      <c r="I781" s="154">
        <f>+'[1]Budget 2025W'!P1015</f>
        <v>562.61343478260869</v>
      </c>
      <c r="J781" s="154">
        <f>+'[1]Budget 2025W'!Q1015</f>
        <v>571.62967572463765</v>
      </c>
      <c r="K781" s="154">
        <f>+'[1]Budget 2025W'!R1015</f>
        <v>589.66215760869568</v>
      </c>
      <c r="L781" s="154">
        <f>+'[1]Budget 2025W'!S1015</f>
        <v>571.62967572463765</v>
      </c>
      <c r="M781" s="154">
        <f>+'[1]Budget 2025W'!T1015</f>
        <v>562.61343478260869</v>
      </c>
      <c r="N781" s="154">
        <f>+'[1]Budget 2025W'!U1015</f>
        <v>562.61343478260869</v>
      </c>
      <c r="O781" s="154">
        <f>+'[1]Budget 2025W'!V1015</f>
        <v>580.64591666666661</v>
      </c>
      <c r="P781" s="131"/>
      <c r="Q781" s="156">
        <f t="shared" si="77"/>
        <v>4001.4077300724639</v>
      </c>
    </row>
    <row r="782" spans="2:17" x14ac:dyDescent="0.2">
      <c r="C782" s="153" t="s">
        <v>104</v>
      </c>
      <c r="D782" s="75">
        <f>+'[1]Budget 2025W'!K1016</f>
        <v>0</v>
      </c>
      <c r="E782" s="75">
        <f>+'[1]Budget 2025W'!L1016</f>
        <v>0</v>
      </c>
      <c r="F782" s="154">
        <f>+'[1]Budget 2025W'!M1016</f>
        <v>0</v>
      </c>
      <c r="G782" s="154">
        <f>+'[1]Budget 2025W'!N1016</f>
        <v>0</v>
      </c>
      <c r="H782" s="154">
        <f>+'[1]Budget 2025W'!O1016</f>
        <v>0</v>
      </c>
      <c r="I782" s="154">
        <f>+'[1]Budget 2025W'!P1016</f>
        <v>174.74637681159422</v>
      </c>
      <c r="J782" s="154">
        <f>+'[1]Budget 2025W'!Q1016</f>
        <v>177.54679951690821</v>
      </c>
      <c r="K782" s="154">
        <f>+'[1]Budget 2025W'!R1016</f>
        <v>183.14764492753625</v>
      </c>
      <c r="L782" s="154">
        <f>+'[1]Budget 2025W'!S1016</f>
        <v>177.54679951690821</v>
      </c>
      <c r="M782" s="154">
        <f>+'[1]Budget 2025W'!T1016</f>
        <v>174.74637681159422</v>
      </c>
      <c r="N782" s="154">
        <f>+'[1]Budget 2025W'!U1016</f>
        <v>174.74637681159422</v>
      </c>
      <c r="O782" s="154">
        <f>+'[1]Budget 2025W'!V1016</f>
        <v>180.3472222222222</v>
      </c>
      <c r="P782" s="131"/>
      <c r="Q782" s="156">
        <f t="shared" si="77"/>
        <v>1242.8275966183576</v>
      </c>
    </row>
    <row r="783" spans="2:17" x14ac:dyDescent="0.2">
      <c r="C783" s="153" t="s">
        <v>105</v>
      </c>
      <c r="D783" s="75">
        <f>+'[1]Budget 2025W'!K1017</f>
        <v>0</v>
      </c>
      <c r="E783" s="75">
        <f>+'[1]Budget 2025W'!L1017</f>
        <v>0</v>
      </c>
      <c r="F783" s="154">
        <f>+'[1]Budget 2025W'!M1017</f>
        <v>0</v>
      </c>
      <c r="G783" s="154">
        <f>+'[1]Budget 2025W'!N1017</f>
        <v>0</v>
      </c>
      <c r="H783" s="154">
        <f>+'[1]Budget 2025W'!O1017</f>
        <v>0</v>
      </c>
      <c r="I783" s="154">
        <f>+'[1]Budget 2025W'!P1017</f>
        <v>26.211956521739133</v>
      </c>
      <c r="J783" s="154">
        <f>+'[1]Budget 2025W'!Q1017</f>
        <v>26.632019927536234</v>
      </c>
      <c r="K783" s="154">
        <f>+'[1]Budget 2025W'!R1017</f>
        <v>27.472146739130437</v>
      </c>
      <c r="L783" s="154">
        <f>+'[1]Budget 2025W'!S1017</f>
        <v>26.632019927536234</v>
      </c>
      <c r="M783" s="154">
        <f>+'[1]Budget 2025W'!T1017</f>
        <v>26.211956521739133</v>
      </c>
      <c r="N783" s="154">
        <f>+'[1]Budget 2025W'!U1017</f>
        <v>26.211956521739133</v>
      </c>
      <c r="O783" s="154">
        <f>+'[1]Budget 2025W'!V1017</f>
        <v>27.052083333333332</v>
      </c>
      <c r="P783" s="131"/>
      <c r="Q783" s="156">
        <f t="shared" si="77"/>
        <v>186.42413949275365</v>
      </c>
    </row>
    <row r="784" spans="2:17" x14ac:dyDescent="0.2">
      <c r="C784" s="153" t="s">
        <v>106</v>
      </c>
      <c r="D784" s="75">
        <f>+'[1]Budget 2025W'!K1018</f>
        <v>0</v>
      </c>
      <c r="E784" s="75">
        <f>+'[1]Budget 2025W'!L1018</f>
        <v>0</v>
      </c>
      <c r="F784" s="154">
        <f>+'[1]Budget 2025W'!M1018</f>
        <v>0</v>
      </c>
      <c r="G784" s="154">
        <f>+'[1]Budget 2025W'!N1018</f>
        <v>0</v>
      </c>
      <c r="H784" s="154">
        <f>+'[1]Budget 2025W'!O1018</f>
        <v>0</v>
      </c>
      <c r="I784" s="154">
        <f>+'[1]Budget 2025W'!P1018</f>
        <v>0</v>
      </c>
      <c r="J784" s="154">
        <f>+'[1]Budget 2025W'!Q1018</f>
        <v>0</v>
      </c>
      <c r="K784" s="154">
        <f>+'[1]Budget 2025W'!R1018</f>
        <v>0</v>
      </c>
      <c r="L784" s="154">
        <f>+'[1]Budget 2025W'!S1018</f>
        <v>0</v>
      </c>
      <c r="M784" s="154">
        <f>+'[1]Budget 2025W'!T1018</f>
        <v>0</v>
      </c>
      <c r="N784" s="154">
        <f>+'[1]Budget 2025W'!U1018</f>
        <v>0</v>
      </c>
      <c r="O784" s="154">
        <f>+'[1]Budget 2025W'!V1018</f>
        <v>0</v>
      </c>
      <c r="P784" s="131"/>
      <c r="Q784" s="156">
        <f t="shared" si="77"/>
        <v>0</v>
      </c>
    </row>
    <row r="785" spans="3:17" x14ac:dyDescent="0.2">
      <c r="C785" s="153" t="s">
        <v>107</v>
      </c>
      <c r="D785" s="75">
        <f>+'[1]Budget 2025W'!K1019</f>
        <v>0</v>
      </c>
      <c r="E785" s="75">
        <f>+'[1]Budget 2025W'!L1019</f>
        <v>0</v>
      </c>
      <c r="F785" s="154">
        <f>+'[1]Budget 2025W'!M1019</f>
        <v>0</v>
      </c>
      <c r="G785" s="154">
        <f>+'[1]Budget 2025W'!N1019</f>
        <v>0</v>
      </c>
      <c r="H785" s="154">
        <f>+'[1]Budget 2025W'!O1019</f>
        <v>0</v>
      </c>
      <c r="I785" s="154">
        <f>+'[1]Budget 2025W'!P1019</f>
        <v>80.652173913043484</v>
      </c>
      <c r="J785" s="154">
        <f>+'[1]Budget 2025W'!Q1019</f>
        <v>80.652173913043484</v>
      </c>
      <c r="K785" s="154">
        <f>+'[1]Budget 2025W'!R1019</f>
        <v>80.652173913043484</v>
      </c>
      <c r="L785" s="154">
        <f>+'[1]Budget 2025W'!S1019</f>
        <v>80.652173913043484</v>
      </c>
      <c r="M785" s="154">
        <f>+'[1]Budget 2025W'!T1019</f>
        <v>80.652173913043484</v>
      </c>
      <c r="N785" s="154">
        <f>+'[1]Budget 2025W'!U1019</f>
        <v>80.652173913043484</v>
      </c>
      <c r="O785" s="154">
        <f>+'[1]Budget 2025W'!V1019</f>
        <v>80.652173913043484</v>
      </c>
      <c r="P785" s="131"/>
      <c r="Q785" s="156">
        <f t="shared" si="77"/>
        <v>564.56521739130437</v>
      </c>
    </row>
    <row r="786" spans="3:17" x14ac:dyDescent="0.2">
      <c r="C786" s="153" t="s">
        <v>108</v>
      </c>
      <c r="D786" s="75">
        <f>+'[1]Budget 2025W'!K1020</f>
        <v>0</v>
      </c>
      <c r="E786" s="75">
        <f>+'[1]Budget 2025W'!L1020</f>
        <v>0</v>
      </c>
      <c r="F786" s="154">
        <f>+'[1]Budget 2025W'!M1020</f>
        <v>0</v>
      </c>
      <c r="G786" s="154">
        <f>+'[1]Budget 2025W'!N1020</f>
        <v>0</v>
      </c>
      <c r="H786" s="154">
        <f>+'[1]Budget 2025W'!O1020</f>
        <v>0</v>
      </c>
      <c r="I786" s="154">
        <f>+'[1]Budget 2025W'!P1020</f>
        <v>0</v>
      </c>
      <c r="J786" s="154">
        <f>+'[1]Budget 2025W'!Q1020</f>
        <v>0</v>
      </c>
      <c r="K786" s="154">
        <f>+'[1]Budget 2025W'!R1020</f>
        <v>0</v>
      </c>
      <c r="L786" s="154">
        <f>+'[1]Budget 2025W'!S1020</f>
        <v>0</v>
      </c>
      <c r="M786" s="154">
        <f>+'[1]Budget 2025W'!T1020</f>
        <v>0</v>
      </c>
      <c r="N786" s="154">
        <f>+'[1]Budget 2025W'!U1020</f>
        <v>0</v>
      </c>
      <c r="O786" s="154">
        <f>+'[1]Budget 2025W'!V1020</f>
        <v>0</v>
      </c>
      <c r="P786" s="131"/>
      <c r="Q786" s="156">
        <f t="shared" si="77"/>
        <v>0</v>
      </c>
    </row>
    <row r="787" spans="3:17" x14ac:dyDescent="0.2">
      <c r="C787" s="153" t="s">
        <v>109</v>
      </c>
      <c r="D787" s="75">
        <f>+'[1]Budget 2025W'!K1021</f>
        <v>0</v>
      </c>
      <c r="E787" s="75">
        <f>+'[1]Budget 2025W'!L1021</f>
        <v>0</v>
      </c>
      <c r="F787" s="154">
        <f>+'[1]Budget 2025W'!M1021</f>
        <v>0</v>
      </c>
      <c r="G787" s="154">
        <f>+'[1]Budget 2025W'!N1021</f>
        <v>0</v>
      </c>
      <c r="H787" s="154">
        <f>+'[1]Budget 2025W'!O1021</f>
        <v>0</v>
      </c>
      <c r="I787" s="154">
        <f>+'[1]Budget 2025W'!P1021</f>
        <v>0</v>
      </c>
      <c r="J787" s="154">
        <f>+'[1]Budget 2025W'!Q1021</f>
        <v>0</v>
      </c>
      <c r="K787" s="154">
        <f>+'[1]Budget 2025W'!R1021</f>
        <v>0</v>
      </c>
      <c r="L787" s="154">
        <f>+'[1]Budget 2025W'!S1021</f>
        <v>0</v>
      </c>
      <c r="M787" s="154">
        <f>+'[1]Budget 2025W'!T1021</f>
        <v>0</v>
      </c>
      <c r="N787" s="154">
        <f>+'[1]Budget 2025W'!U1021</f>
        <v>0</v>
      </c>
      <c r="O787" s="154">
        <f>+'[1]Budget 2025W'!V1021</f>
        <v>0</v>
      </c>
      <c r="P787" s="131"/>
      <c r="Q787" s="156">
        <f t="shared" si="77"/>
        <v>0</v>
      </c>
    </row>
    <row r="788" spans="3:17" x14ac:dyDescent="0.2">
      <c r="C788" s="153" t="s">
        <v>110</v>
      </c>
      <c r="D788" s="75">
        <f>+'[1]Budget 2025W'!K1022</f>
        <v>0</v>
      </c>
      <c r="E788" s="75">
        <f>+'[1]Budget 2025W'!L1022</f>
        <v>0</v>
      </c>
      <c r="F788" s="154">
        <f>+'[1]Budget 2025W'!M1022</f>
        <v>0</v>
      </c>
      <c r="G788" s="154">
        <f>+'[1]Budget 2025W'!N1022</f>
        <v>0</v>
      </c>
      <c r="H788" s="154">
        <f>+'[1]Budget 2025W'!O1022</f>
        <v>0</v>
      </c>
      <c r="I788" s="154">
        <f>+'[1]Budget 2025W'!P1022</f>
        <v>0</v>
      </c>
      <c r="J788" s="154">
        <f>+'[1]Budget 2025W'!Q1022</f>
        <v>0</v>
      </c>
      <c r="K788" s="154">
        <f>+'[1]Budget 2025W'!R1022</f>
        <v>0</v>
      </c>
      <c r="L788" s="154">
        <f>+'[1]Budget 2025W'!S1022</f>
        <v>0</v>
      </c>
      <c r="M788" s="154">
        <f>+'[1]Budget 2025W'!T1022</f>
        <v>0</v>
      </c>
      <c r="N788" s="154">
        <f>+'[1]Budget 2025W'!U1022</f>
        <v>0</v>
      </c>
      <c r="O788" s="154">
        <f>+'[1]Budget 2025W'!V1022</f>
        <v>0</v>
      </c>
      <c r="P788" s="131"/>
      <c r="Q788" s="156">
        <f t="shared" si="77"/>
        <v>0</v>
      </c>
    </row>
    <row r="789" spans="3:17" x14ac:dyDescent="0.2">
      <c r="C789" s="153" t="s">
        <v>111</v>
      </c>
      <c r="D789" s="75">
        <f>+'[1]Budget 2025W'!K1023</f>
        <v>0</v>
      </c>
      <c r="E789" s="75">
        <f>+'[1]Budget 2025W'!L1023</f>
        <v>0</v>
      </c>
      <c r="F789" s="154">
        <f>+'[1]Budget 2025W'!M1023</f>
        <v>0</v>
      </c>
      <c r="G789" s="154">
        <f>+'[1]Budget 2025W'!N1023</f>
        <v>0</v>
      </c>
      <c r="H789" s="154">
        <f>+'[1]Budget 2025W'!O1023</f>
        <v>0</v>
      </c>
      <c r="I789" s="154">
        <f>+'[1]Budget 2025W'!P1023</f>
        <v>0</v>
      </c>
      <c r="J789" s="154">
        <f>+'[1]Budget 2025W'!Q1023</f>
        <v>0</v>
      </c>
      <c r="K789" s="154">
        <f>+'[1]Budget 2025W'!R1023</f>
        <v>0</v>
      </c>
      <c r="L789" s="154">
        <f>+'[1]Budget 2025W'!S1023</f>
        <v>0</v>
      </c>
      <c r="M789" s="154">
        <f>+'[1]Budget 2025W'!T1023</f>
        <v>0</v>
      </c>
      <c r="N789" s="154">
        <f>+'[1]Budget 2025W'!U1023</f>
        <v>0</v>
      </c>
      <c r="O789" s="154">
        <f>+'[1]Budget 2025W'!V1023</f>
        <v>0</v>
      </c>
      <c r="P789" s="131"/>
      <c r="Q789" s="156">
        <f t="shared" si="77"/>
        <v>0</v>
      </c>
    </row>
    <row r="790" spans="3:17" x14ac:dyDescent="0.2">
      <c r="C790" s="153" t="s">
        <v>112</v>
      </c>
      <c r="D790" s="75">
        <f>+'[1]Budget 2025W'!K1024</f>
        <v>0</v>
      </c>
      <c r="E790" s="75">
        <f>+'[1]Budget 2025W'!L1024</f>
        <v>0</v>
      </c>
      <c r="F790" s="154">
        <f>+'[1]Budget 2025W'!M1024</f>
        <v>0</v>
      </c>
      <c r="G790" s="154">
        <f>+'[1]Budget 2025W'!N1024</f>
        <v>0</v>
      </c>
      <c r="H790" s="154">
        <f>+'[1]Budget 2025W'!O1024</f>
        <v>0</v>
      </c>
      <c r="I790" s="154">
        <f>+'[1]Budget 2025W'!P1024</f>
        <v>0</v>
      </c>
      <c r="J790" s="154">
        <f>+'[1]Budget 2025W'!Q1024</f>
        <v>0</v>
      </c>
      <c r="K790" s="154">
        <f>+'[1]Budget 2025W'!R1024</f>
        <v>0</v>
      </c>
      <c r="L790" s="154">
        <f>+'[1]Budget 2025W'!S1024</f>
        <v>0</v>
      </c>
      <c r="M790" s="154">
        <f>+'[1]Budget 2025W'!T1024</f>
        <v>0</v>
      </c>
      <c r="N790" s="154">
        <f>+'[1]Budget 2025W'!U1024</f>
        <v>0</v>
      </c>
      <c r="O790" s="154">
        <f>+'[1]Budget 2025W'!V1024</f>
        <v>0</v>
      </c>
      <c r="P790" s="131"/>
      <c r="Q790" s="156">
        <f t="shared" si="77"/>
        <v>0</v>
      </c>
    </row>
    <row r="791" spans="3:17" ht="15.75" thickBot="1" x14ac:dyDescent="0.25">
      <c r="C791" s="153" t="s">
        <v>113</v>
      </c>
      <c r="D791" s="75">
        <f>+'[1]Budget 2025W'!K1025</f>
        <v>0</v>
      </c>
      <c r="E791" s="75">
        <f>+'[1]Budget 2025W'!L1025</f>
        <v>0</v>
      </c>
      <c r="F791" s="154">
        <f>+'[1]Budget 2025W'!M1025</f>
        <v>0</v>
      </c>
      <c r="G791" s="154">
        <f>+'[1]Budget 2025W'!N1025</f>
        <v>0</v>
      </c>
      <c r="H791" s="154">
        <f>+'[1]Budget 2025W'!O1025</f>
        <v>0</v>
      </c>
      <c r="I791" s="154">
        <f>+'[1]Budget 2025W'!P1025</f>
        <v>0</v>
      </c>
      <c r="J791" s="154">
        <f>+'[1]Budget 2025W'!Q1025</f>
        <v>0</v>
      </c>
      <c r="K791" s="154">
        <f>+'[1]Budget 2025W'!R1025</f>
        <v>0</v>
      </c>
      <c r="L791" s="154">
        <f>+'[1]Budget 2025W'!S1025</f>
        <v>0</v>
      </c>
      <c r="M791" s="154">
        <f>+'[1]Budget 2025W'!T1025</f>
        <v>0</v>
      </c>
      <c r="N791" s="154">
        <f>+'[1]Budget 2025W'!U1025</f>
        <v>0</v>
      </c>
      <c r="O791" s="154">
        <f>+'[1]Budget 2025W'!V1025</f>
        <v>0</v>
      </c>
      <c r="P791" s="131"/>
      <c r="Q791" s="156">
        <f t="shared" si="77"/>
        <v>0</v>
      </c>
    </row>
    <row r="792" spans="3:17" ht="17.25" thickTop="1" thickBot="1" x14ac:dyDescent="0.3">
      <c r="C792" s="162" t="s">
        <v>114</v>
      </c>
      <c r="D792" s="163">
        <f>+'[1]Budget 2025W'!K1028</f>
        <v>0</v>
      </c>
      <c r="E792" s="163">
        <f>+'[1]Budget 2025W'!L1028</f>
        <v>0</v>
      </c>
      <c r="F792" s="163">
        <f>+'[1]Budget 2025W'!M1028</f>
        <v>0</v>
      </c>
      <c r="G792" s="163">
        <f>+'[1]Budget 2025W'!N1028</f>
        <v>0</v>
      </c>
      <c r="H792" s="163">
        <f>+'[1]Budget 2025W'!O1028</f>
        <v>0</v>
      </c>
      <c r="I792" s="163">
        <f>+'[1]Budget 2025W'!P1028</f>
        <v>2860.5282898550722</v>
      </c>
      <c r="J792" s="163">
        <f>+'[1]Budget 2025W'!Q1028</f>
        <v>2906.3700893719806</v>
      </c>
      <c r="K792" s="163">
        <f>+'[1]Budget 2025W'!R1028</f>
        <v>2998.0536884057974</v>
      </c>
      <c r="L792" s="163">
        <f>+'[1]Budget 2025W'!S1028</f>
        <v>2906.3700893719806</v>
      </c>
      <c r="M792" s="163">
        <f>+'[1]Budget 2025W'!T1028</f>
        <v>2860.5282898550722</v>
      </c>
      <c r="N792" s="163">
        <f>+'[1]Budget 2025W'!U1028</f>
        <v>2860.5282898550722</v>
      </c>
      <c r="O792" s="163">
        <f>+'[1]Budget 2025W'!V1028</f>
        <v>2952.2118888888886</v>
      </c>
      <c r="P792" s="131"/>
      <c r="Q792" s="207">
        <f t="shared" si="77"/>
        <v>20344.590625603862</v>
      </c>
    </row>
    <row r="793" spans="3:17" ht="16.5" thickTop="1" x14ac:dyDescent="0.25">
      <c r="C793" s="195" t="s">
        <v>44</v>
      </c>
      <c r="D793" s="196"/>
      <c r="E793" s="196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31"/>
      <c r="Q793" s="161"/>
    </row>
    <row r="794" spans="3:17" x14ac:dyDescent="0.2">
      <c r="C794" s="153" t="s">
        <v>225</v>
      </c>
      <c r="D794" s="75">
        <f>+'[1]Budget 2025W'!K1031</f>
        <v>0</v>
      </c>
      <c r="E794" s="75">
        <f>+'[1]Budget 2025W'!L1031</f>
        <v>0</v>
      </c>
      <c r="F794" s="154">
        <f>+'[1]Budget 2025W'!M1031</f>
        <v>0</v>
      </c>
      <c r="G794" s="154">
        <f>+'[1]Budget 2025W'!N1031</f>
        <v>0</v>
      </c>
      <c r="H794" s="154">
        <f>+'[1]Budget 2025W'!O1031</f>
        <v>0</v>
      </c>
      <c r="I794" s="154">
        <f>+'[1]Budget 2025W'!P1031</f>
        <v>2500</v>
      </c>
      <c r="J794" s="154">
        <f>+'[1]Budget 2025W'!Q1031</f>
        <v>2500</v>
      </c>
      <c r="K794" s="154">
        <f>+'[1]Budget 2025W'!R1031</f>
        <v>2500</v>
      </c>
      <c r="L794" s="154">
        <f>+'[1]Budget 2025W'!S1031</f>
        <v>2500</v>
      </c>
      <c r="M794" s="154">
        <f>+'[1]Budget 2025W'!T1031</f>
        <v>2500</v>
      </c>
      <c r="N794" s="154">
        <f>+'[1]Budget 2025W'!U1031</f>
        <v>2500</v>
      </c>
      <c r="O794" s="154">
        <f>+'[1]Budget 2025W'!V1031</f>
        <v>2500</v>
      </c>
      <c r="P794" s="131"/>
      <c r="Q794" s="156">
        <f t="shared" ref="Q794:Q827" si="78">SUM(D794:O794)</f>
        <v>17500</v>
      </c>
    </row>
    <row r="795" spans="3:17" x14ac:dyDescent="0.2">
      <c r="C795" s="153" t="s">
        <v>116</v>
      </c>
      <c r="D795" s="75">
        <f>+'[1]Budget 2025W'!K1032</f>
        <v>0</v>
      </c>
      <c r="E795" s="75">
        <f>+'[1]Budget 2025W'!L1032</f>
        <v>0</v>
      </c>
      <c r="F795" s="154">
        <f>+'[1]Budget 2025W'!M1032</f>
        <v>0</v>
      </c>
      <c r="G795" s="154">
        <f>+'[1]Budget 2025W'!N1032</f>
        <v>0</v>
      </c>
      <c r="H795" s="154">
        <f>+'[1]Budget 2025W'!O1032</f>
        <v>0</v>
      </c>
      <c r="I795" s="154">
        <f>+'[1]Budget 2025W'!P1032</f>
        <v>0</v>
      </c>
      <c r="J795" s="154">
        <f>+'[1]Budget 2025W'!Q1032</f>
        <v>0</v>
      </c>
      <c r="K795" s="154">
        <f>+'[1]Budget 2025W'!R1032</f>
        <v>0</v>
      </c>
      <c r="L795" s="154">
        <f>+'[1]Budget 2025W'!S1032</f>
        <v>0</v>
      </c>
      <c r="M795" s="154">
        <f>+'[1]Budget 2025W'!T1032</f>
        <v>0</v>
      </c>
      <c r="N795" s="154">
        <f>+'[1]Budget 2025W'!U1032</f>
        <v>0</v>
      </c>
      <c r="O795" s="154">
        <f>+'[1]Budget 2025W'!V1032</f>
        <v>0</v>
      </c>
      <c r="P795" s="131"/>
      <c r="Q795" s="156">
        <f t="shared" si="78"/>
        <v>0</v>
      </c>
    </row>
    <row r="796" spans="3:17" x14ac:dyDescent="0.2">
      <c r="C796" s="153" t="s">
        <v>121</v>
      </c>
      <c r="D796" s="75">
        <f>+'[1]Budget 2025W'!K1033</f>
        <v>0</v>
      </c>
      <c r="E796" s="75">
        <f>+'[1]Budget 2025W'!L1033</f>
        <v>0</v>
      </c>
      <c r="F796" s="154">
        <f>+'[1]Budget 2025W'!M1033</f>
        <v>0</v>
      </c>
      <c r="G796" s="154">
        <f>+'[1]Budget 2025W'!N1033</f>
        <v>0</v>
      </c>
      <c r="H796" s="154">
        <f>+'[1]Budget 2025W'!O1033</f>
        <v>0</v>
      </c>
      <c r="I796" s="154">
        <f>+'[1]Budget 2025W'!P1033</f>
        <v>0</v>
      </c>
      <c r="J796" s="154">
        <f>+'[1]Budget 2025W'!Q1033</f>
        <v>0</v>
      </c>
      <c r="K796" s="154">
        <f>+'[1]Budget 2025W'!R1033</f>
        <v>0</v>
      </c>
      <c r="L796" s="154">
        <f>+'[1]Budget 2025W'!S1033</f>
        <v>0</v>
      </c>
      <c r="M796" s="154">
        <f>+'[1]Budget 2025W'!T1033</f>
        <v>0</v>
      </c>
      <c r="N796" s="154">
        <f>+'[1]Budget 2025W'!U1033</f>
        <v>0</v>
      </c>
      <c r="O796" s="154">
        <f>+'[1]Budget 2025W'!V1033</f>
        <v>0</v>
      </c>
      <c r="P796" s="131"/>
      <c r="Q796" s="156">
        <f t="shared" si="78"/>
        <v>0</v>
      </c>
    </row>
    <row r="797" spans="3:17" x14ac:dyDescent="0.2">
      <c r="C797" s="153" t="s">
        <v>122</v>
      </c>
      <c r="D797" s="75">
        <f>+'[1]Budget 2025W'!K1034</f>
        <v>0</v>
      </c>
      <c r="E797" s="75">
        <f>+'[1]Budget 2025W'!L1034</f>
        <v>0</v>
      </c>
      <c r="F797" s="154">
        <f>+'[1]Budget 2025W'!M1034</f>
        <v>0</v>
      </c>
      <c r="G797" s="154">
        <f>+'[1]Budget 2025W'!N1034</f>
        <v>0</v>
      </c>
      <c r="H797" s="154">
        <f>+'[1]Budget 2025W'!O1034</f>
        <v>0</v>
      </c>
      <c r="I797" s="154">
        <f>+'[1]Budget 2025W'!P1034</f>
        <v>0</v>
      </c>
      <c r="J797" s="154">
        <f>+'[1]Budget 2025W'!Q1034</f>
        <v>0</v>
      </c>
      <c r="K797" s="154">
        <f>+'[1]Budget 2025W'!R1034</f>
        <v>0</v>
      </c>
      <c r="L797" s="154">
        <f>+'[1]Budget 2025W'!S1034</f>
        <v>0</v>
      </c>
      <c r="M797" s="154">
        <f>+'[1]Budget 2025W'!T1034</f>
        <v>0</v>
      </c>
      <c r="N797" s="154">
        <f>+'[1]Budget 2025W'!U1034</f>
        <v>0</v>
      </c>
      <c r="O797" s="154">
        <f>+'[1]Budget 2025W'!V1034</f>
        <v>0</v>
      </c>
      <c r="P797" s="131"/>
      <c r="Q797" s="156">
        <f t="shared" si="78"/>
        <v>0</v>
      </c>
    </row>
    <row r="798" spans="3:17" x14ac:dyDescent="0.2">
      <c r="C798" s="153" t="s">
        <v>170</v>
      </c>
      <c r="D798" s="75">
        <f>+'[1]Budget 2025W'!K1035</f>
        <v>0</v>
      </c>
      <c r="E798" s="75">
        <f>+'[1]Budget 2025W'!L1035</f>
        <v>0</v>
      </c>
      <c r="F798" s="154">
        <f>+'[1]Budget 2025W'!M1035</f>
        <v>0</v>
      </c>
      <c r="G798" s="154">
        <f>+'[1]Budget 2025W'!N1035</f>
        <v>0</v>
      </c>
      <c r="H798" s="154">
        <f>+'[1]Budget 2025W'!O1035</f>
        <v>0</v>
      </c>
      <c r="I798" s="154">
        <f>+'[1]Budget 2025W'!P1035</f>
        <v>0</v>
      </c>
      <c r="J798" s="154">
        <f>+'[1]Budget 2025W'!Q1035</f>
        <v>0</v>
      </c>
      <c r="K798" s="154">
        <f>+'[1]Budget 2025W'!R1035</f>
        <v>0</v>
      </c>
      <c r="L798" s="154">
        <f>+'[1]Budget 2025W'!S1035</f>
        <v>0</v>
      </c>
      <c r="M798" s="154">
        <f>+'[1]Budget 2025W'!T1035</f>
        <v>0</v>
      </c>
      <c r="N798" s="154">
        <f>+'[1]Budget 2025W'!U1035</f>
        <v>0</v>
      </c>
      <c r="O798" s="154">
        <f>+'[1]Budget 2025W'!V1035</f>
        <v>0</v>
      </c>
      <c r="P798" s="131"/>
      <c r="Q798" s="156">
        <f t="shared" si="78"/>
        <v>0</v>
      </c>
    </row>
    <row r="799" spans="3:17" x14ac:dyDescent="0.2">
      <c r="C799" s="153" t="s">
        <v>308</v>
      </c>
      <c r="D799" s="75">
        <f>+'[1]Budget 2025W'!K1036</f>
        <v>0</v>
      </c>
      <c r="E799" s="75">
        <f>+'[1]Budget 2025W'!L1036</f>
        <v>0</v>
      </c>
      <c r="F799" s="154">
        <f>+'[1]Budget 2025W'!M1036</f>
        <v>0</v>
      </c>
      <c r="G799" s="154">
        <f>+'[1]Budget 2025W'!N1036</f>
        <v>0</v>
      </c>
      <c r="H799" s="154">
        <f>+'[1]Budget 2025W'!O1036</f>
        <v>0</v>
      </c>
      <c r="I799" s="154">
        <f>+'[1]Budget 2025W'!P1036</f>
        <v>2000</v>
      </c>
      <c r="J799" s="154">
        <f>+'[1]Budget 2025W'!Q1036</f>
        <v>2000</v>
      </c>
      <c r="K799" s="154">
        <f>+'[1]Budget 2025W'!R1036</f>
        <v>2000</v>
      </c>
      <c r="L799" s="154">
        <f>+'[1]Budget 2025W'!S1036</f>
        <v>2000</v>
      </c>
      <c r="M799" s="154">
        <f>+'[1]Budget 2025W'!T1036</f>
        <v>2000</v>
      </c>
      <c r="N799" s="154">
        <f>+'[1]Budget 2025W'!U1036</f>
        <v>2000</v>
      </c>
      <c r="O799" s="154">
        <f>+'[1]Budget 2025W'!V1036</f>
        <v>2000</v>
      </c>
      <c r="P799" s="131"/>
      <c r="Q799" s="156">
        <f t="shared" si="78"/>
        <v>14000</v>
      </c>
    </row>
    <row r="800" spans="3:17" x14ac:dyDescent="0.2">
      <c r="C800" s="153" t="s">
        <v>309</v>
      </c>
      <c r="D800" s="75">
        <f>+'[1]Budget 2025W'!K1037</f>
        <v>0</v>
      </c>
      <c r="E800" s="75">
        <f>+'[1]Budget 2025W'!L1037</f>
        <v>0</v>
      </c>
      <c r="F800" s="154">
        <f>+'[1]Budget 2025W'!M1037</f>
        <v>0</v>
      </c>
      <c r="G800" s="154">
        <f>+'[1]Budget 2025W'!N1037</f>
        <v>0</v>
      </c>
      <c r="H800" s="154">
        <f>+'[1]Budget 2025W'!O1037</f>
        <v>0</v>
      </c>
      <c r="I800" s="154">
        <f>+'[1]Budget 2025W'!P1037</f>
        <v>0</v>
      </c>
      <c r="J800" s="154">
        <f>+'[1]Budget 2025W'!Q1037</f>
        <v>0</v>
      </c>
      <c r="K800" s="154">
        <f>+'[1]Budget 2025W'!R1037</f>
        <v>0</v>
      </c>
      <c r="L800" s="154">
        <f>+'[1]Budget 2025W'!S1037</f>
        <v>0</v>
      </c>
      <c r="M800" s="154">
        <f>+'[1]Budget 2025W'!T1037</f>
        <v>0</v>
      </c>
      <c r="N800" s="154">
        <f>+'[1]Budget 2025W'!U1037</f>
        <v>0</v>
      </c>
      <c r="O800" s="154">
        <f>+'[1]Budget 2025W'!V1037</f>
        <v>0</v>
      </c>
      <c r="P800" s="131"/>
      <c r="Q800" s="156">
        <f t="shared" si="78"/>
        <v>0</v>
      </c>
    </row>
    <row r="801" spans="3:17" x14ac:dyDescent="0.2">
      <c r="C801" s="153" t="s">
        <v>310</v>
      </c>
      <c r="D801" s="75">
        <f>+'[1]Budget 2025W'!K1038</f>
        <v>0</v>
      </c>
      <c r="E801" s="75">
        <f>+'[1]Budget 2025W'!L1038</f>
        <v>0</v>
      </c>
      <c r="F801" s="154">
        <f>+'[1]Budget 2025W'!M1038</f>
        <v>0</v>
      </c>
      <c r="G801" s="154">
        <f>+'[1]Budget 2025W'!N1038</f>
        <v>0</v>
      </c>
      <c r="H801" s="154">
        <f>+'[1]Budget 2025W'!O1038</f>
        <v>0</v>
      </c>
      <c r="I801" s="154">
        <f>+'[1]Budget 2025W'!P1038</f>
        <v>500</v>
      </c>
      <c r="J801" s="154">
        <f>+'[1]Budget 2025W'!Q1038</f>
        <v>500</v>
      </c>
      <c r="K801" s="154">
        <f>+'[1]Budget 2025W'!R1038</f>
        <v>500</v>
      </c>
      <c r="L801" s="154">
        <f>+'[1]Budget 2025W'!S1038</f>
        <v>500</v>
      </c>
      <c r="M801" s="154">
        <f>+'[1]Budget 2025W'!T1038</f>
        <v>500</v>
      </c>
      <c r="N801" s="154">
        <f>+'[1]Budget 2025W'!U1038</f>
        <v>500</v>
      </c>
      <c r="O801" s="154">
        <f>+'[1]Budget 2025W'!V1038</f>
        <v>500</v>
      </c>
      <c r="P801" s="131"/>
      <c r="Q801" s="156">
        <f t="shared" si="78"/>
        <v>3500</v>
      </c>
    </row>
    <row r="802" spans="3:17" x14ac:dyDescent="0.2">
      <c r="C802" s="153" t="s">
        <v>125</v>
      </c>
      <c r="D802" s="75">
        <f>+'[1]Budget 2025W'!K1039</f>
        <v>0</v>
      </c>
      <c r="E802" s="75">
        <f>+'[1]Budget 2025W'!L1039</f>
        <v>0</v>
      </c>
      <c r="F802" s="154">
        <f>+'[1]Budget 2025W'!M1039</f>
        <v>0</v>
      </c>
      <c r="G802" s="154">
        <f>+'[1]Budget 2025W'!N1039</f>
        <v>0</v>
      </c>
      <c r="H802" s="154">
        <f>+'[1]Budget 2025W'!O1039</f>
        <v>0</v>
      </c>
      <c r="I802" s="154">
        <f>+'[1]Budget 2025W'!P1039</f>
        <v>0</v>
      </c>
      <c r="J802" s="154">
        <f>+'[1]Budget 2025W'!Q1039</f>
        <v>0</v>
      </c>
      <c r="K802" s="154">
        <f>+'[1]Budget 2025W'!R1039</f>
        <v>0</v>
      </c>
      <c r="L802" s="154">
        <f>+'[1]Budget 2025W'!S1039</f>
        <v>0</v>
      </c>
      <c r="M802" s="154">
        <f>+'[1]Budget 2025W'!T1039</f>
        <v>0</v>
      </c>
      <c r="N802" s="154">
        <f>+'[1]Budget 2025W'!U1039</f>
        <v>0</v>
      </c>
      <c r="O802" s="154">
        <f>+'[1]Budget 2025W'!V1039</f>
        <v>0</v>
      </c>
      <c r="P802" s="131"/>
      <c r="Q802" s="156">
        <f t="shared" si="78"/>
        <v>0</v>
      </c>
    </row>
    <row r="803" spans="3:17" x14ac:dyDescent="0.2">
      <c r="C803" s="153" t="s">
        <v>311</v>
      </c>
      <c r="D803" s="75">
        <f>+'[1]Budget 2025W'!K1040</f>
        <v>0</v>
      </c>
      <c r="E803" s="75">
        <f>+'[1]Budget 2025W'!L1040</f>
        <v>0</v>
      </c>
      <c r="F803" s="154">
        <f>+'[1]Budget 2025W'!M1040</f>
        <v>0</v>
      </c>
      <c r="G803" s="154">
        <f>+'[1]Budget 2025W'!N1040</f>
        <v>0</v>
      </c>
      <c r="H803" s="154">
        <f>+'[1]Budget 2025W'!O1040</f>
        <v>0</v>
      </c>
      <c r="I803" s="154">
        <f>+'[1]Budget 2025W'!P1040</f>
        <v>500</v>
      </c>
      <c r="J803" s="154">
        <f>+'[1]Budget 2025W'!Q1040</f>
        <v>500</v>
      </c>
      <c r="K803" s="154">
        <f>+'[1]Budget 2025W'!R1040</f>
        <v>500</v>
      </c>
      <c r="L803" s="154">
        <f>+'[1]Budget 2025W'!S1040</f>
        <v>500</v>
      </c>
      <c r="M803" s="154">
        <f>+'[1]Budget 2025W'!T1040</f>
        <v>500</v>
      </c>
      <c r="N803" s="154">
        <f>+'[1]Budget 2025W'!U1040</f>
        <v>500</v>
      </c>
      <c r="O803" s="154">
        <f>+'[1]Budget 2025W'!V1040</f>
        <v>500</v>
      </c>
      <c r="P803" s="131"/>
      <c r="Q803" s="156">
        <f t="shared" si="78"/>
        <v>3500</v>
      </c>
    </row>
    <row r="804" spans="3:17" x14ac:dyDescent="0.2">
      <c r="C804" s="153" t="s">
        <v>126</v>
      </c>
      <c r="D804" s="75">
        <f>+'[1]Budget 2025W'!K1041</f>
        <v>0</v>
      </c>
      <c r="E804" s="75">
        <f>+'[1]Budget 2025W'!L1041</f>
        <v>0</v>
      </c>
      <c r="F804" s="154">
        <f>+'[1]Budget 2025W'!M1041</f>
        <v>0</v>
      </c>
      <c r="G804" s="154">
        <f>+'[1]Budget 2025W'!N1041</f>
        <v>0</v>
      </c>
      <c r="H804" s="154">
        <f>+'[1]Budget 2025W'!O1041</f>
        <v>0</v>
      </c>
      <c r="I804" s="154">
        <f>+'[1]Budget 2025W'!P1041</f>
        <v>0</v>
      </c>
      <c r="J804" s="154">
        <f>+'[1]Budget 2025W'!Q1041</f>
        <v>0</v>
      </c>
      <c r="K804" s="154">
        <f>+'[1]Budget 2025W'!R1041</f>
        <v>0</v>
      </c>
      <c r="L804" s="154">
        <f>+'[1]Budget 2025W'!S1041</f>
        <v>0</v>
      </c>
      <c r="M804" s="154">
        <f>+'[1]Budget 2025W'!T1041</f>
        <v>0</v>
      </c>
      <c r="N804" s="154">
        <f>+'[1]Budget 2025W'!U1041</f>
        <v>0</v>
      </c>
      <c r="O804" s="154">
        <f>+'[1]Budget 2025W'!V1041</f>
        <v>0</v>
      </c>
      <c r="P804" s="131"/>
      <c r="Q804" s="156">
        <f t="shared" si="78"/>
        <v>0</v>
      </c>
    </row>
    <row r="805" spans="3:17" x14ac:dyDescent="0.2">
      <c r="C805" s="153" t="s">
        <v>312</v>
      </c>
      <c r="D805" s="75">
        <f>+'[1]Budget 2025W'!K1042</f>
        <v>0</v>
      </c>
      <c r="E805" s="75">
        <f>+'[1]Budget 2025W'!L1042</f>
        <v>0</v>
      </c>
      <c r="F805" s="154">
        <f>+'[1]Budget 2025W'!M1042</f>
        <v>0</v>
      </c>
      <c r="G805" s="154">
        <f>+'[1]Budget 2025W'!N1042</f>
        <v>0</v>
      </c>
      <c r="H805" s="154">
        <f>+'[1]Budget 2025W'!O1042</f>
        <v>0</v>
      </c>
      <c r="I805" s="154">
        <f>+'[1]Budget 2025W'!P1042</f>
        <v>800</v>
      </c>
      <c r="J805" s="154">
        <f>+'[1]Budget 2025W'!Q1042</f>
        <v>800</v>
      </c>
      <c r="K805" s="154">
        <f>+'[1]Budget 2025W'!R1042</f>
        <v>800</v>
      </c>
      <c r="L805" s="154">
        <f>+'[1]Budget 2025W'!S1042</f>
        <v>800</v>
      </c>
      <c r="M805" s="154">
        <f>+'[1]Budget 2025W'!T1042</f>
        <v>800</v>
      </c>
      <c r="N805" s="154">
        <f>+'[1]Budget 2025W'!U1042</f>
        <v>800</v>
      </c>
      <c r="O805" s="154">
        <f>+'[1]Budget 2025W'!V1042</f>
        <v>800</v>
      </c>
      <c r="P805" s="131"/>
      <c r="Q805" s="156">
        <f t="shared" si="78"/>
        <v>5600</v>
      </c>
    </row>
    <row r="806" spans="3:17" x14ac:dyDescent="0.2">
      <c r="C806" s="153" t="s">
        <v>313</v>
      </c>
      <c r="D806" s="75">
        <f>+'[1]Budget 2025W'!K1043</f>
        <v>0</v>
      </c>
      <c r="E806" s="75">
        <f>+'[1]Budget 2025W'!L1043</f>
        <v>0</v>
      </c>
      <c r="F806" s="154">
        <f>+'[1]Budget 2025W'!M1043</f>
        <v>0</v>
      </c>
      <c r="G806" s="154">
        <f>+'[1]Budget 2025W'!N1043</f>
        <v>0</v>
      </c>
      <c r="H806" s="154">
        <f>+'[1]Budget 2025W'!O1043</f>
        <v>0</v>
      </c>
      <c r="I806" s="154">
        <f>+'[1]Budget 2025W'!P1043</f>
        <v>500</v>
      </c>
      <c r="J806" s="154">
        <f>+'[1]Budget 2025W'!Q1043</f>
        <v>500</v>
      </c>
      <c r="K806" s="154">
        <f>+'[1]Budget 2025W'!R1043</f>
        <v>500</v>
      </c>
      <c r="L806" s="154">
        <f>+'[1]Budget 2025W'!S1043</f>
        <v>500</v>
      </c>
      <c r="M806" s="154">
        <f>+'[1]Budget 2025W'!T1043</f>
        <v>500</v>
      </c>
      <c r="N806" s="154">
        <f>+'[1]Budget 2025W'!U1043</f>
        <v>500</v>
      </c>
      <c r="O806" s="154">
        <f>+'[1]Budget 2025W'!V1043</f>
        <v>500</v>
      </c>
      <c r="P806" s="131"/>
      <c r="Q806" s="156">
        <f t="shared" si="78"/>
        <v>3500</v>
      </c>
    </row>
    <row r="807" spans="3:17" x14ac:dyDescent="0.2">
      <c r="C807" s="153" t="s">
        <v>314</v>
      </c>
      <c r="D807" s="75">
        <f>+'[1]Budget 2025W'!K1044</f>
        <v>0</v>
      </c>
      <c r="E807" s="75">
        <f>+'[1]Budget 2025W'!L1044</f>
        <v>0</v>
      </c>
      <c r="F807" s="154">
        <f>+'[1]Budget 2025W'!M1044</f>
        <v>0</v>
      </c>
      <c r="G807" s="154">
        <f>+'[1]Budget 2025W'!N1044</f>
        <v>0</v>
      </c>
      <c r="H807" s="154">
        <f>+'[1]Budget 2025W'!O1044</f>
        <v>0</v>
      </c>
      <c r="I807" s="154">
        <f>+'[1]Budget 2025W'!P1044</f>
        <v>750</v>
      </c>
      <c r="J807" s="154">
        <f>+'[1]Budget 2025W'!Q1044</f>
        <v>750</v>
      </c>
      <c r="K807" s="154">
        <f>+'[1]Budget 2025W'!R1044</f>
        <v>750</v>
      </c>
      <c r="L807" s="154">
        <f>+'[1]Budget 2025W'!S1044</f>
        <v>750</v>
      </c>
      <c r="M807" s="154">
        <f>+'[1]Budget 2025W'!T1044</f>
        <v>750</v>
      </c>
      <c r="N807" s="154">
        <f>+'[1]Budget 2025W'!U1044</f>
        <v>750</v>
      </c>
      <c r="O807" s="154">
        <f>+'[1]Budget 2025W'!V1044</f>
        <v>750</v>
      </c>
      <c r="P807" s="131"/>
      <c r="Q807" s="156">
        <f t="shared" si="78"/>
        <v>5250</v>
      </c>
    </row>
    <row r="808" spans="3:17" x14ac:dyDescent="0.2">
      <c r="C808" s="153" t="s">
        <v>315</v>
      </c>
      <c r="D808" s="75">
        <f>+'[1]Budget 2025W'!K1045</f>
        <v>0</v>
      </c>
      <c r="E808" s="75">
        <f>+'[1]Budget 2025W'!L1045</f>
        <v>0</v>
      </c>
      <c r="F808" s="154">
        <f>+'[1]Budget 2025W'!M1045</f>
        <v>0</v>
      </c>
      <c r="G808" s="154">
        <f>+'[1]Budget 2025W'!N1045</f>
        <v>0</v>
      </c>
      <c r="H808" s="154">
        <f>+'[1]Budget 2025W'!O1045</f>
        <v>0</v>
      </c>
      <c r="I808" s="154">
        <f>+'[1]Budget 2025W'!P1045</f>
        <v>600</v>
      </c>
      <c r="J808" s="154">
        <f>+'[1]Budget 2025W'!Q1045</f>
        <v>600</v>
      </c>
      <c r="K808" s="154">
        <f>+'[1]Budget 2025W'!R1045</f>
        <v>1043.4782608695652</v>
      </c>
      <c r="L808" s="154">
        <f>+'[1]Budget 2025W'!S1045</f>
        <v>600</v>
      </c>
      <c r="M808" s="154">
        <f>+'[1]Budget 2025W'!T1045</f>
        <v>600</v>
      </c>
      <c r="N808" s="154">
        <f>+'[1]Budget 2025W'!U1045</f>
        <v>1043.4782608695652</v>
      </c>
      <c r="O808" s="154">
        <f>+'[1]Budget 2025W'!V1045</f>
        <v>600</v>
      </c>
      <c r="P808" s="131"/>
      <c r="Q808" s="156">
        <f t="shared" si="78"/>
        <v>5086.95652173913</v>
      </c>
    </row>
    <row r="809" spans="3:17" x14ac:dyDescent="0.2">
      <c r="C809" s="153" t="s">
        <v>316</v>
      </c>
      <c r="D809" s="75">
        <f>+'[1]Budget 2025W'!K1046</f>
        <v>0</v>
      </c>
      <c r="E809" s="75">
        <f>+'[1]Budget 2025W'!L1046</f>
        <v>0</v>
      </c>
      <c r="F809" s="154">
        <f>+'[1]Budget 2025W'!M1046</f>
        <v>0</v>
      </c>
      <c r="G809" s="154">
        <f>+'[1]Budget 2025W'!N1046</f>
        <v>0</v>
      </c>
      <c r="H809" s="154">
        <f>+'[1]Budget 2025W'!O1046</f>
        <v>0</v>
      </c>
      <c r="I809" s="154">
        <f>+'[1]Budget 2025W'!P1046</f>
        <v>800</v>
      </c>
      <c r="J809" s="154">
        <f>+'[1]Budget 2025W'!Q1046</f>
        <v>800</v>
      </c>
      <c r="K809" s="154">
        <f>+'[1]Budget 2025W'!R1046</f>
        <v>800</v>
      </c>
      <c r="L809" s="154">
        <f>+'[1]Budget 2025W'!S1046</f>
        <v>800</v>
      </c>
      <c r="M809" s="154">
        <f>+'[1]Budget 2025W'!T1046</f>
        <v>800</v>
      </c>
      <c r="N809" s="154">
        <f>+'[1]Budget 2025W'!U1046</f>
        <v>800</v>
      </c>
      <c r="O809" s="154">
        <f>+'[1]Budget 2025W'!V1046</f>
        <v>800</v>
      </c>
      <c r="P809" s="131"/>
      <c r="Q809" s="156">
        <f t="shared" si="78"/>
        <v>5600</v>
      </c>
    </row>
    <row r="810" spans="3:17" x14ac:dyDescent="0.2">
      <c r="C810" s="153" t="s">
        <v>317</v>
      </c>
      <c r="D810" s="75">
        <f>+'[1]Budget 2025W'!K1047</f>
        <v>0</v>
      </c>
      <c r="E810" s="75">
        <f>+'[1]Budget 2025W'!L1047</f>
        <v>0</v>
      </c>
      <c r="F810" s="154">
        <f>+'[1]Budget 2025W'!M1047</f>
        <v>0</v>
      </c>
      <c r="G810" s="154">
        <f>+'[1]Budget 2025W'!N1047</f>
        <v>0</v>
      </c>
      <c r="H810" s="154">
        <f>+'[1]Budget 2025W'!O1047</f>
        <v>0</v>
      </c>
      <c r="I810" s="154">
        <f>+'[1]Budget 2025W'!P1047</f>
        <v>300</v>
      </c>
      <c r="J810" s="154">
        <f>+'[1]Budget 2025W'!Q1047</f>
        <v>300</v>
      </c>
      <c r="K810" s="154">
        <f>+'[1]Budget 2025W'!R1047</f>
        <v>300</v>
      </c>
      <c r="L810" s="154">
        <f>+'[1]Budget 2025W'!S1047</f>
        <v>300</v>
      </c>
      <c r="M810" s="154">
        <f>+'[1]Budget 2025W'!T1047</f>
        <v>300</v>
      </c>
      <c r="N810" s="154">
        <f>+'[1]Budget 2025W'!U1047</f>
        <v>300</v>
      </c>
      <c r="O810" s="154">
        <f>+'[1]Budget 2025W'!V1047</f>
        <v>300</v>
      </c>
      <c r="P810" s="131"/>
      <c r="Q810" s="156">
        <f t="shared" si="78"/>
        <v>2100</v>
      </c>
    </row>
    <row r="811" spans="3:17" x14ac:dyDescent="0.2">
      <c r="C811" s="153" t="s">
        <v>131</v>
      </c>
      <c r="D811" s="75">
        <f>+'[1]Budget 2025W'!K1048</f>
        <v>0</v>
      </c>
      <c r="E811" s="75">
        <f>+'[1]Budget 2025W'!L1048</f>
        <v>0</v>
      </c>
      <c r="F811" s="154">
        <f>+'[1]Budget 2025W'!M1048</f>
        <v>0</v>
      </c>
      <c r="G811" s="154">
        <f>+'[1]Budget 2025W'!N1048</f>
        <v>0</v>
      </c>
      <c r="H811" s="154">
        <f>+'[1]Budget 2025W'!O1048</f>
        <v>0</v>
      </c>
      <c r="I811" s="154">
        <f>+'[1]Budget 2025W'!P1048</f>
        <v>0</v>
      </c>
      <c r="J811" s="154">
        <f>+'[1]Budget 2025W'!Q1048</f>
        <v>0</v>
      </c>
      <c r="K811" s="154">
        <f>+'[1]Budget 2025W'!R1048</f>
        <v>0</v>
      </c>
      <c r="L811" s="154">
        <f>+'[1]Budget 2025W'!S1048</f>
        <v>0</v>
      </c>
      <c r="M811" s="154">
        <f>+'[1]Budget 2025W'!T1048</f>
        <v>0</v>
      </c>
      <c r="N811" s="154">
        <f>+'[1]Budget 2025W'!U1048</f>
        <v>0</v>
      </c>
      <c r="O811" s="154">
        <f>+'[1]Budget 2025W'!V1048</f>
        <v>0</v>
      </c>
      <c r="P811" s="131"/>
      <c r="Q811" s="156">
        <f t="shared" si="78"/>
        <v>0</v>
      </c>
    </row>
    <row r="812" spans="3:17" x14ac:dyDescent="0.2">
      <c r="C812" s="153" t="s">
        <v>318</v>
      </c>
      <c r="D812" s="75">
        <f>+'[1]Budget 2025W'!K1049</f>
        <v>0</v>
      </c>
      <c r="E812" s="75">
        <f>+'[1]Budget 2025W'!L1049</f>
        <v>0</v>
      </c>
      <c r="F812" s="154">
        <f>+'[1]Budget 2025W'!M1049</f>
        <v>0</v>
      </c>
      <c r="G812" s="154">
        <f>+'[1]Budget 2025W'!N1049</f>
        <v>0</v>
      </c>
      <c r="H812" s="154">
        <f>+'[1]Budget 2025W'!O1049</f>
        <v>0</v>
      </c>
      <c r="I812" s="154">
        <f>+'[1]Budget 2025W'!P1049</f>
        <v>500</v>
      </c>
      <c r="J812" s="154">
        <f>+'[1]Budget 2025W'!Q1049</f>
        <v>500</v>
      </c>
      <c r="K812" s="154">
        <f>+'[1]Budget 2025W'!R1049</f>
        <v>500</v>
      </c>
      <c r="L812" s="154">
        <f>+'[1]Budget 2025W'!S1049</f>
        <v>500</v>
      </c>
      <c r="M812" s="154">
        <f>+'[1]Budget 2025W'!T1049</f>
        <v>500</v>
      </c>
      <c r="N812" s="154">
        <f>+'[1]Budget 2025W'!U1049</f>
        <v>500</v>
      </c>
      <c r="O812" s="154">
        <f>+'[1]Budget 2025W'!V1049</f>
        <v>500</v>
      </c>
      <c r="P812" s="131"/>
      <c r="Q812" s="156">
        <f t="shared" si="78"/>
        <v>3500</v>
      </c>
    </row>
    <row r="813" spans="3:17" x14ac:dyDescent="0.2">
      <c r="C813" s="153" t="s">
        <v>319</v>
      </c>
      <c r="D813" s="75">
        <f>+'[1]Budget 2025W'!K1050</f>
        <v>0</v>
      </c>
      <c r="E813" s="75">
        <f>+'[1]Budget 2025W'!L1050</f>
        <v>0</v>
      </c>
      <c r="F813" s="154">
        <f>+'[1]Budget 2025W'!M1050</f>
        <v>0</v>
      </c>
      <c r="G813" s="154">
        <f>+'[1]Budget 2025W'!N1050</f>
        <v>0</v>
      </c>
      <c r="H813" s="154">
        <f>+'[1]Budget 2025W'!O1050</f>
        <v>0</v>
      </c>
      <c r="I813" s="154">
        <f>+'[1]Budget 2025W'!P1050</f>
        <v>300</v>
      </c>
      <c r="J813" s="154">
        <f>+'[1]Budget 2025W'!Q1050</f>
        <v>300</v>
      </c>
      <c r="K813" s="154">
        <f>+'[1]Budget 2025W'!R1050</f>
        <v>300</v>
      </c>
      <c r="L813" s="154">
        <f>+'[1]Budget 2025W'!S1050</f>
        <v>300</v>
      </c>
      <c r="M813" s="154">
        <f>+'[1]Budget 2025W'!T1050</f>
        <v>300</v>
      </c>
      <c r="N813" s="154">
        <f>+'[1]Budget 2025W'!U1050</f>
        <v>300</v>
      </c>
      <c r="O813" s="154">
        <f>+'[1]Budget 2025W'!V1050</f>
        <v>300</v>
      </c>
      <c r="P813" s="131"/>
      <c r="Q813" s="156">
        <f t="shared" si="78"/>
        <v>2100</v>
      </c>
    </row>
    <row r="814" spans="3:17" x14ac:dyDescent="0.2">
      <c r="C814" s="153" t="s">
        <v>196</v>
      </c>
      <c r="D814" s="75">
        <f>+'[1]Budget 2025W'!K1051</f>
        <v>0</v>
      </c>
      <c r="E814" s="75">
        <f>+'[1]Budget 2025W'!L1051</f>
        <v>0</v>
      </c>
      <c r="F814" s="154">
        <f>+'[1]Budget 2025W'!M1051</f>
        <v>0</v>
      </c>
      <c r="G814" s="154">
        <f>+'[1]Budget 2025W'!N1051</f>
        <v>0</v>
      </c>
      <c r="H814" s="154">
        <f>+'[1]Budget 2025W'!O1051</f>
        <v>0</v>
      </c>
      <c r="I814" s="154">
        <f>+'[1]Budget 2025W'!P1051</f>
        <v>0</v>
      </c>
      <c r="J814" s="154">
        <f>+'[1]Budget 2025W'!Q1051</f>
        <v>0</v>
      </c>
      <c r="K814" s="154">
        <f>+'[1]Budget 2025W'!R1051</f>
        <v>0</v>
      </c>
      <c r="L814" s="154">
        <f>+'[1]Budget 2025W'!S1051</f>
        <v>0</v>
      </c>
      <c r="M814" s="154">
        <f>+'[1]Budget 2025W'!T1051</f>
        <v>0</v>
      </c>
      <c r="N814" s="154">
        <f>+'[1]Budget 2025W'!U1051</f>
        <v>0</v>
      </c>
      <c r="O814" s="154">
        <f>+'[1]Budget 2025W'!V1051</f>
        <v>0</v>
      </c>
      <c r="P814" s="131"/>
      <c r="Q814" s="156">
        <f t="shared" si="78"/>
        <v>0</v>
      </c>
    </row>
    <row r="815" spans="3:17" x14ac:dyDescent="0.2">
      <c r="C815" s="153" t="s">
        <v>134</v>
      </c>
      <c r="D815" s="75">
        <f>+'[1]Budget 2025W'!K1052</f>
        <v>0</v>
      </c>
      <c r="E815" s="75">
        <f>+'[1]Budget 2025W'!L1052</f>
        <v>0</v>
      </c>
      <c r="F815" s="154">
        <f>+'[1]Budget 2025W'!M1052</f>
        <v>0</v>
      </c>
      <c r="G815" s="154">
        <f>+'[1]Budget 2025W'!N1052</f>
        <v>0</v>
      </c>
      <c r="H815" s="154">
        <f>+'[1]Budget 2025W'!O1052</f>
        <v>0</v>
      </c>
      <c r="I815" s="154">
        <f>+'[1]Budget 2025W'!P1052</f>
        <v>500</v>
      </c>
      <c r="J815" s="154">
        <f>+'[1]Budget 2025W'!Q1052</f>
        <v>500</v>
      </c>
      <c r="K815" s="154">
        <f>+'[1]Budget 2025W'!R1052</f>
        <v>500</v>
      </c>
      <c r="L815" s="154">
        <f>+'[1]Budget 2025W'!S1052</f>
        <v>500</v>
      </c>
      <c r="M815" s="154">
        <f>+'[1]Budget 2025W'!T1052</f>
        <v>500</v>
      </c>
      <c r="N815" s="154">
        <f>+'[1]Budget 2025W'!U1052</f>
        <v>500</v>
      </c>
      <c r="O815" s="154">
        <f>+'[1]Budget 2025W'!V1052</f>
        <v>500</v>
      </c>
      <c r="P815" s="131"/>
      <c r="Q815" s="156">
        <f t="shared" si="78"/>
        <v>3500</v>
      </c>
    </row>
    <row r="816" spans="3:17" x14ac:dyDescent="0.2">
      <c r="C816" s="153" t="s">
        <v>320</v>
      </c>
      <c r="D816" s="75">
        <f>+'[1]Budget 2025W'!K1053</f>
        <v>0</v>
      </c>
      <c r="E816" s="75">
        <f>+'[1]Budget 2025W'!L1053</f>
        <v>0</v>
      </c>
      <c r="F816" s="154">
        <f>+'[1]Budget 2025W'!M1053</f>
        <v>0</v>
      </c>
      <c r="G816" s="154">
        <f>+'[1]Budget 2025W'!N1053</f>
        <v>0</v>
      </c>
      <c r="H816" s="154">
        <f>+'[1]Budget 2025W'!O1053</f>
        <v>0</v>
      </c>
      <c r="I816" s="154">
        <f>+'[1]Budget 2025W'!P1053</f>
        <v>200</v>
      </c>
      <c r="J816" s="154">
        <f>+'[1]Budget 2025W'!Q1053</f>
        <v>300</v>
      </c>
      <c r="K816" s="154">
        <f>+'[1]Budget 2025W'!R1053</f>
        <v>300</v>
      </c>
      <c r="L816" s="154">
        <f>+'[1]Budget 2025W'!S1053</f>
        <v>300</v>
      </c>
      <c r="M816" s="154">
        <f>+'[1]Budget 2025W'!T1053</f>
        <v>300</v>
      </c>
      <c r="N816" s="154">
        <f>+'[1]Budget 2025W'!U1053</f>
        <v>300</v>
      </c>
      <c r="O816" s="154">
        <f>+'[1]Budget 2025W'!V1053</f>
        <v>300</v>
      </c>
      <c r="P816" s="131"/>
      <c r="Q816" s="156">
        <f t="shared" si="78"/>
        <v>2000</v>
      </c>
    </row>
    <row r="817" spans="2:17" x14ac:dyDescent="0.2">
      <c r="C817" s="153" t="s">
        <v>321</v>
      </c>
      <c r="D817" s="75">
        <f>+'[1]Budget 2025W'!K1054</f>
        <v>0</v>
      </c>
      <c r="E817" s="75">
        <f>+'[1]Budget 2025W'!L1054</f>
        <v>0</v>
      </c>
      <c r="F817" s="154">
        <f>+'[1]Budget 2025W'!M1054</f>
        <v>0</v>
      </c>
      <c r="G817" s="154">
        <f>+'[1]Budget 2025W'!N1054</f>
        <v>0</v>
      </c>
      <c r="H817" s="154">
        <f>+'[1]Budget 2025W'!O1054</f>
        <v>0</v>
      </c>
      <c r="I817" s="154">
        <f>+'[1]Budget 2025W'!P1054</f>
        <v>300</v>
      </c>
      <c r="J817" s="154">
        <f>+'[1]Budget 2025W'!Q1054</f>
        <v>300</v>
      </c>
      <c r="K817" s="154">
        <f>+'[1]Budget 2025W'!R1054</f>
        <v>300</v>
      </c>
      <c r="L817" s="154">
        <f>+'[1]Budget 2025W'!S1054</f>
        <v>300</v>
      </c>
      <c r="M817" s="154">
        <f>+'[1]Budget 2025W'!T1054</f>
        <v>300</v>
      </c>
      <c r="N817" s="154">
        <f>+'[1]Budget 2025W'!U1054</f>
        <v>300</v>
      </c>
      <c r="O817" s="154">
        <f>+'[1]Budget 2025W'!V1054</f>
        <v>300</v>
      </c>
      <c r="P817" s="131"/>
      <c r="Q817" s="156">
        <f t="shared" si="78"/>
        <v>2100</v>
      </c>
    </row>
    <row r="818" spans="2:17" x14ac:dyDescent="0.2">
      <c r="C818" s="153" t="s">
        <v>197</v>
      </c>
      <c r="D818" s="75">
        <f>+'[1]Budget 2025W'!K1055</f>
        <v>0</v>
      </c>
      <c r="E818" s="75">
        <f>+'[1]Budget 2025W'!L1055</f>
        <v>0</v>
      </c>
      <c r="F818" s="154">
        <f>+'[1]Budget 2025W'!M1055</f>
        <v>0</v>
      </c>
      <c r="G818" s="154">
        <f>+'[1]Budget 2025W'!N1055</f>
        <v>0</v>
      </c>
      <c r="H818" s="154">
        <f>+'[1]Budget 2025W'!O1055</f>
        <v>0</v>
      </c>
      <c r="I818" s="154">
        <f>+'[1]Budget 2025W'!P1055</f>
        <v>800</v>
      </c>
      <c r="J818" s="154">
        <f>+'[1]Budget 2025W'!Q1055</f>
        <v>800</v>
      </c>
      <c r="K818" s="154">
        <f>+'[1]Budget 2025W'!R1055</f>
        <v>800</v>
      </c>
      <c r="L818" s="154">
        <f>+'[1]Budget 2025W'!S1055</f>
        <v>800</v>
      </c>
      <c r="M818" s="154">
        <f>+'[1]Budget 2025W'!T1055</f>
        <v>800</v>
      </c>
      <c r="N818" s="154">
        <f>+'[1]Budget 2025W'!U1055</f>
        <v>800</v>
      </c>
      <c r="O818" s="154">
        <f>+'[1]Budget 2025W'!V1055</f>
        <v>800</v>
      </c>
      <c r="P818" s="131"/>
      <c r="Q818" s="156">
        <f t="shared" si="78"/>
        <v>5600</v>
      </c>
    </row>
    <row r="819" spans="2:17" x14ac:dyDescent="0.2">
      <c r="C819" s="153" t="s">
        <v>139</v>
      </c>
      <c r="D819" s="75">
        <f>+'[1]Budget 2025W'!K1056</f>
        <v>0</v>
      </c>
      <c r="E819" s="75">
        <f>+'[1]Budget 2025W'!L1056</f>
        <v>0</v>
      </c>
      <c r="F819" s="154">
        <f>+'[1]Budget 2025W'!M1056</f>
        <v>0</v>
      </c>
      <c r="G819" s="154">
        <f>+'[1]Budget 2025W'!N1056</f>
        <v>0</v>
      </c>
      <c r="H819" s="154">
        <f>+'[1]Budget 2025W'!O1056</f>
        <v>0</v>
      </c>
      <c r="I819" s="154">
        <f>+'[1]Budget 2025W'!P1056</f>
        <v>0</v>
      </c>
      <c r="J819" s="154">
        <f>+'[1]Budget 2025W'!Q1056</f>
        <v>0</v>
      </c>
      <c r="K819" s="154">
        <f>+'[1]Budget 2025W'!R1056</f>
        <v>0</v>
      </c>
      <c r="L819" s="154">
        <f>+'[1]Budget 2025W'!S1056</f>
        <v>0</v>
      </c>
      <c r="M819" s="154">
        <f>+'[1]Budget 2025W'!T1056</f>
        <v>900</v>
      </c>
      <c r="N819" s="154">
        <f>+'[1]Budget 2025W'!U1056</f>
        <v>0</v>
      </c>
      <c r="O819" s="154">
        <f>+'[1]Budget 2025W'!V1056</f>
        <v>0</v>
      </c>
      <c r="P819" s="131"/>
      <c r="Q819" s="156">
        <f t="shared" si="78"/>
        <v>900</v>
      </c>
    </row>
    <row r="820" spans="2:17" x14ac:dyDescent="0.2">
      <c r="C820" s="153" t="s">
        <v>140</v>
      </c>
      <c r="D820" s="75">
        <f>+'[1]Budget 2025W'!K1057</f>
        <v>0</v>
      </c>
      <c r="E820" s="75">
        <f>+'[1]Budget 2025W'!L1057</f>
        <v>0</v>
      </c>
      <c r="F820" s="154">
        <f>+'[1]Budget 2025W'!M1057</f>
        <v>0</v>
      </c>
      <c r="G820" s="154">
        <f>+'[1]Budget 2025W'!N1057</f>
        <v>0</v>
      </c>
      <c r="H820" s="154">
        <f>+'[1]Budget 2025W'!O1057</f>
        <v>0</v>
      </c>
      <c r="I820" s="154">
        <f>+'[1]Budget 2025W'!P1057</f>
        <v>0</v>
      </c>
      <c r="J820" s="154">
        <f>+'[1]Budget 2025W'!Q1057</f>
        <v>0</v>
      </c>
      <c r="K820" s="154">
        <f>+'[1]Budget 2025W'!R1057</f>
        <v>0</v>
      </c>
      <c r="L820" s="154">
        <f>+'[1]Budget 2025W'!S1057</f>
        <v>0</v>
      </c>
      <c r="M820" s="154">
        <f>+'[1]Budget 2025W'!T1057</f>
        <v>0</v>
      </c>
      <c r="N820" s="154">
        <f>+'[1]Budget 2025W'!U1057</f>
        <v>0</v>
      </c>
      <c r="O820" s="154">
        <f>+'[1]Budget 2025W'!V1057</f>
        <v>0</v>
      </c>
      <c r="P820" s="131"/>
      <c r="Q820" s="156">
        <f t="shared" si="78"/>
        <v>0</v>
      </c>
    </row>
    <row r="821" spans="2:17" x14ac:dyDescent="0.2">
      <c r="C821" s="153" t="s">
        <v>141</v>
      </c>
      <c r="D821" s="75">
        <f>+'[1]Budget 2025W'!K1058</f>
        <v>0</v>
      </c>
      <c r="E821" s="75">
        <f>+'[1]Budget 2025W'!L1058</f>
        <v>0</v>
      </c>
      <c r="F821" s="154">
        <f>+'[1]Budget 2025W'!M1058</f>
        <v>0</v>
      </c>
      <c r="G821" s="154">
        <f>+'[1]Budget 2025W'!N1058</f>
        <v>0</v>
      </c>
      <c r="H821" s="154">
        <f>+'[1]Budget 2025W'!O1058</f>
        <v>0</v>
      </c>
      <c r="I821" s="154">
        <f>+'[1]Budget 2025W'!P1058</f>
        <v>0</v>
      </c>
      <c r="J821" s="154">
        <f>+'[1]Budget 2025W'!Q1058</f>
        <v>0</v>
      </c>
      <c r="K821" s="154">
        <f>+'[1]Budget 2025W'!R1058</f>
        <v>0</v>
      </c>
      <c r="L821" s="154">
        <f>+'[1]Budget 2025W'!S1058</f>
        <v>0</v>
      </c>
      <c r="M821" s="154">
        <f>+'[1]Budget 2025W'!T1058</f>
        <v>0</v>
      </c>
      <c r="N821" s="154">
        <f>+'[1]Budget 2025W'!U1058</f>
        <v>0</v>
      </c>
      <c r="O821" s="154">
        <f>+'[1]Budget 2025W'!V1058</f>
        <v>0</v>
      </c>
      <c r="P821" s="131"/>
      <c r="Q821" s="156">
        <f t="shared" si="78"/>
        <v>0</v>
      </c>
    </row>
    <row r="822" spans="2:17" x14ac:dyDescent="0.2">
      <c r="C822" s="153" t="s">
        <v>142</v>
      </c>
      <c r="D822" s="75">
        <f>+'[1]Budget 2025W'!K1059</f>
        <v>0</v>
      </c>
      <c r="E822" s="75">
        <f>+'[1]Budget 2025W'!L1059</f>
        <v>0</v>
      </c>
      <c r="F822" s="154">
        <f>+'[1]Budget 2025W'!M1059</f>
        <v>0</v>
      </c>
      <c r="G822" s="154">
        <f>+'[1]Budget 2025W'!N1059</f>
        <v>0</v>
      </c>
      <c r="H822" s="154">
        <f>+'[1]Budget 2025W'!O1059</f>
        <v>0</v>
      </c>
      <c r="I822" s="154">
        <f>+'[1]Budget 2025W'!P1059</f>
        <v>0</v>
      </c>
      <c r="J822" s="154">
        <f>+'[1]Budget 2025W'!Q1059</f>
        <v>0</v>
      </c>
      <c r="K822" s="154">
        <f>+'[1]Budget 2025W'!R1059</f>
        <v>0</v>
      </c>
      <c r="L822" s="154">
        <f>+'[1]Budget 2025W'!S1059</f>
        <v>0</v>
      </c>
      <c r="M822" s="154">
        <f>+'[1]Budget 2025W'!T1059</f>
        <v>0</v>
      </c>
      <c r="N822" s="154">
        <f>+'[1]Budget 2025W'!U1059</f>
        <v>0</v>
      </c>
      <c r="O822" s="154">
        <f>+'[1]Budget 2025W'!V1059</f>
        <v>0</v>
      </c>
      <c r="P822" s="131"/>
      <c r="Q822" s="156">
        <f t="shared" si="78"/>
        <v>0</v>
      </c>
    </row>
    <row r="823" spans="2:17" x14ac:dyDescent="0.2">
      <c r="C823" s="153" t="s">
        <v>143</v>
      </c>
      <c r="D823" s="75">
        <f>+'[1]Budget 2025W'!K1060</f>
        <v>0</v>
      </c>
      <c r="E823" s="75">
        <f>+'[1]Budget 2025W'!L1060</f>
        <v>0</v>
      </c>
      <c r="F823" s="154">
        <f>+'[1]Budget 2025W'!M1060</f>
        <v>0</v>
      </c>
      <c r="G823" s="154">
        <f>+'[1]Budget 2025W'!N1060</f>
        <v>0</v>
      </c>
      <c r="H823" s="154">
        <f>+'[1]Budget 2025W'!O1060</f>
        <v>0</v>
      </c>
      <c r="I823" s="154">
        <f>+'[1]Budget 2025W'!P1060</f>
        <v>0</v>
      </c>
      <c r="J823" s="154">
        <f>+'[1]Budget 2025W'!Q1060</f>
        <v>0</v>
      </c>
      <c r="K823" s="154">
        <f>+'[1]Budget 2025W'!R1060</f>
        <v>0</v>
      </c>
      <c r="L823" s="154">
        <f>+'[1]Budget 2025W'!S1060</f>
        <v>0</v>
      </c>
      <c r="M823" s="154">
        <f>+'[1]Budget 2025W'!T1060</f>
        <v>0</v>
      </c>
      <c r="N823" s="154">
        <f>+'[1]Budget 2025W'!U1060</f>
        <v>0</v>
      </c>
      <c r="O823" s="154">
        <f>+'[1]Budget 2025W'!V1060</f>
        <v>0</v>
      </c>
      <c r="P823" s="131"/>
      <c r="Q823" s="156">
        <f t="shared" si="78"/>
        <v>0</v>
      </c>
    </row>
    <row r="824" spans="2:17" x14ac:dyDescent="0.2">
      <c r="C824" s="153" t="s">
        <v>322</v>
      </c>
      <c r="D824" s="75">
        <f>+'[1]Budget 2025W'!K1061</f>
        <v>0</v>
      </c>
      <c r="E824" s="75">
        <f>+'[1]Budget 2025W'!L1061</f>
        <v>0</v>
      </c>
      <c r="F824" s="154">
        <f>+'[1]Budget 2025W'!M1061</f>
        <v>0</v>
      </c>
      <c r="G824" s="154">
        <f>+'[1]Budget 2025W'!N1061</f>
        <v>0</v>
      </c>
      <c r="H824" s="154">
        <f>+'[1]Budget 2025W'!O1061</f>
        <v>0</v>
      </c>
      <c r="I824" s="154">
        <f>+'[1]Budget 2025W'!P1061</f>
        <v>250</v>
      </c>
      <c r="J824" s="154">
        <f>+'[1]Budget 2025W'!Q1061</f>
        <v>250</v>
      </c>
      <c r="K824" s="154">
        <f>+'[1]Budget 2025W'!R1061</f>
        <v>250</v>
      </c>
      <c r="L824" s="154">
        <f>+'[1]Budget 2025W'!S1061</f>
        <v>250</v>
      </c>
      <c r="M824" s="154">
        <f>+'[1]Budget 2025W'!T1061</f>
        <v>250</v>
      </c>
      <c r="N824" s="154">
        <f>+'[1]Budget 2025W'!U1061</f>
        <v>250</v>
      </c>
      <c r="O824" s="154">
        <f>+'[1]Budget 2025W'!V1061</f>
        <v>250</v>
      </c>
      <c r="P824" s="131"/>
      <c r="Q824" s="156">
        <f t="shared" si="78"/>
        <v>1750</v>
      </c>
    </row>
    <row r="825" spans="2:17" ht="15.75" thickBot="1" x14ac:dyDescent="0.25">
      <c r="C825" s="153" t="s">
        <v>323</v>
      </c>
      <c r="D825" s="75">
        <f>+'[1]Budget 2025W'!K1062</f>
        <v>0</v>
      </c>
      <c r="E825" s="75">
        <f>+'[1]Budget 2025W'!L1062</f>
        <v>0</v>
      </c>
      <c r="F825" s="154">
        <f>+'[1]Budget 2025W'!M1062</f>
        <v>0</v>
      </c>
      <c r="G825" s="154">
        <f>+'[1]Budget 2025W'!N1062</f>
        <v>0</v>
      </c>
      <c r="H825" s="154">
        <f>+'[1]Budget 2025W'!O1062</f>
        <v>0</v>
      </c>
      <c r="I825" s="154">
        <f>+'[1]Budget 2025W'!P1062</f>
        <v>0</v>
      </c>
      <c r="J825" s="154">
        <f>+'[1]Budget 2025W'!Q1062</f>
        <v>0</v>
      </c>
      <c r="K825" s="154">
        <f>+'[1]Budget 2025W'!R1062</f>
        <v>0</v>
      </c>
      <c r="L825" s="154">
        <f>+'[1]Budget 2025W'!S1062</f>
        <v>0</v>
      </c>
      <c r="M825" s="154">
        <f>+'[1]Budget 2025W'!T1062</f>
        <v>0</v>
      </c>
      <c r="N825" s="154">
        <f>+'[1]Budget 2025W'!U1062</f>
        <v>0</v>
      </c>
      <c r="O825" s="154">
        <f>+'[1]Budget 2025W'!V1062</f>
        <v>0</v>
      </c>
      <c r="P825" s="131"/>
      <c r="Q825" s="156">
        <f t="shared" si="78"/>
        <v>0</v>
      </c>
    </row>
    <row r="826" spans="2:17" ht="17.25" thickTop="1" thickBot="1" x14ac:dyDescent="0.3">
      <c r="C826" s="162" t="s">
        <v>144</v>
      </c>
      <c r="D826" s="163">
        <f>+'[1]Budget 2025W'!K1064</f>
        <v>0</v>
      </c>
      <c r="E826" s="163">
        <f>+'[1]Budget 2025W'!L1064</f>
        <v>0</v>
      </c>
      <c r="F826" s="163">
        <f>+'[1]Budget 2025W'!M1064</f>
        <v>0</v>
      </c>
      <c r="G826" s="163">
        <f>+'[1]Budget 2025W'!N1064</f>
        <v>0</v>
      </c>
      <c r="H826" s="163">
        <f>+'[1]Budget 2025W'!O1064</f>
        <v>0</v>
      </c>
      <c r="I826" s="163">
        <f>+'[1]Budget 2025W'!P1064</f>
        <v>12100</v>
      </c>
      <c r="J826" s="163">
        <f>+'[1]Budget 2025W'!Q1064</f>
        <v>12200</v>
      </c>
      <c r="K826" s="163">
        <f>+'[1]Budget 2025W'!R1064</f>
        <v>12643.478260869566</v>
      </c>
      <c r="L826" s="163">
        <f>+'[1]Budget 2025W'!S1064</f>
        <v>12200</v>
      </c>
      <c r="M826" s="163">
        <f>+'[1]Budget 2025W'!T1064</f>
        <v>13100</v>
      </c>
      <c r="N826" s="163">
        <f>+'[1]Budget 2025W'!U1064</f>
        <v>12643.478260869566</v>
      </c>
      <c r="O826" s="163">
        <f>+'[1]Budget 2025W'!V1064</f>
        <v>12200</v>
      </c>
      <c r="P826" s="131"/>
      <c r="Q826" s="207">
        <f t="shared" si="78"/>
        <v>87086.956521739135</v>
      </c>
    </row>
    <row r="827" spans="2:17" ht="17.25" thickTop="1" thickBot="1" x14ac:dyDescent="0.3">
      <c r="B827" s="141"/>
      <c r="C827" s="215" t="s">
        <v>324</v>
      </c>
      <c r="D827" s="216">
        <f t="shared" ref="D827:O827" si="79">D792+D826</f>
        <v>0</v>
      </c>
      <c r="E827" s="216">
        <f t="shared" si="79"/>
        <v>0</v>
      </c>
      <c r="F827" s="217">
        <f t="shared" si="79"/>
        <v>0</v>
      </c>
      <c r="G827" s="217">
        <f t="shared" si="79"/>
        <v>0</v>
      </c>
      <c r="H827" s="217">
        <f t="shared" si="79"/>
        <v>0</v>
      </c>
      <c r="I827" s="217">
        <f t="shared" si="79"/>
        <v>14960.528289855072</v>
      </c>
      <c r="J827" s="217">
        <f t="shared" si="79"/>
        <v>15106.37008937198</v>
      </c>
      <c r="K827" s="217">
        <f t="shared" si="79"/>
        <v>15641.531949275362</v>
      </c>
      <c r="L827" s="217">
        <f t="shared" si="79"/>
        <v>15106.37008937198</v>
      </c>
      <c r="M827" s="217">
        <f t="shared" si="79"/>
        <v>15960.528289855072</v>
      </c>
      <c r="N827" s="217">
        <f t="shared" si="79"/>
        <v>15504.006550724638</v>
      </c>
      <c r="O827" s="217">
        <f t="shared" si="79"/>
        <v>15152.211888888889</v>
      </c>
      <c r="P827" s="131"/>
      <c r="Q827" s="183">
        <f t="shared" si="78"/>
        <v>107431.54714734299</v>
      </c>
    </row>
    <row r="828" spans="2:17" ht="17.25" hidden="1" thickTop="1" thickBot="1" x14ac:dyDescent="0.3">
      <c r="B828" s="141"/>
      <c r="C828" s="142" t="s">
        <v>325</v>
      </c>
      <c r="D828" s="143"/>
      <c r="E828" s="144"/>
      <c r="F828" s="145"/>
      <c r="G828" s="145"/>
      <c r="H828" s="146"/>
      <c r="I828" s="146"/>
      <c r="J828" s="146"/>
      <c r="K828" s="146"/>
      <c r="L828" s="146"/>
      <c r="M828" s="146"/>
      <c r="N828" s="146"/>
      <c r="O828" s="146"/>
      <c r="P828" s="129"/>
      <c r="Q828" s="145"/>
    </row>
    <row r="829" spans="2:17" ht="17.25" hidden="1" thickTop="1" thickBot="1" x14ac:dyDescent="0.3">
      <c r="C829" s="157" t="s">
        <v>97</v>
      </c>
      <c r="D829" s="158"/>
      <c r="E829" s="158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31"/>
      <c r="Q829" s="161"/>
    </row>
    <row r="830" spans="2:17" ht="16.5" hidden="1" thickTop="1" thickBot="1" x14ac:dyDescent="0.25">
      <c r="C830" s="153" t="s">
        <v>98</v>
      </c>
      <c r="D830" s="75">
        <f>+'[1]Budget 2025W'!K1070</f>
        <v>0</v>
      </c>
      <c r="E830" s="75">
        <f>+'[1]Budget 2025W'!L1070</f>
        <v>0</v>
      </c>
      <c r="F830" s="154">
        <f>+'[1]Budget 2025W'!M1070</f>
        <v>0</v>
      </c>
      <c r="G830" s="154">
        <f>+'[1]Budget 2025W'!N1070</f>
        <v>0</v>
      </c>
      <c r="H830" s="154">
        <f>+'[1]Budget 2025W'!O1070</f>
        <v>0</v>
      </c>
      <c r="I830" s="154">
        <f>+'[1]Budget 2025W'!P1070</f>
        <v>0</v>
      </c>
      <c r="J830" s="154">
        <f>+'[1]Budget 2025W'!Q1070</f>
        <v>0</v>
      </c>
      <c r="K830" s="154">
        <f>+'[1]Budget 2025W'!R1070</f>
        <v>0</v>
      </c>
      <c r="L830" s="154">
        <f>+'[1]Budget 2025W'!S1070</f>
        <v>0</v>
      </c>
      <c r="M830" s="154">
        <f>+'[1]Budget 2025W'!T1070</f>
        <v>0</v>
      </c>
      <c r="N830" s="154">
        <f>+'[1]Budget 2025W'!U1070</f>
        <v>0</v>
      </c>
      <c r="O830" s="154">
        <f>+'[1]Budget 2025W'!V1070</f>
        <v>0</v>
      </c>
      <c r="P830" s="131"/>
      <c r="Q830" s="156">
        <f t="shared" ref="Q830:Q846" si="80">SUM(D830:O830)</f>
        <v>0</v>
      </c>
    </row>
    <row r="831" spans="2:17" ht="16.5" hidden="1" thickTop="1" thickBot="1" x14ac:dyDescent="0.25">
      <c r="C831" s="153" t="s">
        <v>99</v>
      </c>
      <c r="D831" s="75">
        <f>+'[1]Budget 2025W'!K1071</f>
        <v>0</v>
      </c>
      <c r="E831" s="75">
        <f>+'[1]Budget 2025W'!L1071</f>
        <v>0</v>
      </c>
      <c r="F831" s="154">
        <f>+'[1]Budget 2025W'!M1071</f>
        <v>0</v>
      </c>
      <c r="G831" s="154">
        <f>+'[1]Budget 2025W'!N1071</f>
        <v>0</v>
      </c>
      <c r="H831" s="154">
        <f>+'[1]Budget 2025W'!O1071</f>
        <v>0</v>
      </c>
      <c r="I831" s="154">
        <f>+'[1]Budget 2025W'!P1071</f>
        <v>0</v>
      </c>
      <c r="J831" s="154">
        <f>+'[1]Budget 2025W'!Q1071</f>
        <v>0</v>
      </c>
      <c r="K831" s="154">
        <f>+'[1]Budget 2025W'!R1071</f>
        <v>0</v>
      </c>
      <c r="L831" s="154">
        <f>+'[1]Budget 2025W'!S1071</f>
        <v>0</v>
      </c>
      <c r="M831" s="154">
        <f>+'[1]Budget 2025W'!T1071</f>
        <v>0</v>
      </c>
      <c r="N831" s="154">
        <f>+'[1]Budget 2025W'!U1071</f>
        <v>0</v>
      </c>
      <c r="O831" s="154">
        <f>+'[1]Budget 2025W'!V1071</f>
        <v>0</v>
      </c>
      <c r="P831" s="131"/>
      <c r="Q831" s="156">
        <f t="shared" si="80"/>
        <v>0</v>
      </c>
    </row>
    <row r="832" spans="2:17" ht="16.5" hidden="1" thickTop="1" thickBot="1" x14ac:dyDescent="0.25">
      <c r="C832" s="153" t="s">
        <v>100</v>
      </c>
      <c r="D832" s="75">
        <f>+'[1]Budget 2025W'!K1072</f>
        <v>0</v>
      </c>
      <c r="E832" s="75">
        <f>+'[1]Budget 2025W'!L1072</f>
        <v>0</v>
      </c>
      <c r="F832" s="154">
        <f>+'[1]Budget 2025W'!M1072</f>
        <v>0</v>
      </c>
      <c r="G832" s="154">
        <f>+'[1]Budget 2025W'!N1072</f>
        <v>0</v>
      </c>
      <c r="H832" s="154">
        <f>+'[1]Budget 2025W'!O1072</f>
        <v>0</v>
      </c>
      <c r="I832" s="154">
        <f>+'[1]Budget 2025W'!P1072</f>
        <v>0</v>
      </c>
      <c r="J832" s="154">
        <f>+'[1]Budget 2025W'!Q1072</f>
        <v>0</v>
      </c>
      <c r="K832" s="154">
        <f>+'[1]Budget 2025W'!R1072</f>
        <v>0</v>
      </c>
      <c r="L832" s="154">
        <f>+'[1]Budget 2025W'!S1072</f>
        <v>0</v>
      </c>
      <c r="M832" s="154">
        <f>+'[1]Budget 2025W'!T1072</f>
        <v>0</v>
      </c>
      <c r="N832" s="154">
        <f>+'[1]Budget 2025W'!U1072</f>
        <v>0</v>
      </c>
      <c r="O832" s="154">
        <f>+'[1]Budget 2025W'!V1072</f>
        <v>0</v>
      </c>
      <c r="P832" s="131"/>
      <c r="Q832" s="156">
        <f t="shared" si="80"/>
        <v>0</v>
      </c>
    </row>
    <row r="833" spans="3:17" ht="16.5" hidden="1" thickTop="1" thickBot="1" x14ac:dyDescent="0.25">
      <c r="C833" s="153" t="s">
        <v>101</v>
      </c>
      <c r="D833" s="75">
        <f>+'[1]Budget 2025W'!K1073</f>
        <v>0</v>
      </c>
      <c r="E833" s="75">
        <f>+'[1]Budget 2025W'!L1073</f>
        <v>0</v>
      </c>
      <c r="F833" s="154">
        <f>+'[1]Budget 2025W'!M1073</f>
        <v>0</v>
      </c>
      <c r="G833" s="154">
        <f>+'[1]Budget 2025W'!N1073</f>
        <v>0</v>
      </c>
      <c r="H833" s="154">
        <f>+'[1]Budget 2025W'!O1073</f>
        <v>0</v>
      </c>
      <c r="I833" s="154">
        <f>+'[1]Budget 2025W'!P1073</f>
        <v>0</v>
      </c>
      <c r="J833" s="154">
        <f>+'[1]Budget 2025W'!Q1073</f>
        <v>0</v>
      </c>
      <c r="K833" s="154">
        <f>+'[1]Budget 2025W'!R1073</f>
        <v>0</v>
      </c>
      <c r="L833" s="154">
        <f>+'[1]Budget 2025W'!S1073</f>
        <v>0</v>
      </c>
      <c r="M833" s="154">
        <f>+'[1]Budget 2025W'!T1073</f>
        <v>0</v>
      </c>
      <c r="N833" s="154">
        <f>+'[1]Budget 2025W'!U1073</f>
        <v>0</v>
      </c>
      <c r="O833" s="154">
        <f>+'[1]Budget 2025W'!V1073</f>
        <v>0</v>
      </c>
      <c r="P833" s="131"/>
      <c r="Q833" s="156">
        <f t="shared" si="80"/>
        <v>0</v>
      </c>
    </row>
    <row r="834" spans="3:17" ht="16.5" hidden="1" thickTop="1" thickBot="1" x14ac:dyDescent="0.25">
      <c r="C834" s="153" t="s">
        <v>102</v>
      </c>
      <c r="D834" s="75">
        <f>+'[1]Budget 2025W'!K1074</f>
        <v>0</v>
      </c>
      <c r="E834" s="75">
        <f>+'[1]Budget 2025W'!L1074</f>
        <v>0</v>
      </c>
      <c r="F834" s="154">
        <f>+'[1]Budget 2025W'!M1074</f>
        <v>0</v>
      </c>
      <c r="G834" s="154">
        <f>+'[1]Budget 2025W'!N1074</f>
        <v>0</v>
      </c>
      <c r="H834" s="154">
        <f>+'[1]Budget 2025W'!O1074</f>
        <v>0</v>
      </c>
      <c r="I834" s="154">
        <f>+'[1]Budget 2025W'!P1074</f>
        <v>0</v>
      </c>
      <c r="J834" s="154">
        <f>+'[1]Budget 2025W'!Q1074</f>
        <v>0</v>
      </c>
      <c r="K834" s="154">
        <f>+'[1]Budget 2025W'!R1074</f>
        <v>0</v>
      </c>
      <c r="L834" s="154">
        <f>+'[1]Budget 2025W'!S1074</f>
        <v>0</v>
      </c>
      <c r="M834" s="154">
        <f>+'[1]Budget 2025W'!T1074</f>
        <v>0</v>
      </c>
      <c r="N834" s="154">
        <f>+'[1]Budget 2025W'!U1074</f>
        <v>0</v>
      </c>
      <c r="O834" s="154">
        <f>+'[1]Budget 2025W'!V1074</f>
        <v>0</v>
      </c>
      <c r="P834" s="131"/>
      <c r="Q834" s="156">
        <f t="shared" si="80"/>
        <v>0</v>
      </c>
    </row>
    <row r="835" spans="3:17" ht="16.5" hidden="1" thickTop="1" thickBot="1" x14ac:dyDescent="0.25">
      <c r="C835" s="153" t="s">
        <v>103</v>
      </c>
      <c r="D835" s="75">
        <f>+'[1]Budget 2025W'!K1075</f>
        <v>0</v>
      </c>
      <c r="E835" s="75">
        <f>+'[1]Budget 2025W'!L1075</f>
        <v>0</v>
      </c>
      <c r="F835" s="154">
        <f>+'[1]Budget 2025W'!M1075</f>
        <v>0</v>
      </c>
      <c r="G835" s="154">
        <f>+'[1]Budget 2025W'!N1075</f>
        <v>0</v>
      </c>
      <c r="H835" s="154">
        <f>+'[1]Budget 2025W'!O1075</f>
        <v>0</v>
      </c>
      <c r="I835" s="154">
        <f>+'[1]Budget 2025W'!P1075</f>
        <v>0</v>
      </c>
      <c r="J835" s="154">
        <f>+'[1]Budget 2025W'!Q1075</f>
        <v>0</v>
      </c>
      <c r="K835" s="154">
        <f>+'[1]Budget 2025W'!R1075</f>
        <v>0</v>
      </c>
      <c r="L835" s="154">
        <f>+'[1]Budget 2025W'!S1075</f>
        <v>0</v>
      </c>
      <c r="M835" s="154">
        <f>+'[1]Budget 2025W'!T1075</f>
        <v>0</v>
      </c>
      <c r="N835" s="154">
        <f>+'[1]Budget 2025W'!U1075</f>
        <v>0</v>
      </c>
      <c r="O835" s="154">
        <f>+'[1]Budget 2025W'!V1075</f>
        <v>0</v>
      </c>
      <c r="P835" s="131"/>
      <c r="Q835" s="156">
        <f t="shared" si="80"/>
        <v>0</v>
      </c>
    </row>
    <row r="836" spans="3:17" ht="16.5" hidden="1" thickTop="1" thickBot="1" x14ac:dyDescent="0.25">
      <c r="C836" s="153" t="s">
        <v>104</v>
      </c>
      <c r="D836" s="75">
        <f>+'[1]Budget 2025W'!K1076</f>
        <v>0</v>
      </c>
      <c r="E836" s="75">
        <f>+'[1]Budget 2025W'!L1076</f>
        <v>0</v>
      </c>
      <c r="F836" s="154">
        <f>+'[1]Budget 2025W'!M1076</f>
        <v>0</v>
      </c>
      <c r="G836" s="154">
        <f>+'[1]Budget 2025W'!N1076</f>
        <v>0</v>
      </c>
      <c r="H836" s="154">
        <f>+'[1]Budget 2025W'!O1076</f>
        <v>0</v>
      </c>
      <c r="I836" s="154">
        <f>+'[1]Budget 2025W'!P1076</f>
        <v>0</v>
      </c>
      <c r="J836" s="154">
        <f>+'[1]Budget 2025W'!Q1076</f>
        <v>0</v>
      </c>
      <c r="K836" s="154">
        <f>+'[1]Budget 2025W'!R1076</f>
        <v>0</v>
      </c>
      <c r="L836" s="154">
        <f>+'[1]Budget 2025W'!S1076</f>
        <v>0</v>
      </c>
      <c r="M836" s="154">
        <f>+'[1]Budget 2025W'!T1076</f>
        <v>0</v>
      </c>
      <c r="N836" s="154">
        <f>+'[1]Budget 2025W'!U1076</f>
        <v>0</v>
      </c>
      <c r="O836" s="154">
        <f>+'[1]Budget 2025W'!V1076</f>
        <v>0</v>
      </c>
      <c r="P836" s="131"/>
      <c r="Q836" s="156">
        <f t="shared" si="80"/>
        <v>0</v>
      </c>
    </row>
    <row r="837" spans="3:17" ht="16.5" hidden="1" thickTop="1" thickBot="1" x14ac:dyDescent="0.25">
      <c r="C837" s="153" t="s">
        <v>105</v>
      </c>
      <c r="D837" s="75">
        <f>+'[1]Budget 2025W'!K1077</f>
        <v>0</v>
      </c>
      <c r="E837" s="75">
        <f>+'[1]Budget 2025W'!L1077</f>
        <v>0</v>
      </c>
      <c r="F837" s="154">
        <f>+'[1]Budget 2025W'!M1077</f>
        <v>0</v>
      </c>
      <c r="G837" s="154">
        <f>+'[1]Budget 2025W'!N1077</f>
        <v>0</v>
      </c>
      <c r="H837" s="154">
        <f>+'[1]Budget 2025W'!O1077</f>
        <v>0</v>
      </c>
      <c r="I837" s="154">
        <f>+'[1]Budget 2025W'!P1077</f>
        <v>0</v>
      </c>
      <c r="J837" s="154">
        <f>+'[1]Budget 2025W'!Q1077</f>
        <v>0</v>
      </c>
      <c r="K837" s="154">
        <f>+'[1]Budget 2025W'!R1077</f>
        <v>0</v>
      </c>
      <c r="L837" s="154">
        <f>+'[1]Budget 2025W'!S1077</f>
        <v>0</v>
      </c>
      <c r="M837" s="154">
        <f>+'[1]Budget 2025W'!T1077</f>
        <v>0</v>
      </c>
      <c r="N837" s="154">
        <f>+'[1]Budget 2025W'!U1077</f>
        <v>0</v>
      </c>
      <c r="O837" s="154">
        <f>+'[1]Budget 2025W'!V1077</f>
        <v>0</v>
      </c>
      <c r="P837" s="131"/>
      <c r="Q837" s="156">
        <f t="shared" si="80"/>
        <v>0</v>
      </c>
    </row>
    <row r="838" spans="3:17" ht="16.5" hidden="1" thickTop="1" thickBot="1" x14ac:dyDescent="0.25">
      <c r="C838" s="153" t="s">
        <v>106</v>
      </c>
      <c r="D838" s="75">
        <f>+'[1]Budget 2025W'!K1078</f>
        <v>0</v>
      </c>
      <c r="E838" s="75">
        <f>+'[1]Budget 2025W'!L1078</f>
        <v>0</v>
      </c>
      <c r="F838" s="154">
        <f>+'[1]Budget 2025W'!M1078</f>
        <v>0</v>
      </c>
      <c r="G838" s="154">
        <f>+'[1]Budget 2025W'!N1078</f>
        <v>0</v>
      </c>
      <c r="H838" s="154">
        <f>+'[1]Budget 2025W'!O1078</f>
        <v>0</v>
      </c>
      <c r="I838" s="154">
        <f>+'[1]Budget 2025W'!P1078</f>
        <v>0</v>
      </c>
      <c r="J838" s="154">
        <f>+'[1]Budget 2025W'!Q1078</f>
        <v>0</v>
      </c>
      <c r="K838" s="154">
        <f>+'[1]Budget 2025W'!R1078</f>
        <v>0</v>
      </c>
      <c r="L838" s="154">
        <f>+'[1]Budget 2025W'!S1078</f>
        <v>0</v>
      </c>
      <c r="M838" s="154">
        <f>+'[1]Budget 2025W'!T1078</f>
        <v>0</v>
      </c>
      <c r="N838" s="154">
        <f>+'[1]Budget 2025W'!U1078</f>
        <v>0</v>
      </c>
      <c r="O838" s="154">
        <f>+'[1]Budget 2025W'!V1078</f>
        <v>0</v>
      </c>
      <c r="P838" s="131"/>
      <c r="Q838" s="156">
        <f t="shared" si="80"/>
        <v>0</v>
      </c>
    </row>
    <row r="839" spans="3:17" ht="16.5" hidden="1" thickTop="1" thickBot="1" x14ac:dyDescent="0.25">
      <c r="C839" s="153" t="s">
        <v>107</v>
      </c>
      <c r="D839" s="75">
        <f>+'[1]Budget 2025W'!K1079</f>
        <v>0</v>
      </c>
      <c r="E839" s="75">
        <f>+'[1]Budget 2025W'!L1079</f>
        <v>0</v>
      </c>
      <c r="F839" s="154">
        <f>+'[1]Budget 2025W'!M1079</f>
        <v>0</v>
      </c>
      <c r="G839" s="154">
        <f>+'[1]Budget 2025W'!N1079</f>
        <v>0</v>
      </c>
      <c r="H839" s="154">
        <f>+'[1]Budget 2025W'!O1079</f>
        <v>0</v>
      </c>
      <c r="I839" s="154">
        <f>+'[1]Budget 2025W'!P1079</f>
        <v>0</v>
      </c>
      <c r="J839" s="154">
        <f>+'[1]Budget 2025W'!Q1079</f>
        <v>0</v>
      </c>
      <c r="K839" s="154">
        <f>+'[1]Budget 2025W'!R1079</f>
        <v>0</v>
      </c>
      <c r="L839" s="154">
        <f>+'[1]Budget 2025W'!S1079</f>
        <v>0</v>
      </c>
      <c r="M839" s="154">
        <f>+'[1]Budget 2025W'!T1079</f>
        <v>0</v>
      </c>
      <c r="N839" s="154">
        <f>+'[1]Budget 2025W'!U1079</f>
        <v>0</v>
      </c>
      <c r="O839" s="154">
        <f>+'[1]Budget 2025W'!V1079</f>
        <v>0</v>
      </c>
      <c r="P839" s="131"/>
      <c r="Q839" s="156">
        <f t="shared" si="80"/>
        <v>0</v>
      </c>
    </row>
    <row r="840" spans="3:17" ht="16.5" hidden="1" thickTop="1" thickBot="1" x14ac:dyDescent="0.25">
      <c r="C840" s="153" t="s">
        <v>108</v>
      </c>
      <c r="D840" s="75">
        <f>+'[1]Budget 2025W'!K1080</f>
        <v>0</v>
      </c>
      <c r="E840" s="75">
        <f>+'[1]Budget 2025W'!L1080</f>
        <v>0</v>
      </c>
      <c r="F840" s="154">
        <f>+'[1]Budget 2025W'!M1080</f>
        <v>0</v>
      </c>
      <c r="G840" s="154">
        <f>+'[1]Budget 2025W'!N1080</f>
        <v>0</v>
      </c>
      <c r="H840" s="154">
        <f>+'[1]Budget 2025W'!O1080</f>
        <v>0</v>
      </c>
      <c r="I840" s="154">
        <f>+'[1]Budget 2025W'!P1080</f>
        <v>0</v>
      </c>
      <c r="J840" s="154">
        <f>+'[1]Budget 2025W'!Q1080</f>
        <v>0</v>
      </c>
      <c r="K840" s="154">
        <f>+'[1]Budget 2025W'!R1080</f>
        <v>0</v>
      </c>
      <c r="L840" s="154">
        <f>+'[1]Budget 2025W'!S1080</f>
        <v>0</v>
      </c>
      <c r="M840" s="154">
        <f>+'[1]Budget 2025W'!T1080</f>
        <v>0</v>
      </c>
      <c r="N840" s="154">
        <f>+'[1]Budget 2025W'!U1080</f>
        <v>0</v>
      </c>
      <c r="O840" s="154">
        <f>+'[1]Budget 2025W'!V1080</f>
        <v>0</v>
      </c>
      <c r="P840" s="131"/>
      <c r="Q840" s="156">
        <f t="shared" si="80"/>
        <v>0</v>
      </c>
    </row>
    <row r="841" spans="3:17" ht="16.5" hidden="1" thickTop="1" thickBot="1" x14ac:dyDescent="0.25">
      <c r="C841" s="153" t="s">
        <v>109</v>
      </c>
      <c r="D841" s="75">
        <f>+'[1]Budget 2025W'!K1081</f>
        <v>0</v>
      </c>
      <c r="E841" s="75">
        <f>+'[1]Budget 2025W'!L1081</f>
        <v>0</v>
      </c>
      <c r="F841" s="154">
        <f>+'[1]Budget 2025W'!M1081</f>
        <v>0</v>
      </c>
      <c r="G841" s="154">
        <f>+'[1]Budget 2025W'!N1081</f>
        <v>0</v>
      </c>
      <c r="H841" s="154">
        <f>+'[1]Budget 2025W'!O1081</f>
        <v>0</v>
      </c>
      <c r="I841" s="154">
        <f>+'[1]Budget 2025W'!P1081</f>
        <v>0</v>
      </c>
      <c r="J841" s="154">
        <f>+'[1]Budget 2025W'!Q1081</f>
        <v>0</v>
      </c>
      <c r="K841" s="154">
        <f>+'[1]Budget 2025W'!R1081</f>
        <v>0</v>
      </c>
      <c r="L841" s="154">
        <f>+'[1]Budget 2025W'!S1081</f>
        <v>0</v>
      </c>
      <c r="M841" s="154">
        <f>+'[1]Budget 2025W'!T1081</f>
        <v>0</v>
      </c>
      <c r="N841" s="154">
        <f>+'[1]Budget 2025W'!U1081</f>
        <v>0</v>
      </c>
      <c r="O841" s="154">
        <f>+'[1]Budget 2025W'!V1081</f>
        <v>0</v>
      </c>
      <c r="P841" s="131"/>
      <c r="Q841" s="156">
        <f t="shared" si="80"/>
        <v>0</v>
      </c>
    </row>
    <row r="842" spans="3:17" ht="16.5" hidden="1" thickTop="1" thickBot="1" x14ac:dyDescent="0.25">
      <c r="C842" s="153" t="s">
        <v>110</v>
      </c>
      <c r="D842" s="75">
        <f>+'[1]Budget 2025W'!K1082</f>
        <v>0</v>
      </c>
      <c r="E842" s="75">
        <f>+'[1]Budget 2025W'!L1082</f>
        <v>0</v>
      </c>
      <c r="F842" s="154">
        <f>+'[1]Budget 2025W'!M1082</f>
        <v>0</v>
      </c>
      <c r="G842" s="154">
        <f>+'[1]Budget 2025W'!N1082</f>
        <v>0</v>
      </c>
      <c r="H842" s="154">
        <f>+'[1]Budget 2025W'!O1082</f>
        <v>0</v>
      </c>
      <c r="I842" s="154">
        <f>+'[1]Budget 2025W'!P1082</f>
        <v>0</v>
      </c>
      <c r="J842" s="154">
        <f>+'[1]Budget 2025W'!Q1082</f>
        <v>0</v>
      </c>
      <c r="K842" s="154">
        <f>+'[1]Budget 2025W'!R1082</f>
        <v>0</v>
      </c>
      <c r="L842" s="154">
        <f>+'[1]Budget 2025W'!S1082</f>
        <v>0</v>
      </c>
      <c r="M842" s="154">
        <f>+'[1]Budget 2025W'!T1082</f>
        <v>0</v>
      </c>
      <c r="N842" s="154">
        <f>+'[1]Budget 2025W'!U1082</f>
        <v>0</v>
      </c>
      <c r="O842" s="154">
        <f>+'[1]Budget 2025W'!V1082</f>
        <v>0</v>
      </c>
      <c r="P842" s="131"/>
      <c r="Q842" s="156">
        <f t="shared" si="80"/>
        <v>0</v>
      </c>
    </row>
    <row r="843" spans="3:17" ht="16.5" hidden="1" thickTop="1" thickBot="1" x14ac:dyDescent="0.25">
      <c r="C843" s="153" t="s">
        <v>111</v>
      </c>
      <c r="D843" s="75">
        <f>+'[1]Budget 2025W'!K1083</f>
        <v>0</v>
      </c>
      <c r="E843" s="75">
        <f>+'[1]Budget 2025W'!L1083</f>
        <v>0</v>
      </c>
      <c r="F843" s="154">
        <f>+'[1]Budget 2025W'!M1083</f>
        <v>0</v>
      </c>
      <c r="G843" s="154">
        <f>+'[1]Budget 2025W'!N1083</f>
        <v>0</v>
      </c>
      <c r="H843" s="154">
        <f>+'[1]Budget 2025W'!O1083</f>
        <v>0</v>
      </c>
      <c r="I843" s="154">
        <f>+'[1]Budget 2025W'!P1083</f>
        <v>0</v>
      </c>
      <c r="J843" s="154">
        <f>+'[1]Budget 2025W'!Q1083</f>
        <v>0</v>
      </c>
      <c r="K843" s="154">
        <f>+'[1]Budget 2025W'!R1083</f>
        <v>0</v>
      </c>
      <c r="L843" s="154">
        <f>+'[1]Budget 2025W'!S1083</f>
        <v>0</v>
      </c>
      <c r="M843" s="154">
        <f>+'[1]Budget 2025W'!T1083</f>
        <v>0</v>
      </c>
      <c r="N843" s="154">
        <f>+'[1]Budget 2025W'!U1083</f>
        <v>0</v>
      </c>
      <c r="O843" s="154">
        <f>+'[1]Budget 2025W'!V1083</f>
        <v>0</v>
      </c>
      <c r="P843" s="131"/>
      <c r="Q843" s="156">
        <f t="shared" si="80"/>
        <v>0</v>
      </c>
    </row>
    <row r="844" spans="3:17" ht="16.5" hidden="1" thickTop="1" thickBot="1" x14ac:dyDescent="0.25">
      <c r="C844" s="153" t="s">
        <v>112</v>
      </c>
      <c r="D844" s="75">
        <f>+'[1]Budget 2025W'!K1084</f>
        <v>0</v>
      </c>
      <c r="E844" s="75">
        <f>+'[1]Budget 2025W'!L1084</f>
        <v>0</v>
      </c>
      <c r="F844" s="154">
        <f>+'[1]Budget 2025W'!M1084</f>
        <v>0</v>
      </c>
      <c r="G844" s="154">
        <f>+'[1]Budget 2025W'!N1084</f>
        <v>0</v>
      </c>
      <c r="H844" s="154">
        <f>+'[1]Budget 2025W'!O1084</f>
        <v>0</v>
      </c>
      <c r="I844" s="154">
        <f>+'[1]Budget 2025W'!P1084</f>
        <v>0</v>
      </c>
      <c r="J844" s="154">
        <f>+'[1]Budget 2025W'!Q1084</f>
        <v>0</v>
      </c>
      <c r="K844" s="154">
        <f>+'[1]Budget 2025W'!R1084</f>
        <v>0</v>
      </c>
      <c r="L844" s="154">
        <f>+'[1]Budget 2025W'!S1084</f>
        <v>0</v>
      </c>
      <c r="M844" s="154">
        <f>+'[1]Budget 2025W'!T1084</f>
        <v>0</v>
      </c>
      <c r="N844" s="154">
        <f>+'[1]Budget 2025W'!U1084</f>
        <v>0</v>
      </c>
      <c r="O844" s="154">
        <f>+'[1]Budget 2025W'!V1084</f>
        <v>0</v>
      </c>
      <c r="P844" s="131"/>
      <c r="Q844" s="156">
        <f t="shared" si="80"/>
        <v>0</v>
      </c>
    </row>
    <row r="845" spans="3:17" ht="16.5" hidden="1" thickTop="1" thickBot="1" x14ac:dyDescent="0.25">
      <c r="C845" s="153" t="s">
        <v>113</v>
      </c>
      <c r="D845" s="75">
        <f>+'[1]Budget 2025W'!K1085</f>
        <v>0</v>
      </c>
      <c r="E845" s="75">
        <f>+'[1]Budget 2025W'!L1085</f>
        <v>0</v>
      </c>
      <c r="F845" s="154">
        <f>+'[1]Budget 2025W'!M1085</f>
        <v>0</v>
      </c>
      <c r="G845" s="154">
        <f>+'[1]Budget 2025W'!N1085</f>
        <v>0</v>
      </c>
      <c r="H845" s="154">
        <f>+'[1]Budget 2025W'!O1085</f>
        <v>0</v>
      </c>
      <c r="I845" s="154">
        <f>+'[1]Budget 2025W'!P1085</f>
        <v>0</v>
      </c>
      <c r="J845" s="154">
        <f>+'[1]Budget 2025W'!Q1085</f>
        <v>0</v>
      </c>
      <c r="K845" s="154">
        <f>+'[1]Budget 2025W'!R1085</f>
        <v>0</v>
      </c>
      <c r="L845" s="154">
        <f>+'[1]Budget 2025W'!S1085</f>
        <v>0</v>
      </c>
      <c r="M845" s="154">
        <f>+'[1]Budget 2025W'!T1085</f>
        <v>0</v>
      </c>
      <c r="N845" s="154">
        <f>+'[1]Budget 2025W'!U1085</f>
        <v>0</v>
      </c>
      <c r="O845" s="154">
        <f>+'[1]Budget 2025W'!V1085</f>
        <v>0</v>
      </c>
      <c r="P845" s="131"/>
      <c r="Q845" s="156">
        <f t="shared" si="80"/>
        <v>0</v>
      </c>
    </row>
    <row r="846" spans="3:17" ht="17.25" hidden="1" thickTop="1" thickBot="1" x14ac:dyDescent="0.3">
      <c r="C846" s="192" t="s">
        <v>114</v>
      </c>
      <c r="D846" s="193">
        <f>+'[1]Budget 2025W'!K1089</f>
        <v>0</v>
      </c>
      <c r="E846" s="193">
        <f>+'[1]Budget 2025W'!L1089</f>
        <v>0</v>
      </c>
      <c r="F846" s="194">
        <f>+'[1]Budget 2025W'!M1089</f>
        <v>0</v>
      </c>
      <c r="G846" s="194">
        <f>+'[1]Budget 2025W'!N1089</f>
        <v>0</v>
      </c>
      <c r="H846" s="194">
        <f>+'[1]Budget 2025W'!O1089</f>
        <v>0</v>
      </c>
      <c r="I846" s="194">
        <f>+'[1]Budget 2025W'!P1089</f>
        <v>0</v>
      </c>
      <c r="J846" s="194">
        <f>+'[1]Budget 2025W'!Q1089</f>
        <v>0</v>
      </c>
      <c r="K846" s="194">
        <f>+'[1]Budget 2025W'!R1089</f>
        <v>0</v>
      </c>
      <c r="L846" s="194">
        <f>+'[1]Budget 2025W'!S1089</f>
        <v>0</v>
      </c>
      <c r="M846" s="194">
        <f>+'[1]Budget 2025W'!T1089</f>
        <v>0</v>
      </c>
      <c r="N846" s="194">
        <f>+'[1]Budget 2025W'!U1089</f>
        <v>0</v>
      </c>
      <c r="O846" s="194">
        <f>+'[1]Budget 2025W'!V1089</f>
        <v>0</v>
      </c>
      <c r="P846" s="131"/>
      <c r="Q846" s="165">
        <f t="shared" si="80"/>
        <v>0</v>
      </c>
    </row>
    <row r="847" spans="3:17" ht="17.25" hidden="1" thickTop="1" thickBot="1" x14ac:dyDescent="0.3">
      <c r="C847" s="195" t="s">
        <v>326</v>
      </c>
      <c r="D847" s="196"/>
      <c r="E847" s="196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31"/>
      <c r="Q847" s="161"/>
    </row>
    <row r="848" spans="3:17" ht="16.5" hidden="1" thickTop="1" thickBot="1" x14ac:dyDescent="0.25">
      <c r="C848" s="153" t="s">
        <v>327</v>
      </c>
      <c r="D848" s="75">
        <f>+'[1]Budget 2025W'!K1092</f>
        <v>0</v>
      </c>
      <c r="E848" s="75">
        <f>+'[1]Budget 2025W'!L1092</f>
        <v>0</v>
      </c>
      <c r="F848" s="154">
        <f>+'[1]Budget 2025W'!M1092</f>
        <v>0</v>
      </c>
      <c r="G848" s="154">
        <f>+'[1]Budget 2025W'!N1092</f>
        <v>0</v>
      </c>
      <c r="H848" s="154">
        <f>+'[1]Budget 2025W'!O1092</f>
        <v>0</v>
      </c>
      <c r="I848" s="154">
        <f>+'[1]Budget 2025W'!P1092</f>
        <v>50</v>
      </c>
      <c r="J848" s="154">
        <f>+'[1]Budget 2025W'!Q1092</f>
        <v>50</v>
      </c>
      <c r="K848" s="154">
        <f>+'[1]Budget 2025W'!R1092</f>
        <v>50</v>
      </c>
      <c r="L848" s="154">
        <f>+'[1]Budget 2025W'!S1092</f>
        <v>50</v>
      </c>
      <c r="M848" s="154">
        <f>+'[1]Budget 2025W'!T1092</f>
        <v>50</v>
      </c>
      <c r="N848" s="154">
        <f>+'[1]Budget 2025W'!U1092</f>
        <v>50</v>
      </c>
      <c r="O848" s="154">
        <f>+'[1]Budget 2025W'!V1092</f>
        <v>50</v>
      </c>
      <c r="P848" s="131"/>
      <c r="Q848" s="156">
        <f t="shared" ref="Q848:Q853" si="81">SUM(D848:O848)</f>
        <v>350</v>
      </c>
    </row>
    <row r="849" spans="3:17" ht="16.5" hidden="1" thickTop="1" thickBot="1" x14ac:dyDescent="0.25">
      <c r="C849" s="153" t="s">
        <v>328</v>
      </c>
      <c r="D849" s="75">
        <f>+'[1]Budget 2025W'!K1093</f>
        <v>0</v>
      </c>
      <c r="E849" s="75">
        <f>+'[1]Budget 2025W'!L1093</f>
        <v>0</v>
      </c>
      <c r="F849" s="154">
        <f>+'[1]Budget 2025W'!M1093</f>
        <v>0</v>
      </c>
      <c r="G849" s="154">
        <f>+'[1]Budget 2025W'!N1093</f>
        <v>0</v>
      </c>
      <c r="H849" s="154">
        <f>+'[1]Budget 2025W'!O1093</f>
        <v>0</v>
      </c>
      <c r="I849" s="154">
        <f>+'[1]Budget 2025W'!P1093</f>
        <v>0</v>
      </c>
      <c r="J849" s="154">
        <f>+'[1]Budget 2025W'!Q1093</f>
        <v>0</v>
      </c>
      <c r="K849" s="154">
        <f>+'[1]Budget 2025W'!R1093</f>
        <v>0</v>
      </c>
      <c r="L849" s="154">
        <f>+'[1]Budget 2025W'!S1093</f>
        <v>0</v>
      </c>
      <c r="M849" s="154">
        <f>+'[1]Budget 2025W'!T1093</f>
        <v>0</v>
      </c>
      <c r="N849" s="154">
        <f>+'[1]Budget 2025W'!U1093</f>
        <v>0</v>
      </c>
      <c r="O849" s="154">
        <f>+'[1]Budget 2025W'!V1093</f>
        <v>0</v>
      </c>
      <c r="P849" s="131"/>
      <c r="Q849" s="156">
        <f t="shared" si="81"/>
        <v>0</v>
      </c>
    </row>
    <row r="850" spans="3:17" ht="16.5" hidden="1" thickTop="1" thickBot="1" x14ac:dyDescent="0.25">
      <c r="C850" s="153" t="s">
        <v>329</v>
      </c>
      <c r="D850" s="75">
        <f>+'[1]Budget 2025W'!K1094</f>
        <v>0</v>
      </c>
      <c r="E850" s="75">
        <f>+'[1]Budget 2025W'!L1094</f>
        <v>0</v>
      </c>
      <c r="F850" s="154">
        <f>+'[1]Budget 2025W'!M1094</f>
        <v>0</v>
      </c>
      <c r="G850" s="154">
        <f>+'[1]Budget 2025W'!N1094</f>
        <v>0</v>
      </c>
      <c r="H850" s="154">
        <f>+'[1]Budget 2025W'!O1094</f>
        <v>0</v>
      </c>
      <c r="I850" s="154">
        <f>+'[1]Budget 2025W'!P1094</f>
        <v>0</v>
      </c>
      <c r="J850" s="154">
        <f>+'[1]Budget 2025W'!Q1094</f>
        <v>0</v>
      </c>
      <c r="K850" s="154">
        <f>+'[1]Budget 2025W'!R1094</f>
        <v>0</v>
      </c>
      <c r="L850" s="154">
        <f>+'[1]Budget 2025W'!S1094</f>
        <v>0</v>
      </c>
      <c r="M850" s="154">
        <f>+'[1]Budget 2025W'!T1094</f>
        <v>0</v>
      </c>
      <c r="N850" s="154">
        <f>+'[1]Budget 2025W'!U1094</f>
        <v>0</v>
      </c>
      <c r="O850" s="154">
        <f>+'[1]Budget 2025W'!V1094</f>
        <v>0</v>
      </c>
      <c r="P850" s="131"/>
      <c r="Q850" s="156">
        <f t="shared" si="81"/>
        <v>0</v>
      </c>
    </row>
    <row r="851" spans="3:17" ht="16.5" hidden="1" thickTop="1" thickBot="1" x14ac:dyDescent="0.25">
      <c r="C851" s="153" t="s">
        <v>330</v>
      </c>
      <c r="D851" s="75">
        <f>+'[1]Budget 2025W'!K1095</f>
        <v>0</v>
      </c>
      <c r="E851" s="75">
        <f>+'[1]Budget 2025W'!L1095</f>
        <v>0</v>
      </c>
      <c r="F851" s="154">
        <f>+'[1]Budget 2025W'!M1095</f>
        <v>0</v>
      </c>
      <c r="G851" s="154">
        <f>+'[1]Budget 2025W'!N1095</f>
        <v>0</v>
      </c>
      <c r="H851" s="154">
        <f>+'[1]Budget 2025W'!O1095</f>
        <v>0</v>
      </c>
      <c r="I851" s="154">
        <f>+'[1]Budget 2025W'!P1095</f>
        <v>0</v>
      </c>
      <c r="J851" s="154">
        <f>+'[1]Budget 2025W'!Q1095</f>
        <v>0</v>
      </c>
      <c r="K851" s="154">
        <f>+'[1]Budget 2025W'!R1095</f>
        <v>0</v>
      </c>
      <c r="L851" s="154">
        <f>+'[1]Budget 2025W'!S1095</f>
        <v>0</v>
      </c>
      <c r="M851" s="154">
        <f>+'[1]Budget 2025W'!T1095</f>
        <v>0</v>
      </c>
      <c r="N851" s="154">
        <f>+'[1]Budget 2025W'!U1095</f>
        <v>0</v>
      </c>
      <c r="O851" s="154">
        <f>+'[1]Budget 2025W'!V1095</f>
        <v>0</v>
      </c>
      <c r="P851" s="131"/>
      <c r="Q851" s="156">
        <f t="shared" si="81"/>
        <v>0</v>
      </c>
    </row>
    <row r="852" spans="3:17" ht="16.5" hidden="1" thickTop="1" thickBot="1" x14ac:dyDescent="0.25">
      <c r="C852" s="153" t="s">
        <v>331</v>
      </c>
      <c r="D852" s="75">
        <f>+'[1]Budget 2025W'!K1096</f>
        <v>0</v>
      </c>
      <c r="E852" s="75">
        <f>+'[1]Budget 2025W'!L1096</f>
        <v>0</v>
      </c>
      <c r="F852" s="154">
        <f>+'[1]Budget 2025W'!M1096</f>
        <v>0</v>
      </c>
      <c r="G852" s="154">
        <f>+'[1]Budget 2025W'!N1096</f>
        <v>0</v>
      </c>
      <c r="H852" s="154">
        <f>+'[1]Budget 2025W'!O1096</f>
        <v>0</v>
      </c>
      <c r="I852" s="154">
        <f>+'[1]Budget 2025W'!P1096</f>
        <v>0</v>
      </c>
      <c r="J852" s="154">
        <f>+'[1]Budget 2025W'!Q1096</f>
        <v>0</v>
      </c>
      <c r="K852" s="154">
        <f>+'[1]Budget 2025W'!R1096</f>
        <v>0</v>
      </c>
      <c r="L852" s="154">
        <f>+'[1]Budget 2025W'!S1096</f>
        <v>0</v>
      </c>
      <c r="M852" s="154">
        <f>+'[1]Budget 2025W'!T1096</f>
        <v>0</v>
      </c>
      <c r="N852" s="154">
        <f>+'[1]Budget 2025W'!U1096</f>
        <v>0</v>
      </c>
      <c r="O852" s="154">
        <f>+'[1]Budget 2025W'!V1096</f>
        <v>0</v>
      </c>
      <c r="P852" s="131"/>
      <c r="Q852" s="156">
        <f t="shared" si="81"/>
        <v>0</v>
      </c>
    </row>
    <row r="853" spans="3:17" ht="17.25" hidden="1" thickTop="1" thickBot="1" x14ac:dyDescent="0.3">
      <c r="C853" s="162" t="s">
        <v>332</v>
      </c>
      <c r="D853" s="163">
        <f>+'[1]Budget 2025W'!K1100</f>
        <v>0</v>
      </c>
      <c r="E853" s="163">
        <f>+'[1]Budget 2025W'!L1100</f>
        <v>0</v>
      </c>
      <c r="F853" s="163">
        <f>+'[1]Budget 2025W'!M1100</f>
        <v>0</v>
      </c>
      <c r="G853" s="163">
        <f>+'[1]Budget 2025W'!N1100</f>
        <v>0</v>
      </c>
      <c r="H853" s="163">
        <f>+'[1]Budget 2025W'!O1100</f>
        <v>0</v>
      </c>
      <c r="I853" s="163">
        <f>+'[1]Budget 2025W'!P1100</f>
        <v>50</v>
      </c>
      <c r="J853" s="163">
        <f>+'[1]Budget 2025W'!Q1100</f>
        <v>50</v>
      </c>
      <c r="K853" s="163">
        <f>+'[1]Budget 2025W'!R1100</f>
        <v>50</v>
      </c>
      <c r="L853" s="163">
        <f>+'[1]Budget 2025W'!S1100</f>
        <v>50</v>
      </c>
      <c r="M853" s="163">
        <f>+'[1]Budget 2025W'!T1100</f>
        <v>50</v>
      </c>
      <c r="N853" s="163">
        <f>+'[1]Budget 2025W'!U1100</f>
        <v>50</v>
      </c>
      <c r="O853" s="163">
        <f>+'[1]Budget 2025W'!V1100</f>
        <v>50</v>
      </c>
      <c r="P853" s="131"/>
      <c r="Q853" s="207">
        <f t="shared" si="81"/>
        <v>350</v>
      </c>
    </row>
    <row r="854" spans="3:17" ht="17.25" hidden="1" thickTop="1" thickBot="1" x14ac:dyDescent="0.3">
      <c r="C854" s="195" t="s">
        <v>44</v>
      </c>
      <c r="D854" s="196"/>
      <c r="E854" s="196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31"/>
      <c r="Q854" s="161"/>
    </row>
    <row r="855" spans="3:17" ht="16.5" hidden="1" thickTop="1" thickBot="1" x14ac:dyDescent="0.25">
      <c r="C855" s="153" t="s">
        <v>122</v>
      </c>
      <c r="D855" s="75">
        <f>+'[1]Budget 2025W'!K1104</f>
        <v>0</v>
      </c>
      <c r="E855" s="75">
        <f>+'[1]Budget 2025W'!L1104</f>
        <v>0</v>
      </c>
      <c r="F855" s="154">
        <f>+'[1]Budget 2025W'!M1104</f>
        <v>0</v>
      </c>
      <c r="G855" s="154">
        <f>+'[1]Budget 2025W'!N1104</f>
        <v>0</v>
      </c>
      <c r="H855" s="154">
        <f>+'[1]Budget 2025W'!O1104</f>
        <v>0</v>
      </c>
      <c r="I855" s="154">
        <f>+'[1]Budget 2025W'!P1104</f>
        <v>0</v>
      </c>
      <c r="J855" s="154">
        <f>+'[1]Budget 2025W'!Q1104</f>
        <v>0</v>
      </c>
      <c r="K855" s="154">
        <f>+'[1]Budget 2025W'!R1104</f>
        <v>0</v>
      </c>
      <c r="L855" s="154">
        <f>+'[1]Budget 2025W'!S1104</f>
        <v>0</v>
      </c>
      <c r="M855" s="154">
        <f>+'[1]Budget 2025W'!T1104</f>
        <v>0</v>
      </c>
      <c r="N855" s="154">
        <f>+'[1]Budget 2025W'!U1104</f>
        <v>0</v>
      </c>
      <c r="O855" s="154">
        <f>+'[1]Budget 2025W'!V1104</f>
        <v>0</v>
      </c>
      <c r="P855" s="131"/>
      <c r="Q855" s="156">
        <f t="shared" ref="Q855:Q886" si="82">SUM(D855:O855)</f>
        <v>0</v>
      </c>
    </row>
    <row r="856" spans="3:17" ht="16.5" hidden="1" thickTop="1" thickBot="1" x14ac:dyDescent="0.25">
      <c r="C856" s="153" t="s">
        <v>170</v>
      </c>
      <c r="D856" s="75">
        <f>+'[1]Budget 2025W'!K1105</f>
        <v>0</v>
      </c>
      <c r="E856" s="75">
        <f>+'[1]Budget 2025W'!L1105</f>
        <v>0</v>
      </c>
      <c r="F856" s="154">
        <f>+'[1]Budget 2025W'!M1105</f>
        <v>0</v>
      </c>
      <c r="G856" s="154">
        <f>+'[1]Budget 2025W'!N1105</f>
        <v>0</v>
      </c>
      <c r="H856" s="154">
        <f>+'[1]Budget 2025W'!O1105</f>
        <v>0</v>
      </c>
      <c r="I856" s="154">
        <f>+'[1]Budget 2025W'!P1105</f>
        <v>0</v>
      </c>
      <c r="J856" s="154">
        <f>+'[1]Budget 2025W'!Q1105</f>
        <v>0</v>
      </c>
      <c r="K856" s="154">
        <f>+'[1]Budget 2025W'!R1105</f>
        <v>0</v>
      </c>
      <c r="L856" s="154">
        <f>+'[1]Budget 2025W'!S1105</f>
        <v>0</v>
      </c>
      <c r="M856" s="154">
        <f>+'[1]Budget 2025W'!T1105</f>
        <v>0</v>
      </c>
      <c r="N856" s="154">
        <f>+'[1]Budget 2025W'!U1105</f>
        <v>0</v>
      </c>
      <c r="O856" s="154">
        <f>+'[1]Budget 2025W'!V1105</f>
        <v>0</v>
      </c>
      <c r="P856" s="131"/>
      <c r="Q856" s="156">
        <f t="shared" si="82"/>
        <v>0</v>
      </c>
    </row>
    <row r="857" spans="3:17" ht="16.5" hidden="1" thickTop="1" thickBot="1" x14ac:dyDescent="0.25">
      <c r="C857" s="153" t="s">
        <v>125</v>
      </c>
      <c r="D857" s="75">
        <f>+'[1]Budget 2025W'!K1106</f>
        <v>0</v>
      </c>
      <c r="E857" s="75">
        <f>+'[1]Budget 2025W'!L1106</f>
        <v>0</v>
      </c>
      <c r="F857" s="154">
        <f>+'[1]Budget 2025W'!M1106</f>
        <v>0</v>
      </c>
      <c r="G857" s="154">
        <f>+'[1]Budget 2025W'!N1106</f>
        <v>0</v>
      </c>
      <c r="H857" s="154">
        <f>+'[1]Budget 2025W'!O1106</f>
        <v>0</v>
      </c>
      <c r="I857" s="154">
        <f>+'[1]Budget 2025W'!P1106</f>
        <v>0</v>
      </c>
      <c r="J857" s="154">
        <f>+'[1]Budget 2025W'!Q1106</f>
        <v>0</v>
      </c>
      <c r="K857" s="154">
        <f>+'[1]Budget 2025W'!R1106</f>
        <v>0</v>
      </c>
      <c r="L857" s="154">
        <f>+'[1]Budget 2025W'!S1106</f>
        <v>0</v>
      </c>
      <c r="M857" s="154">
        <f>+'[1]Budget 2025W'!T1106</f>
        <v>0</v>
      </c>
      <c r="N857" s="154">
        <f>+'[1]Budget 2025W'!U1106</f>
        <v>0</v>
      </c>
      <c r="O857" s="154">
        <f>+'[1]Budget 2025W'!V1106</f>
        <v>0</v>
      </c>
      <c r="P857" s="131"/>
      <c r="Q857" s="156">
        <f t="shared" si="82"/>
        <v>0</v>
      </c>
    </row>
    <row r="858" spans="3:17" ht="16.5" hidden="1" thickTop="1" thickBot="1" x14ac:dyDescent="0.25">
      <c r="C858" s="153" t="s">
        <v>126</v>
      </c>
      <c r="D858" s="75">
        <f>+'[1]Budget 2025W'!K1107</f>
        <v>0</v>
      </c>
      <c r="E858" s="75">
        <f>+'[1]Budget 2025W'!L1107</f>
        <v>0</v>
      </c>
      <c r="F858" s="154">
        <f>+'[1]Budget 2025W'!M1107</f>
        <v>0</v>
      </c>
      <c r="G858" s="154">
        <f>+'[1]Budget 2025W'!N1107</f>
        <v>0</v>
      </c>
      <c r="H858" s="154">
        <f>+'[1]Budget 2025W'!O1107</f>
        <v>0</v>
      </c>
      <c r="I858" s="154">
        <f>+'[1]Budget 2025W'!P1107</f>
        <v>0</v>
      </c>
      <c r="J858" s="154">
        <f>+'[1]Budget 2025W'!Q1107</f>
        <v>0</v>
      </c>
      <c r="K858" s="154">
        <f>+'[1]Budget 2025W'!R1107</f>
        <v>0</v>
      </c>
      <c r="L858" s="154">
        <f>+'[1]Budget 2025W'!S1107</f>
        <v>0</v>
      </c>
      <c r="M858" s="154">
        <f>+'[1]Budget 2025W'!T1107</f>
        <v>0</v>
      </c>
      <c r="N858" s="154">
        <f>+'[1]Budget 2025W'!U1107</f>
        <v>0</v>
      </c>
      <c r="O858" s="154">
        <f>+'[1]Budget 2025W'!V1107</f>
        <v>0</v>
      </c>
      <c r="P858" s="131"/>
      <c r="Q858" s="156">
        <f t="shared" si="82"/>
        <v>0</v>
      </c>
    </row>
    <row r="859" spans="3:17" ht="16.5" hidden="1" thickTop="1" thickBot="1" x14ac:dyDescent="0.25">
      <c r="C859" s="153" t="s">
        <v>196</v>
      </c>
      <c r="D859" s="75">
        <f>+'[1]Budget 2025W'!K1108</f>
        <v>0</v>
      </c>
      <c r="E859" s="75">
        <f>+'[1]Budget 2025W'!L1108</f>
        <v>0</v>
      </c>
      <c r="F859" s="154">
        <f>+'[1]Budget 2025W'!M1108</f>
        <v>0</v>
      </c>
      <c r="G859" s="154">
        <f>+'[1]Budget 2025W'!N1108</f>
        <v>0</v>
      </c>
      <c r="H859" s="154">
        <f>+'[1]Budget 2025W'!O1108</f>
        <v>0</v>
      </c>
      <c r="I859" s="154">
        <f>+'[1]Budget 2025W'!P1108</f>
        <v>150</v>
      </c>
      <c r="J859" s="154">
        <f>+'[1]Budget 2025W'!Q1108</f>
        <v>150</v>
      </c>
      <c r="K859" s="154">
        <f>+'[1]Budget 2025W'!R1108</f>
        <v>150</v>
      </c>
      <c r="L859" s="154">
        <f>+'[1]Budget 2025W'!S1108</f>
        <v>150</v>
      </c>
      <c r="M859" s="154">
        <f>+'[1]Budget 2025W'!T1108</f>
        <v>150</v>
      </c>
      <c r="N859" s="154">
        <f>+'[1]Budget 2025W'!U1108</f>
        <v>150</v>
      </c>
      <c r="O859" s="154">
        <f>+'[1]Budget 2025W'!V1108</f>
        <v>150</v>
      </c>
      <c r="P859" s="131"/>
      <c r="Q859" s="156">
        <f t="shared" si="82"/>
        <v>1050</v>
      </c>
    </row>
    <row r="860" spans="3:17" ht="16.5" hidden="1" thickTop="1" thickBot="1" x14ac:dyDescent="0.25">
      <c r="C860" s="153" t="s">
        <v>134</v>
      </c>
      <c r="D860" s="75">
        <f>+'[1]Budget 2025W'!K1109</f>
        <v>0</v>
      </c>
      <c r="E860" s="75">
        <f>+'[1]Budget 2025W'!L1109</f>
        <v>0</v>
      </c>
      <c r="F860" s="154">
        <f>+'[1]Budget 2025W'!M1109</f>
        <v>0</v>
      </c>
      <c r="G860" s="154">
        <f>+'[1]Budget 2025W'!N1109</f>
        <v>0</v>
      </c>
      <c r="H860" s="154">
        <f>+'[1]Budget 2025W'!O1109</f>
        <v>0</v>
      </c>
      <c r="I860" s="154">
        <f>+'[1]Budget 2025W'!P1109</f>
        <v>0</v>
      </c>
      <c r="J860" s="154">
        <f>+'[1]Budget 2025W'!Q1109</f>
        <v>0</v>
      </c>
      <c r="K860" s="154">
        <f>+'[1]Budget 2025W'!R1109</f>
        <v>0</v>
      </c>
      <c r="L860" s="154">
        <f>+'[1]Budget 2025W'!S1109</f>
        <v>0</v>
      </c>
      <c r="M860" s="154">
        <f>+'[1]Budget 2025W'!T1109</f>
        <v>0</v>
      </c>
      <c r="N860" s="154">
        <f>+'[1]Budget 2025W'!U1109</f>
        <v>0</v>
      </c>
      <c r="O860" s="154">
        <f>+'[1]Budget 2025W'!V1109</f>
        <v>0</v>
      </c>
      <c r="P860" s="131"/>
      <c r="Q860" s="138">
        <f t="shared" si="82"/>
        <v>0</v>
      </c>
    </row>
    <row r="861" spans="3:17" ht="16.5" hidden="1" thickTop="1" thickBot="1" x14ac:dyDescent="0.25">
      <c r="C861" s="153" t="s">
        <v>331</v>
      </c>
      <c r="D861" s="75">
        <f>+'[1]Budget 2025W'!K1110</f>
        <v>0</v>
      </c>
      <c r="E861" s="75">
        <f>+'[1]Budget 2025W'!L1110</f>
        <v>0</v>
      </c>
      <c r="F861" s="154">
        <f>+'[1]Budget 2025W'!M1110</f>
        <v>0</v>
      </c>
      <c r="G861" s="154">
        <f>+'[1]Budget 2025W'!N1110</f>
        <v>0</v>
      </c>
      <c r="H861" s="154">
        <f>+'[1]Budget 2025W'!O1110</f>
        <v>0</v>
      </c>
      <c r="I861" s="154">
        <f>+'[1]Budget 2025W'!P1110</f>
        <v>0</v>
      </c>
      <c r="J861" s="154">
        <f>+'[1]Budget 2025W'!Q1110</f>
        <v>0</v>
      </c>
      <c r="K861" s="154">
        <f>+'[1]Budget 2025W'!R1110</f>
        <v>0</v>
      </c>
      <c r="L861" s="154">
        <f>+'[1]Budget 2025W'!S1110</f>
        <v>0</v>
      </c>
      <c r="M861" s="154">
        <f>+'[1]Budget 2025W'!T1110</f>
        <v>0</v>
      </c>
      <c r="N861" s="154">
        <f>+'[1]Budget 2025W'!U1110</f>
        <v>0</v>
      </c>
      <c r="O861" s="154">
        <f>+'[1]Budget 2025W'!V1110</f>
        <v>0</v>
      </c>
      <c r="P861" s="131"/>
      <c r="Q861" s="138">
        <f t="shared" si="82"/>
        <v>0</v>
      </c>
    </row>
    <row r="862" spans="3:17" ht="16.5" hidden="1" thickTop="1" thickBot="1" x14ac:dyDescent="0.25">
      <c r="C862" s="153" t="s">
        <v>333</v>
      </c>
      <c r="D862" s="75">
        <f>+'[1]Budget 2025W'!K1111</f>
        <v>0</v>
      </c>
      <c r="E862" s="75">
        <f>+'[1]Budget 2025W'!L1111</f>
        <v>0</v>
      </c>
      <c r="F862" s="154">
        <f>+'[1]Budget 2025W'!M1111</f>
        <v>0</v>
      </c>
      <c r="G862" s="154">
        <f>+'[1]Budget 2025W'!N1111</f>
        <v>0</v>
      </c>
      <c r="H862" s="154">
        <f>+'[1]Budget 2025W'!O1111</f>
        <v>0</v>
      </c>
      <c r="I862" s="154">
        <f>+'[1]Budget 2025W'!P1111</f>
        <v>0</v>
      </c>
      <c r="J862" s="154">
        <f>+'[1]Budget 2025W'!Q1111</f>
        <v>0</v>
      </c>
      <c r="K862" s="154">
        <f>+'[1]Budget 2025W'!R1111</f>
        <v>0</v>
      </c>
      <c r="L862" s="154">
        <f>+'[1]Budget 2025W'!S1111</f>
        <v>0</v>
      </c>
      <c r="M862" s="154">
        <f>+'[1]Budget 2025W'!T1111</f>
        <v>0</v>
      </c>
      <c r="N862" s="154">
        <f>+'[1]Budget 2025W'!U1111</f>
        <v>0</v>
      </c>
      <c r="O862" s="154">
        <f>+'[1]Budget 2025W'!V1111</f>
        <v>0</v>
      </c>
      <c r="P862" s="131"/>
      <c r="Q862" s="138">
        <f t="shared" si="82"/>
        <v>0</v>
      </c>
    </row>
    <row r="863" spans="3:17" ht="16.5" hidden="1" thickTop="1" thickBot="1" x14ac:dyDescent="0.25">
      <c r="C863" s="153" t="s">
        <v>334</v>
      </c>
      <c r="D863" s="75">
        <f>+'[1]Budget 2025W'!K1112</f>
        <v>0</v>
      </c>
      <c r="E863" s="75">
        <f>+'[1]Budget 2025W'!L1112</f>
        <v>0</v>
      </c>
      <c r="F863" s="154">
        <f>+'[1]Budget 2025W'!M1112</f>
        <v>0</v>
      </c>
      <c r="G863" s="154">
        <f>+'[1]Budget 2025W'!N1112</f>
        <v>0</v>
      </c>
      <c r="H863" s="154">
        <f>+'[1]Budget 2025W'!O1112</f>
        <v>0</v>
      </c>
      <c r="I863" s="154">
        <f>+'[1]Budget 2025W'!P1112</f>
        <v>0</v>
      </c>
      <c r="J863" s="154">
        <f>+'[1]Budget 2025W'!Q1112</f>
        <v>0</v>
      </c>
      <c r="K863" s="154">
        <f>+'[1]Budget 2025W'!R1112</f>
        <v>0</v>
      </c>
      <c r="L863" s="154">
        <f>+'[1]Budget 2025W'!S1112</f>
        <v>0</v>
      </c>
      <c r="M863" s="154">
        <f>+'[1]Budget 2025W'!T1112</f>
        <v>0</v>
      </c>
      <c r="N863" s="154">
        <f>+'[1]Budget 2025W'!U1112</f>
        <v>0</v>
      </c>
      <c r="O863" s="154">
        <f>+'[1]Budget 2025W'!V1112</f>
        <v>0</v>
      </c>
      <c r="P863" s="131"/>
      <c r="Q863" s="138">
        <f t="shared" si="82"/>
        <v>0</v>
      </c>
    </row>
    <row r="864" spans="3:17" ht="16.5" hidden="1" thickTop="1" thickBot="1" x14ac:dyDescent="0.25">
      <c r="C864" s="153" t="s">
        <v>335</v>
      </c>
      <c r="D864" s="75">
        <f>+'[1]Budget 2025W'!K1113</f>
        <v>0</v>
      </c>
      <c r="E864" s="75">
        <f>+'[1]Budget 2025W'!L1113</f>
        <v>0</v>
      </c>
      <c r="F864" s="154">
        <f>+'[1]Budget 2025W'!M1113</f>
        <v>0</v>
      </c>
      <c r="G864" s="154">
        <f>+'[1]Budget 2025W'!N1113</f>
        <v>0</v>
      </c>
      <c r="H864" s="154">
        <f>+'[1]Budget 2025W'!O1113</f>
        <v>0</v>
      </c>
      <c r="I864" s="154">
        <f>+'[1]Budget 2025W'!P1113</f>
        <v>0</v>
      </c>
      <c r="J864" s="154">
        <f>+'[1]Budget 2025W'!Q1113</f>
        <v>0</v>
      </c>
      <c r="K864" s="154">
        <f>+'[1]Budget 2025W'!R1113</f>
        <v>0</v>
      </c>
      <c r="L864" s="154">
        <f>+'[1]Budget 2025W'!S1113</f>
        <v>0</v>
      </c>
      <c r="M864" s="154">
        <f>+'[1]Budget 2025W'!T1113</f>
        <v>0</v>
      </c>
      <c r="N864" s="154">
        <f>+'[1]Budget 2025W'!U1113</f>
        <v>0</v>
      </c>
      <c r="O864" s="154">
        <f>+'[1]Budget 2025W'!V1113</f>
        <v>0</v>
      </c>
      <c r="P864" s="131"/>
      <c r="Q864" s="138">
        <f t="shared" si="82"/>
        <v>0</v>
      </c>
    </row>
    <row r="865" spans="3:17" ht="16.5" hidden="1" thickTop="1" thickBot="1" x14ac:dyDescent="0.25">
      <c r="C865" s="153" t="s">
        <v>336</v>
      </c>
      <c r="D865" s="75">
        <f>+'[1]Budget 2025W'!K1114</f>
        <v>0</v>
      </c>
      <c r="E865" s="75">
        <f>+'[1]Budget 2025W'!L1114</f>
        <v>0</v>
      </c>
      <c r="F865" s="154">
        <f>+'[1]Budget 2025W'!M1114</f>
        <v>0</v>
      </c>
      <c r="G865" s="154">
        <f>+'[1]Budget 2025W'!N1114</f>
        <v>0</v>
      </c>
      <c r="H865" s="154">
        <f>+'[1]Budget 2025W'!O1114</f>
        <v>0</v>
      </c>
      <c r="I865" s="154">
        <f>+'[1]Budget 2025W'!P1114</f>
        <v>0</v>
      </c>
      <c r="J865" s="154">
        <f>+'[1]Budget 2025W'!Q1114</f>
        <v>0</v>
      </c>
      <c r="K865" s="154">
        <f>+'[1]Budget 2025W'!R1114</f>
        <v>0</v>
      </c>
      <c r="L865" s="154">
        <f>+'[1]Budget 2025W'!S1114</f>
        <v>0</v>
      </c>
      <c r="M865" s="154">
        <f>+'[1]Budget 2025W'!T1114</f>
        <v>0</v>
      </c>
      <c r="N865" s="154">
        <f>+'[1]Budget 2025W'!U1114</f>
        <v>0</v>
      </c>
      <c r="O865" s="154">
        <f>+'[1]Budget 2025W'!V1114</f>
        <v>0</v>
      </c>
      <c r="P865" s="131"/>
      <c r="Q865" s="138">
        <f t="shared" si="82"/>
        <v>0</v>
      </c>
    </row>
    <row r="866" spans="3:17" ht="16.5" hidden="1" thickTop="1" thickBot="1" x14ac:dyDescent="0.25">
      <c r="C866" s="153" t="s">
        <v>337</v>
      </c>
      <c r="D866" s="75">
        <f>+'[1]Budget 2025W'!K1115</f>
        <v>0</v>
      </c>
      <c r="E866" s="75">
        <f>+'[1]Budget 2025W'!L1115</f>
        <v>0</v>
      </c>
      <c r="F866" s="154">
        <f>+'[1]Budget 2025W'!M1115</f>
        <v>0</v>
      </c>
      <c r="G866" s="154">
        <f>+'[1]Budget 2025W'!N1115</f>
        <v>0</v>
      </c>
      <c r="H866" s="154">
        <f>+'[1]Budget 2025W'!O1115</f>
        <v>0</v>
      </c>
      <c r="I866" s="154">
        <f>+'[1]Budget 2025W'!P1115</f>
        <v>0</v>
      </c>
      <c r="J866" s="154">
        <f>+'[1]Budget 2025W'!Q1115</f>
        <v>0</v>
      </c>
      <c r="K866" s="154">
        <f>+'[1]Budget 2025W'!R1115</f>
        <v>0</v>
      </c>
      <c r="L866" s="154">
        <f>+'[1]Budget 2025W'!S1115</f>
        <v>0</v>
      </c>
      <c r="M866" s="154">
        <f>+'[1]Budget 2025W'!T1115</f>
        <v>0</v>
      </c>
      <c r="N866" s="154">
        <f>+'[1]Budget 2025W'!U1115</f>
        <v>0</v>
      </c>
      <c r="O866" s="154">
        <f>+'[1]Budget 2025W'!V1115</f>
        <v>0</v>
      </c>
      <c r="P866" s="131"/>
      <c r="Q866" s="138">
        <f t="shared" si="82"/>
        <v>0</v>
      </c>
    </row>
    <row r="867" spans="3:17" ht="16.5" hidden="1" thickTop="1" thickBot="1" x14ac:dyDescent="0.25">
      <c r="C867" s="153" t="s">
        <v>338</v>
      </c>
      <c r="D867" s="75">
        <f>+'[1]Budget 2025W'!K1116</f>
        <v>0</v>
      </c>
      <c r="E867" s="75">
        <f>+'[1]Budget 2025W'!L1116</f>
        <v>0</v>
      </c>
      <c r="F867" s="154">
        <f>+'[1]Budget 2025W'!M1116</f>
        <v>0</v>
      </c>
      <c r="G867" s="154">
        <f>+'[1]Budget 2025W'!N1116</f>
        <v>0</v>
      </c>
      <c r="H867" s="154">
        <f>+'[1]Budget 2025W'!O1116</f>
        <v>0</v>
      </c>
      <c r="I867" s="154">
        <f>+'[1]Budget 2025W'!P1116</f>
        <v>0</v>
      </c>
      <c r="J867" s="154">
        <f>+'[1]Budget 2025W'!Q1116</f>
        <v>0</v>
      </c>
      <c r="K867" s="154">
        <f>+'[1]Budget 2025W'!R1116</f>
        <v>0</v>
      </c>
      <c r="L867" s="154">
        <f>+'[1]Budget 2025W'!S1116</f>
        <v>0</v>
      </c>
      <c r="M867" s="154">
        <f>+'[1]Budget 2025W'!T1116</f>
        <v>0</v>
      </c>
      <c r="N867" s="154">
        <f>+'[1]Budget 2025W'!U1116</f>
        <v>0</v>
      </c>
      <c r="O867" s="154">
        <f>+'[1]Budget 2025W'!V1116</f>
        <v>0</v>
      </c>
      <c r="P867" s="131"/>
      <c r="Q867" s="138">
        <f t="shared" si="82"/>
        <v>0</v>
      </c>
    </row>
    <row r="868" spans="3:17" ht="16.5" hidden="1" thickTop="1" thickBot="1" x14ac:dyDescent="0.25">
      <c r="C868" s="153" t="s">
        <v>339</v>
      </c>
      <c r="D868" s="75">
        <f>+'[1]Budget 2025W'!K1117</f>
        <v>0</v>
      </c>
      <c r="E868" s="75">
        <f>+'[1]Budget 2025W'!L1117</f>
        <v>0</v>
      </c>
      <c r="F868" s="154">
        <f>+'[1]Budget 2025W'!M1117</f>
        <v>0</v>
      </c>
      <c r="G868" s="154">
        <f>+'[1]Budget 2025W'!N1117</f>
        <v>0</v>
      </c>
      <c r="H868" s="154">
        <f>+'[1]Budget 2025W'!O1117</f>
        <v>0</v>
      </c>
      <c r="I868" s="154">
        <f>+'[1]Budget 2025W'!P1117</f>
        <v>0</v>
      </c>
      <c r="J868" s="154">
        <f>+'[1]Budget 2025W'!Q1117</f>
        <v>0</v>
      </c>
      <c r="K868" s="154">
        <f>+'[1]Budget 2025W'!R1117</f>
        <v>0</v>
      </c>
      <c r="L868" s="154">
        <f>+'[1]Budget 2025W'!S1117</f>
        <v>0</v>
      </c>
      <c r="M868" s="154">
        <f>+'[1]Budget 2025W'!T1117</f>
        <v>0</v>
      </c>
      <c r="N868" s="154">
        <f>+'[1]Budget 2025W'!U1117</f>
        <v>0</v>
      </c>
      <c r="O868" s="154">
        <f>+'[1]Budget 2025W'!V1117</f>
        <v>0</v>
      </c>
      <c r="P868" s="131"/>
      <c r="Q868" s="138">
        <f t="shared" si="82"/>
        <v>0</v>
      </c>
    </row>
    <row r="869" spans="3:17" ht="16.5" hidden="1" thickTop="1" thickBot="1" x14ac:dyDescent="0.25">
      <c r="C869" s="153" t="s">
        <v>340</v>
      </c>
      <c r="D869" s="75">
        <f>+'[1]Budget 2025W'!K1118</f>
        <v>0</v>
      </c>
      <c r="E869" s="75">
        <f>+'[1]Budget 2025W'!L1118</f>
        <v>0</v>
      </c>
      <c r="F869" s="154">
        <f>+'[1]Budget 2025W'!M1118</f>
        <v>0</v>
      </c>
      <c r="G869" s="154">
        <f>+'[1]Budget 2025W'!N1118</f>
        <v>0</v>
      </c>
      <c r="H869" s="154">
        <f>+'[1]Budget 2025W'!O1118</f>
        <v>0</v>
      </c>
      <c r="I869" s="154">
        <f>+'[1]Budget 2025W'!P1118</f>
        <v>0</v>
      </c>
      <c r="J869" s="154">
        <f>+'[1]Budget 2025W'!Q1118</f>
        <v>0</v>
      </c>
      <c r="K869" s="154">
        <f>+'[1]Budget 2025W'!R1118</f>
        <v>0</v>
      </c>
      <c r="L869" s="154">
        <f>+'[1]Budget 2025W'!S1118</f>
        <v>0</v>
      </c>
      <c r="M869" s="154">
        <f>+'[1]Budget 2025W'!T1118</f>
        <v>0</v>
      </c>
      <c r="N869" s="154">
        <f>+'[1]Budget 2025W'!U1118</f>
        <v>0</v>
      </c>
      <c r="O869" s="154">
        <f>+'[1]Budget 2025W'!V1118</f>
        <v>0</v>
      </c>
      <c r="P869" s="131"/>
      <c r="Q869" s="138">
        <f t="shared" si="82"/>
        <v>0</v>
      </c>
    </row>
    <row r="870" spans="3:17" ht="16.5" hidden="1" thickTop="1" thickBot="1" x14ac:dyDescent="0.25">
      <c r="C870" s="153" t="s">
        <v>341</v>
      </c>
      <c r="D870" s="75">
        <f>+'[1]Budget 2025W'!K1119</f>
        <v>0</v>
      </c>
      <c r="E870" s="75">
        <f>+'[1]Budget 2025W'!L1119</f>
        <v>0</v>
      </c>
      <c r="F870" s="154">
        <f>+'[1]Budget 2025W'!M1119</f>
        <v>0</v>
      </c>
      <c r="G870" s="154">
        <f>+'[1]Budget 2025W'!N1119</f>
        <v>0</v>
      </c>
      <c r="H870" s="154">
        <f>+'[1]Budget 2025W'!O1119</f>
        <v>0</v>
      </c>
      <c r="I870" s="154">
        <f>+'[1]Budget 2025W'!P1119</f>
        <v>0</v>
      </c>
      <c r="J870" s="154">
        <f>+'[1]Budget 2025W'!Q1119</f>
        <v>0</v>
      </c>
      <c r="K870" s="154">
        <f>+'[1]Budget 2025W'!R1119</f>
        <v>0</v>
      </c>
      <c r="L870" s="154">
        <f>+'[1]Budget 2025W'!S1119</f>
        <v>0</v>
      </c>
      <c r="M870" s="154">
        <f>+'[1]Budget 2025W'!T1119</f>
        <v>0</v>
      </c>
      <c r="N870" s="154">
        <f>+'[1]Budget 2025W'!U1119</f>
        <v>0</v>
      </c>
      <c r="O870" s="154">
        <f>+'[1]Budget 2025W'!V1119</f>
        <v>0</v>
      </c>
      <c r="P870" s="131"/>
      <c r="Q870" s="138">
        <f t="shared" si="82"/>
        <v>0</v>
      </c>
    </row>
    <row r="871" spans="3:17" ht="16.5" hidden="1" thickTop="1" thickBot="1" x14ac:dyDescent="0.25">
      <c r="C871" s="153" t="s">
        <v>342</v>
      </c>
      <c r="D871" s="75">
        <f>+'[1]Budget 2025W'!K1120</f>
        <v>0</v>
      </c>
      <c r="E871" s="75">
        <f>+'[1]Budget 2025W'!L1120</f>
        <v>0</v>
      </c>
      <c r="F871" s="154">
        <f>+'[1]Budget 2025W'!M1120</f>
        <v>0</v>
      </c>
      <c r="G871" s="154">
        <f>+'[1]Budget 2025W'!N1120</f>
        <v>0</v>
      </c>
      <c r="H871" s="154">
        <f>+'[1]Budget 2025W'!O1120</f>
        <v>0</v>
      </c>
      <c r="I871" s="154">
        <f>+'[1]Budget 2025W'!P1120</f>
        <v>0</v>
      </c>
      <c r="J871" s="154">
        <f>+'[1]Budget 2025W'!Q1120</f>
        <v>0</v>
      </c>
      <c r="K871" s="154">
        <f>+'[1]Budget 2025W'!R1120</f>
        <v>0</v>
      </c>
      <c r="L871" s="154">
        <f>+'[1]Budget 2025W'!S1120</f>
        <v>0</v>
      </c>
      <c r="M871" s="154">
        <f>+'[1]Budget 2025W'!T1120</f>
        <v>0</v>
      </c>
      <c r="N871" s="154">
        <f>+'[1]Budget 2025W'!U1120</f>
        <v>0</v>
      </c>
      <c r="O871" s="154">
        <f>+'[1]Budget 2025W'!V1120</f>
        <v>0</v>
      </c>
      <c r="P871" s="131"/>
      <c r="Q871" s="138">
        <f t="shared" si="82"/>
        <v>0</v>
      </c>
    </row>
    <row r="872" spans="3:17" ht="16.5" hidden="1" thickTop="1" thickBot="1" x14ac:dyDescent="0.25">
      <c r="C872" s="153" t="s">
        <v>343</v>
      </c>
      <c r="D872" s="75">
        <f>+'[1]Budget 2025W'!K1121</f>
        <v>0</v>
      </c>
      <c r="E872" s="75">
        <f>+'[1]Budget 2025W'!L1121</f>
        <v>0</v>
      </c>
      <c r="F872" s="154">
        <f>+'[1]Budget 2025W'!M1121</f>
        <v>0</v>
      </c>
      <c r="G872" s="154">
        <f>+'[1]Budget 2025W'!N1121</f>
        <v>0</v>
      </c>
      <c r="H872" s="154">
        <f>+'[1]Budget 2025W'!O1121</f>
        <v>0</v>
      </c>
      <c r="I872" s="154">
        <f>+'[1]Budget 2025W'!P1121</f>
        <v>0</v>
      </c>
      <c r="J872" s="154">
        <f>+'[1]Budget 2025W'!Q1121</f>
        <v>0</v>
      </c>
      <c r="K872" s="154">
        <f>+'[1]Budget 2025W'!R1121</f>
        <v>0</v>
      </c>
      <c r="L872" s="154">
        <f>+'[1]Budget 2025W'!S1121</f>
        <v>0</v>
      </c>
      <c r="M872" s="154">
        <f>+'[1]Budget 2025W'!T1121</f>
        <v>0</v>
      </c>
      <c r="N872" s="154">
        <f>+'[1]Budget 2025W'!U1121</f>
        <v>0</v>
      </c>
      <c r="O872" s="154">
        <f>+'[1]Budget 2025W'!V1121</f>
        <v>0</v>
      </c>
      <c r="P872" s="131"/>
      <c r="Q872" s="138">
        <f t="shared" si="82"/>
        <v>0</v>
      </c>
    </row>
    <row r="873" spans="3:17" ht="16.5" hidden="1" thickTop="1" thickBot="1" x14ac:dyDescent="0.25">
      <c r="C873" s="153" t="s">
        <v>344</v>
      </c>
      <c r="D873" s="75">
        <f>+'[1]Budget 2025W'!K1122</f>
        <v>0</v>
      </c>
      <c r="E873" s="75">
        <f>+'[1]Budget 2025W'!L1122</f>
        <v>0</v>
      </c>
      <c r="F873" s="154">
        <f>+'[1]Budget 2025W'!M1122</f>
        <v>0</v>
      </c>
      <c r="G873" s="154">
        <f>+'[1]Budget 2025W'!N1122</f>
        <v>0</v>
      </c>
      <c r="H873" s="154">
        <f>+'[1]Budget 2025W'!O1122</f>
        <v>0</v>
      </c>
      <c r="I873" s="154">
        <f>+'[1]Budget 2025W'!P1122</f>
        <v>0</v>
      </c>
      <c r="J873" s="154">
        <f>+'[1]Budget 2025W'!Q1122</f>
        <v>0</v>
      </c>
      <c r="K873" s="154">
        <f>+'[1]Budget 2025W'!R1122</f>
        <v>0</v>
      </c>
      <c r="L873" s="154">
        <f>+'[1]Budget 2025W'!S1122</f>
        <v>0</v>
      </c>
      <c r="M873" s="154">
        <f>+'[1]Budget 2025W'!T1122</f>
        <v>0</v>
      </c>
      <c r="N873" s="154">
        <f>+'[1]Budget 2025W'!U1122</f>
        <v>0</v>
      </c>
      <c r="O873" s="154">
        <f>+'[1]Budget 2025W'!V1122</f>
        <v>0</v>
      </c>
      <c r="P873" s="131"/>
      <c r="Q873" s="138">
        <f t="shared" si="82"/>
        <v>0</v>
      </c>
    </row>
    <row r="874" spans="3:17" ht="16.5" hidden="1" thickTop="1" thickBot="1" x14ac:dyDescent="0.25">
      <c r="C874" s="153" t="s">
        <v>345</v>
      </c>
      <c r="D874" s="75">
        <f>+'[1]Budget 2025W'!K1123</f>
        <v>0</v>
      </c>
      <c r="E874" s="75">
        <f>+'[1]Budget 2025W'!L1123</f>
        <v>0</v>
      </c>
      <c r="F874" s="154">
        <f>+'[1]Budget 2025W'!M1123</f>
        <v>0</v>
      </c>
      <c r="G874" s="154">
        <f>+'[1]Budget 2025W'!N1123</f>
        <v>0</v>
      </c>
      <c r="H874" s="154">
        <f>+'[1]Budget 2025W'!O1123</f>
        <v>0</v>
      </c>
      <c r="I874" s="154">
        <f>+'[1]Budget 2025W'!P1123</f>
        <v>0</v>
      </c>
      <c r="J874" s="154">
        <f>+'[1]Budget 2025W'!Q1123</f>
        <v>0</v>
      </c>
      <c r="K874" s="154">
        <f>+'[1]Budget 2025W'!R1123</f>
        <v>0</v>
      </c>
      <c r="L874" s="154">
        <f>+'[1]Budget 2025W'!S1123</f>
        <v>0</v>
      </c>
      <c r="M874" s="154">
        <f>+'[1]Budget 2025W'!T1123</f>
        <v>0</v>
      </c>
      <c r="N874" s="154">
        <f>+'[1]Budget 2025W'!U1123</f>
        <v>0</v>
      </c>
      <c r="O874" s="154">
        <f>+'[1]Budget 2025W'!V1123</f>
        <v>0</v>
      </c>
      <c r="P874" s="131"/>
      <c r="Q874" s="138">
        <f t="shared" si="82"/>
        <v>0</v>
      </c>
    </row>
    <row r="875" spans="3:17" ht="16.5" hidden="1" thickTop="1" thickBot="1" x14ac:dyDescent="0.25">
      <c r="C875" s="153" t="s">
        <v>346</v>
      </c>
      <c r="D875" s="75">
        <f>+'[1]Budget 2025W'!K1124</f>
        <v>0</v>
      </c>
      <c r="E875" s="75">
        <f>+'[1]Budget 2025W'!L1124</f>
        <v>0</v>
      </c>
      <c r="F875" s="154">
        <f>+'[1]Budget 2025W'!M1124</f>
        <v>0</v>
      </c>
      <c r="G875" s="154">
        <f>+'[1]Budget 2025W'!N1124</f>
        <v>0</v>
      </c>
      <c r="H875" s="154">
        <f>+'[1]Budget 2025W'!O1124</f>
        <v>0</v>
      </c>
      <c r="I875" s="154">
        <f>+'[1]Budget 2025W'!P1124</f>
        <v>0</v>
      </c>
      <c r="J875" s="154">
        <f>+'[1]Budget 2025W'!Q1124</f>
        <v>0</v>
      </c>
      <c r="K875" s="154">
        <f>+'[1]Budget 2025W'!R1124</f>
        <v>0</v>
      </c>
      <c r="L875" s="154">
        <f>+'[1]Budget 2025W'!S1124</f>
        <v>0</v>
      </c>
      <c r="M875" s="154">
        <f>+'[1]Budget 2025W'!T1124</f>
        <v>0</v>
      </c>
      <c r="N875" s="154">
        <f>+'[1]Budget 2025W'!U1124</f>
        <v>0</v>
      </c>
      <c r="O875" s="154">
        <f>+'[1]Budget 2025W'!V1124</f>
        <v>0</v>
      </c>
      <c r="P875" s="131"/>
      <c r="Q875" s="138">
        <f t="shared" si="82"/>
        <v>0</v>
      </c>
    </row>
    <row r="876" spans="3:17" ht="16.5" hidden="1" thickTop="1" thickBot="1" x14ac:dyDescent="0.25">
      <c r="C876" s="153" t="s">
        <v>347</v>
      </c>
      <c r="D876" s="75">
        <f>+'[1]Budget 2025W'!K1125</f>
        <v>0</v>
      </c>
      <c r="E876" s="75">
        <f>+'[1]Budget 2025W'!L1125</f>
        <v>0</v>
      </c>
      <c r="F876" s="154">
        <f>+'[1]Budget 2025W'!M1125</f>
        <v>0</v>
      </c>
      <c r="G876" s="154">
        <f>+'[1]Budget 2025W'!N1125</f>
        <v>0</v>
      </c>
      <c r="H876" s="154">
        <f>+'[1]Budget 2025W'!O1125</f>
        <v>0</v>
      </c>
      <c r="I876" s="154">
        <f>+'[1]Budget 2025W'!P1125</f>
        <v>0</v>
      </c>
      <c r="J876" s="154">
        <f>+'[1]Budget 2025W'!Q1125</f>
        <v>0</v>
      </c>
      <c r="K876" s="154">
        <f>+'[1]Budget 2025W'!R1125</f>
        <v>0</v>
      </c>
      <c r="L876" s="154">
        <f>+'[1]Budget 2025W'!S1125</f>
        <v>0</v>
      </c>
      <c r="M876" s="154">
        <f>+'[1]Budget 2025W'!T1125</f>
        <v>0</v>
      </c>
      <c r="N876" s="154">
        <f>+'[1]Budget 2025W'!U1125</f>
        <v>0</v>
      </c>
      <c r="O876" s="154">
        <f>+'[1]Budget 2025W'!V1125</f>
        <v>0</v>
      </c>
      <c r="P876" s="131"/>
      <c r="Q876" s="138">
        <f t="shared" si="82"/>
        <v>0</v>
      </c>
    </row>
    <row r="877" spans="3:17" ht="16.5" hidden="1" thickTop="1" thickBot="1" x14ac:dyDescent="0.25">
      <c r="C877" s="153" t="s">
        <v>348</v>
      </c>
      <c r="D877" s="75">
        <f>+'[1]Budget 2025W'!K1126</f>
        <v>0</v>
      </c>
      <c r="E877" s="75">
        <f>+'[1]Budget 2025W'!L1126</f>
        <v>0</v>
      </c>
      <c r="F877" s="154">
        <f>+'[1]Budget 2025W'!M1126</f>
        <v>0</v>
      </c>
      <c r="G877" s="154">
        <f>+'[1]Budget 2025W'!N1126</f>
        <v>0</v>
      </c>
      <c r="H877" s="154">
        <f>+'[1]Budget 2025W'!O1126</f>
        <v>0</v>
      </c>
      <c r="I877" s="154">
        <f>+'[1]Budget 2025W'!P1126</f>
        <v>0</v>
      </c>
      <c r="J877" s="154">
        <f>+'[1]Budget 2025W'!Q1126</f>
        <v>0</v>
      </c>
      <c r="K877" s="154">
        <f>+'[1]Budget 2025W'!R1126</f>
        <v>0</v>
      </c>
      <c r="L877" s="154">
        <f>+'[1]Budget 2025W'!S1126</f>
        <v>0</v>
      </c>
      <c r="M877" s="154">
        <f>+'[1]Budget 2025W'!T1126</f>
        <v>0</v>
      </c>
      <c r="N877" s="154">
        <f>+'[1]Budget 2025W'!U1126</f>
        <v>0</v>
      </c>
      <c r="O877" s="154">
        <f>+'[1]Budget 2025W'!V1126</f>
        <v>0</v>
      </c>
      <c r="P877" s="131"/>
      <c r="Q877" s="138">
        <f t="shared" si="82"/>
        <v>0</v>
      </c>
    </row>
    <row r="878" spans="3:17" ht="16.5" hidden="1" thickTop="1" thickBot="1" x14ac:dyDescent="0.25">
      <c r="C878" s="153" t="s">
        <v>349</v>
      </c>
      <c r="D878" s="75">
        <f>+'[1]Budget 2025W'!K1127</f>
        <v>0</v>
      </c>
      <c r="E878" s="75">
        <f>+'[1]Budget 2025W'!L1127</f>
        <v>0</v>
      </c>
      <c r="F878" s="154">
        <f>+'[1]Budget 2025W'!M1127</f>
        <v>0</v>
      </c>
      <c r="G878" s="154">
        <f>+'[1]Budget 2025W'!N1127</f>
        <v>0</v>
      </c>
      <c r="H878" s="154">
        <f>+'[1]Budget 2025W'!O1127</f>
        <v>0</v>
      </c>
      <c r="I878" s="154">
        <f>+'[1]Budget 2025W'!P1127</f>
        <v>0</v>
      </c>
      <c r="J878" s="154">
        <f>+'[1]Budget 2025W'!Q1127</f>
        <v>0</v>
      </c>
      <c r="K878" s="154">
        <f>+'[1]Budget 2025W'!R1127</f>
        <v>0</v>
      </c>
      <c r="L878" s="154">
        <f>+'[1]Budget 2025W'!S1127</f>
        <v>0</v>
      </c>
      <c r="M878" s="154">
        <f>+'[1]Budget 2025W'!T1127</f>
        <v>0</v>
      </c>
      <c r="N878" s="154">
        <f>+'[1]Budget 2025W'!U1127</f>
        <v>0</v>
      </c>
      <c r="O878" s="154">
        <f>+'[1]Budget 2025W'!V1127</f>
        <v>0</v>
      </c>
      <c r="P878" s="131"/>
      <c r="Q878" s="138">
        <f t="shared" si="82"/>
        <v>0</v>
      </c>
    </row>
    <row r="879" spans="3:17" ht="16.5" hidden="1" thickTop="1" thickBot="1" x14ac:dyDescent="0.25">
      <c r="C879" s="153" t="s">
        <v>350</v>
      </c>
      <c r="D879" s="75">
        <f>+'[1]Budget 2025W'!K1128</f>
        <v>0</v>
      </c>
      <c r="E879" s="75">
        <f>+'[1]Budget 2025W'!L1128</f>
        <v>0</v>
      </c>
      <c r="F879" s="154">
        <f>+'[1]Budget 2025W'!M1128</f>
        <v>0</v>
      </c>
      <c r="G879" s="154">
        <f>+'[1]Budget 2025W'!N1128</f>
        <v>0</v>
      </c>
      <c r="H879" s="154">
        <f>+'[1]Budget 2025W'!O1128</f>
        <v>0</v>
      </c>
      <c r="I879" s="154">
        <f>+'[1]Budget 2025W'!P1128</f>
        <v>0</v>
      </c>
      <c r="J879" s="154">
        <f>+'[1]Budget 2025W'!Q1128</f>
        <v>0</v>
      </c>
      <c r="K879" s="154">
        <f>+'[1]Budget 2025W'!R1128</f>
        <v>0</v>
      </c>
      <c r="L879" s="154">
        <f>+'[1]Budget 2025W'!S1128</f>
        <v>0</v>
      </c>
      <c r="M879" s="154">
        <f>+'[1]Budget 2025W'!T1128</f>
        <v>0</v>
      </c>
      <c r="N879" s="154">
        <f>+'[1]Budget 2025W'!U1128</f>
        <v>0</v>
      </c>
      <c r="O879" s="154">
        <f>+'[1]Budget 2025W'!V1128</f>
        <v>0</v>
      </c>
      <c r="P879" s="131"/>
      <c r="Q879" s="138">
        <f t="shared" si="82"/>
        <v>0</v>
      </c>
    </row>
    <row r="880" spans="3:17" ht="16.5" hidden="1" thickTop="1" thickBot="1" x14ac:dyDescent="0.25">
      <c r="C880" s="153" t="s">
        <v>139</v>
      </c>
      <c r="D880" s="75">
        <f>+'[1]Budget 2025W'!K1129</f>
        <v>0</v>
      </c>
      <c r="E880" s="75">
        <f>+'[1]Budget 2025W'!L1129</f>
        <v>0</v>
      </c>
      <c r="F880" s="154">
        <f>+'[1]Budget 2025W'!M1129</f>
        <v>0</v>
      </c>
      <c r="G880" s="154">
        <f>+'[1]Budget 2025W'!N1129</f>
        <v>0</v>
      </c>
      <c r="H880" s="154">
        <f>+'[1]Budget 2025W'!O1129</f>
        <v>0</v>
      </c>
      <c r="I880" s="154">
        <f>+'[1]Budget 2025W'!P1129</f>
        <v>0</v>
      </c>
      <c r="J880" s="154">
        <f>+'[1]Budget 2025W'!Q1129</f>
        <v>0</v>
      </c>
      <c r="K880" s="154">
        <f>+'[1]Budget 2025W'!R1129</f>
        <v>0</v>
      </c>
      <c r="L880" s="154">
        <f>+'[1]Budget 2025W'!S1129</f>
        <v>0</v>
      </c>
      <c r="M880" s="154">
        <f>+'[1]Budget 2025W'!T1129</f>
        <v>0</v>
      </c>
      <c r="N880" s="154">
        <f>+'[1]Budget 2025W'!U1129</f>
        <v>0</v>
      </c>
      <c r="O880" s="154">
        <f>+'[1]Budget 2025W'!V1129</f>
        <v>0</v>
      </c>
      <c r="P880" s="131"/>
      <c r="Q880" s="138">
        <f t="shared" si="82"/>
        <v>0</v>
      </c>
    </row>
    <row r="881" spans="2:17" ht="16.5" hidden="1" thickTop="1" thickBot="1" x14ac:dyDescent="0.25">
      <c r="C881" s="153" t="s">
        <v>140</v>
      </c>
      <c r="D881" s="75">
        <f>+'[1]Budget 2025W'!K1130</f>
        <v>0</v>
      </c>
      <c r="E881" s="75">
        <f>+'[1]Budget 2025W'!L1130</f>
        <v>0</v>
      </c>
      <c r="F881" s="154">
        <f>+'[1]Budget 2025W'!M1130</f>
        <v>0</v>
      </c>
      <c r="G881" s="154">
        <f>+'[1]Budget 2025W'!N1130</f>
        <v>0</v>
      </c>
      <c r="H881" s="154">
        <f>+'[1]Budget 2025W'!O1130</f>
        <v>0</v>
      </c>
      <c r="I881" s="154">
        <f>+'[1]Budget 2025W'!P1130</f>
        <v>0</v>
      </c>
      <c r="J881" s="154">
        <f>+'[1]Budget 2025W'!Q1130</f>
        <v>0</v>
      </c>
      <c r="K881" s="154">
        <f>+'[1]Budget 2025W'!R1130</f>
        <v>0</v>
      </c>
      <c r="L881" s="154">
        <f>+'[1]Budget 2025W'!S1130</f>
        <v>0</v>
      </c>
      <c r="M881" s="154">
        <f>+'[1]Budget 2025W'!T1130</f>
        <v>0</v>
      </c>
      <c r="N881" s="154">
        <f>+'[1]Budget 2025W'!U1130</f>
        <v>0</v>
      </c>
      <c r="O881" s="154">
        <f>+'[1]Budget 2025W'!V1130</f>
        <v>0</v>
      </c>
      <c r="P881" s="131"/>
      <c r="Q881" s="138">
        <f t="shared" si="82"/>
        <v>0</v>
      </c>
    </row>
    <row r="882" spans="2:17" ht="16.5" hidden="1" thickTop="1" thickBot="1" x14ac:dyDescent="0.25">
      <c r="C882" s="153" t="s">
        <v>141</v>
      </c>
      <c r="D882" s="75">
        <f>+'[1]Budget 2025W'!K1131</f>
        <v>0</v>
      </c>
      <c r="E882" s="75">
        <f>+'[1]Budget 2025W'!L1131</f>
        <v>0</v>
      </c>
      <c r="F882" s="154">
        <f>+'[1]Budget 2025W'!M1131</f>
        <v>0</v>
      </c>
      <c r="G882" s="154">
        <f>+'[1]Budget 2025W'!N1131</f>
        <v>0</v>
      </c>
      <c r="H882" s="154">
        <f>+'[1]Budget 2025W'!O1131</f>
        <v>0</v>
      </c>
      <c r="I882" s="154">
        <f>+'[1]Budget 2025W'!P1131</f>
        <v>0</v>
      </c>
      <c r="J882" s="154">
        <f>+'[1]Budget 2025W'!Q1131</f>
        <v>0</v>
      </c>
      <c r="K882" s="154">
        <f>+'[1]Budget 2025W'!R1131</f>
        <v>0</v>
      </c>
      <c r="L882" s="154">
        <f>+'[1]Budget 2025W'!S1131</f>
        <v>0</v>
      </c>
      <c r="M882" s="154">
        <f>+'[1]Budget 2025W'!T1131</f>
        <v>0</v>
      </c>
      <c r="N882" s="154">
        <f>+'[1]Budget 2025W'!U1131</f>
        <v>0</v>
      </c>
      <c r="O882" s="154">
        <f>+'[1]Budget 2025W'!V1131</f>
        <v>0</v>
      </c>
      <c r="P882" s="131"/>
      <c r="Q882" s="138">
        <f t="shared" si="82"/>
        <v>0</v>
      </c>
    </row>
    <row r="883" spans="2:17" ht="16.5" hidden="1" thickTop="1" thickBot="1" x14ac:dyDescent="0.25">
      <c r="C883" s="153" t="s">
        <v>142</v>
      </c>
      <c r="D883" s="75">
        <f>+'[1]Budget 2025W'!K1132</f>
        <v>0</v>
      </c>
      <c r="E883" s="75">
        <f>+'[1]Budget 2025W'!L1132</f>
        <v>0</v>
      </c>
      <c r="F883" s="154">
        <f>+'[1]Budget 2025W'!M1132</f>
        <v>0</v>
      </c>
      <c r="G883" s="154">
        <f>+'[1]Budget 2025W'!N1132</f>
        <v>0</v>
      </c>
      <c r="H883" s="154">
        <f>+'[1]Budget 2025W'!O1132</f>
        <v>0</v>
      </c>
      <c r="I883" s="154">
        <f>+'[1]Budget 2025W'!P1132</f>
        <v>0</v>
      </c>
      <c r="J883" s="154">
        <f>+'[1]Budget 2025W'!Q1132</f>
        <v>0</v>
      </c>
      <c r="K883" s="154">
        <f>+'[1]Budget 2025W'!R1132</f>
        <v>0</v>
      </c>
      <c r="L883" s="154">
        <f>+'[1]Budget 2025W'!S1132</f>
        <v>0</v>
      </c>
      <c r="M883" s="154">
        <f>+'[1]Budget 2025W'!T1132</f>
        <v>0</v>
      </c>
      <c r="N883" s="154">
        <f>+'[1]Budget 2025W'!U1132</f>
        <v>0</v>
      </c>
      <c r="O883" s="154">
        <f>+'[1]Budget 2025W'!V1132</f>
        <v>0</v>
      </c>
      <c r="P883" s="131"/>
      <c r="Q883" s="138">
        <f t="shared" si="82"/>
        <v>0</v>
      </c>
    </row>
    <row r="884" spans="2:17" ht="16.5" hidden="1" thickTop="1" thickBot="1" x14ac:dyDescent="0.25">
      <c r="C884" s="153" t="s">
        <v>143</v>
      </c>
      <c r="D884" s="75">
        <f>+'[1]Budget 2025W'!K1133</f>
        <v>0</v>
      </c>
      <c r="E884" s="75">
        <f>+'[1]Budget 2025W'!L1133</f>
        <v>0</v>
      </c>
      <c r="F884" s="154">
        <f>+'[1]Budget 2025W'!M1133</f>
        <v>0</v>
      </c>
      <c r="G884" s="154">
        <f>+'[1]Budget 2025W'!N1133</f>
        <v>0</v>
      </c>
      <c r="H884" s="154">
        <f>+'[1]Budget 2025W'!O1133</f>
        <v>0</v>
      </c>
      <c r="I884" s="154">
        <f>+'[1]Budget 2025W'!P1133</f>
        <v>0</v>
      </c>
      <c r="J884" s="154">
        <f>+'[1]Budget 2025W'!Q1133</f>
        <v>0</v>
      </c>
      <c r="K884" s="154">
        <f>+'[1]Budget 2025W'!R1133</f>
        <v>0</v>
      </c>
      <c r="L884" s="154">
        <f>+'[1]Budget 2025W'!S1133</f>
        <v>0</v>
      </c>
      <c r="M884" s="154">
        <f>+'[1]Budget 2025W'!T1133</f>
        <v>0</v>
      </c>
      <c r="N884" s="154">
        <f>+'[1]Budget 2025W'!U1133</f>
        <v>0</v>
      </c>
      <c r="O884" s="154">
        <f>+'[1]Budget 2025W'!V1133</f>
        <v>0</v>
      </c>
      <c r="P884" s="131"/>
      <c r="Q884" s="138">
        <f t="shared" si="82"/>
        <v>0</v>
      </c>
    </row>
    <row r="885" spans="2:17" ht="17.25" hidden="1" thickTop="1" thickBot="1" x14ac:dyDescent="0.3">
      <c r="C885" s="162" t="s">
        <v>144</v>
      </c>
      <c r="D885" s="163">
        <f>+'[1]Budget 2025W'!K1136</f>
        <v>0</v>
      </c>
      <c r="E885" s="163">
        <f>+'[1]Budget 2025W'!L1136</f>
        <v>0</v>
      </c>
      <c r="F885" s="163">
        <f>+'[1]Budget 2025W'!M1136</f>
        <v>0</v>
      </c>
      <c r="G885" s="163">
        <f>+'[1]Budget 2025W'!N1136</f>
        <v>0</v>
      </c>
      <c r="H885" s="163">
        <f>+'[1]Budget 2025W'!O1136</f>
        <v>0</v>
      </c>
      <c r="I885" s="163">
        <f>+'[1]Budget 2025W'!P1136</f>
        <v>150</v>
      </c>
      <c r="J885" s="163">
        <f>+'[1]Budget 2025W'!Q1136</f>
        <v>150</v>
      </c>
      <c r="K885" s="163">
        <f>+'[1]Budget 2025W'!R1136</f>
        <v>150</v>
      </c>
      <c r="L885" s="163">
        <f>+'[1]Budget 2025W'!S1136</f>
        <v>150</v>
      </c>
      <c r="M885" s="163">
        <f>+'[1]Budget 2025W'!T1136</f>
        <v>150</v>
      </c>
      <c r="N885" s="163">
        <f>+'[1]Budget 2025W'!U1136</f>
        <v>150</v>
      </c>
      <c r="O885" s="163">
        <f>+'[1]Budget 2025W'!V1136</f>
        <v>150</v>
      </c>
      <c r="P885" s="131"/>
      <c r="Q885" s="207">
        <f t="shared" si="82"/>
        <v>1050</v>
      </c>
    </row>
    <row r="886" spans="2:17" ht="17.25" hidden="1" thickTop="1" thickBot="1" x14ac:dyDescent="0.3">
      <c r="B886" s="141"/>
      <c r="C886" s="215" t="s">
        <v>351</v>
      </c>
      <c r="D886" s="216">
        <f t="shared" ref="D886:O886" si="83">D846+D853+D885</f>
        <v>0</v>
      </c>
      <c r="E886" s="216">
        <f t="shared" si="83"/>
        <v>0</v>
      </c>
      <c r="F886" s="217">
        <f t="shared" si="83"/>
        <v>0</v>
      </c>
      <c r="G886" s="217">
        <f t="shared" si="83"/>
        <v>0</v>
      </c>
      <c r="H886" s="217">
        <f t="shared" si="83"/>
        <v>0</v>
      </c>
      <c r="I886" s="217">
        <f t="shared" si="83"/>
        <v>200</v>
      </c>
      <c r="J886" s="217">
        <f t="shared" si="83"/>
        <v>200</v>
      </c>
      <c r="K886" s="217">
        <f t="shared" si="83"/>
        <v>200</v>
      </c>
      <c r="L886" s="217">
        <f t="shared" si="83"/>
        <v>200</v>
      </c>
      <c r="M886" s="217">
        <f t="shared" si="83"/>
        <v>200</v>
      </c>
      <c r="N886" s="217">
        <f t="shared" si="83"/>
        <v>200</v>
      </c>
      <c r="O886" s="217">
        <f t="shared" si="83"/>
        <v>200</v>
      </c>
      <c r="P886" s="131"/>
      <c r="Q886" s="138">
        <f t="shared" si="82"/>
        <v>1400</v>
      </c>
    </row>
    <row r="887" spans="2:17" ht="17.25" thickTop="1" thickBot="1" x14ac:dyDescent="0.3">
      <c r="B887" s="141"/>
      <c r="C887" s="218" t="s">
        <v>352</v>
      </c>
      <c r="D887" s="143"/>
      <c r="E887" s="144"/>
      <c r="F887" s="145"/>
      <c r="G887" s="145"/>
      <c r="H887" s="146"/>
      <c r="I887" s="146"/>
      <c r="J887" s="146"/>
      <c r="K887" s="146"/>
      <c r="L887" s="146"/>
      <c r="M887" s="146"/>
      <c r="N887" s="146"/>
      <c r="O887" s="146"/>
      <c r="P887" s="129"/>
      <c r="Q887" s="145"/>
    </row>
    <row r="888" spans="2:17" ht="15.75" x14ac:dyDescent="0.25">
      <c r="C888" s="157" t="s">
        <v>44</v>
      </c>
      <c r="D888" s="158"/>
      <c r="E888" s="158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31"/>
      <c r="Q888" s="161"/>
    </row>
    <row r="889" spans="2:17" x14ac:dyDescent="0.2">
      <c r="C889" s="153" t="s">
        <v>353</v>
      </c>
      <c r="D889" s="75">
        <f>+'[1]Budget 2025W'!K1141</f>
        <v>0</v>
      </c>
      <c r="E889" s="75">
        <f>+'[1]Budget 2025W'!L1141</f>
        <v>0</v>
      </c>
      <c r="F889" s="154">
        <f>+'[1]Budget 2025W'!M1141</f>
        <v>0</v>
      </c>
      <c r="G889" s="154">
        <f>+'[1]Budget 2025W'!N1141</f>
        <v>0</v>
      </c>
      <c r="H889" s="154">
        <f>+'[1]Budget 2025W'!O1141</f>
        <v>0</v>
      </c>
      <c r="I889" s="154">
        <f>+'[1]Budget 2025W'!P1141</f>
        <v>0</v>
      </c>
      <c r="J889" s="154">
        <f>+'[1]Budget 2025W'!Q1141</f>
        <v>0</v>
      </c>
      <c r="K889" s="154">
        <f>+'[1]Budget 2025W'!R1141</f>
        <v>0</v>
      </c>
      <c r="L889" s="154">
        <f>+'[1]Budget 2025W'!S1141</f>
        <v>0</v>
      </c>
      <c r="M889" s="154">
        <f>+'[1]Budget 2025W'!T1141</f>
        <v>0</v>
      </c>
      <c r="N889" s="154">
        <f>+'[1]Budget 2025W'!U1141</f>
        <v>0</v>
      </c>
      <c r="O889" s="154">
        <f>+'[1]Budget 2025W'!V1141</f>
        <v>0</v>
      </c>
      <c r="P889" s="131"/>
      <c r="Q889" s="156">
        <f t="shared" ref="Q889:Q899" si="84">SUM(D889:O889)</f>
        <v>0</v>
      </c>
    </row>
    <row r="890" spans="2:17" x14ac:dyDescent="0.2">
      <c r="C890" s="153" t="s">
        <v>121</v>
      </c>
      <c r="D890" s="75">
        <f>+'[1]Budget 2025W'!K1142</f>
        <v>0</v>
      </c>
      <c r="E890" s="75">
        <f>+'[1]Budget 2025W'!L1142</f>
        <v>0</v>
      </c>
      <c r="F890" s="154">
        <f>+'[1]Budget 2025W'!M1142</f>
        <v>0</v>
      </c>
      <c r="G890" s="154">
        <f>+'[1]Budget 2025W'!N1142</f>
        <v>0</v>
      </c>
      <c r="H890" s="154">
        <f>+'[1]Budget 2025W'!O1142</f>
        <v>0</v>
      </c>
      <c r="I890" s="154">
        <f>+'[1]Budget 2025W'!P1142</f>
        <v>0</v>
      </c>
      <c r="J890" s="154">
        <f>+'[1]Budget 2025W'!Q1142</f>
        <v>0</v>
      </c>
      <c r="K890" s="154">
        <f>+'[1]Budget 2025W'!R1142</f>
        <v>0</v>
      </c>
      <c r="L890" s="154">
        <f>+'[1]Budget 2025W'!S1142</f>
        <v>0</v>
      </c>
      <c r="M890" s="154">
        <f>+'[1]Budget 2025W'!T1142</f>
        <v>0</v>
      </c>
      <c r="N890" s="154">
        <f>+'[1]Budget 2025W'!U1142</f>
        <v>0</v>
      </c>
      <c r="O890" s="154">
        <f>+'[1]Budget 2025W'!V1142</f>
        <v>0</v>
      </c>
      <c r="P890" s="131"/>
      <c r="Q890" s="156">
        <f t="shared" si="84"/>
        <v>0</v>
      </c>
    </row>
    <row r="891" spans="2:17" x14ac:dyDescent="0.2">
      <c r="C891" s="153" t="s">
        <v>230</v>
      </c>
      <c r="D891" s="75">
        <f>+'[1]Budget 2025W'!K1143</f>
        <v>0</v>
      </c>
      <c r="E891" s="75">
        <f>+'[1]Budget 2025W'!L1143</f>
        <v>0</v>
      </c>
      <c r="F891" s="154">
        <f>+'[1]Budget 2025W'!M1143</f>
        <v>0</v>
      </c>
      <c r="G891" s="154">
        <f>+'[1]Budget 2025W'!N1143</f>
        <v>0</v>
      </c>
      <c r="H891" s="154">
        <f>+'[1]Budget 2025W'!O1143</f>
        <v>0</v>
      </c>
      <c r="I891" s="154">
        <f>+'[1]Budget 2025W'!P1143</f>
        <v>5062.1457391304348</v>
      </c>
      <c r="J891" s="154">
        <f>+'[1]Budget 2025W'!Q1143</f>
        <v>5062.1457391304348</v>
      </c>
      <c r="K891" s="154">
        <f>+'[1]Budget 2025W'!R1143</f>
        <v>5062.1457391304348</v>
      </c>
      <c r="L891" s="154">
        <f>+'[1]Budget 2025W'!S1143</f>
        <v>5062.1457391304348</v>
      </c>
      <c r="M891" s="154">
        <f>+'[1]Budget 2025W'!T1143</f>
        <v>5062.1457391304348</v>
      </c>
      <c r="N891" s="154">
        <f>+'[1]Budget 2025W'!U1143</f>
        <v>5062.1457391304348</v>
      </c>
      <c r="O891" s="154">
        <f>+'[1]Budget 2025W'!V1143</f>
        <v>5062.1457391304348</v>
      </c>
      <c r="P891" s="131"/>
      <c r="Q891" s="156">
        <f t="shared" si="84"/>
        <v>35435.020173913043</v>
      </c>
    </row>
    <row r="892" spans="2:17" x14ac:dyDescent="0.2">
      <c r="C892" s="153" t="s">
        <v>354</v>
      </c>
      <c r="D892" s="75">
        <f>+'[1]Budget 2025W'!K1144</f>
        <v>0</v>
      </c>
      <c r="E892" s="75">
        <f>+'[1]Budget 2025W'!L1144</f>
        <v>0</v>
      </c>
      <c r="F892" s="154">
        <f>+'[1]Budget 2025W'!M1144</f>
        <v>0</v>
      </c>
      <c r="G892" s="154">
        <f>+'[1]Budget 2025W'!N1144</f>
        <v>0</v>
      </c>
      <c r="H892" s="154">
        <f>+'[1]Budget 2025W'!O1144</f>
        <v>0</v>
      </c>
      <c r="I892" s="154">
        <f>+'[1]Budget 2025W'!P1144</f>
        <v>0</v>
      </c>
      <c r="J892" s="154">
        <f>+'[1]Budget 2025W'!Q1144</f>
        <v>0</v>
      </c>
      <c r="K892" s="154">
        <f>+'[1]Budget 2025W'!R1144</f>
        <v>0</v>
      </c>
      <c r="L892" s="154">
        <f>+'[1]Budget 2025W'!S1144</f>
        <v>0</v>
      </c>
      <c r="M892" s="154">
        <f>+'[1]Budget 2025W'!T1144</f>
        <v>0</v>
      </c>
      <c r="N892" s="154">
        <f>+'[1]Budget 2025W'!U1144</f>
        <v>0</v>
      </c>
      <c r="O892" s="154">
        <f>+'[1]Budget 2025W'!V1144</f>
        <v>0</v>
      </c>
      <c r="P892" s="131"/>
      <c r="Q892" s="156">
        <f t="shared" si="84"/>
        <v>0</v>
      </c>
    </row>
    <row r="893" spans="2:17" x14ac:dyDescent="0.2">
      <c r="C893" s="153" t="s">
        <v>355</v>
      </c>
      <c r="D893" s="75">
        <f>+'[1]Budget 2025W'!K1145</f>
        <v>0</v>
      </c>
      <c r="E893" s="75">
        <f>+'[1]Budget 2025W'!L1145</f>
        <v>0</v>
      </c>
      <c r="F893" s="154">
        <f>+'[1]Budget 2025W'!M1145</f>
        <v>0</v>
      </c>
      <c r="G893" s="154">
        <f>+'[1]Budget 2025W'!N1145</f>
        <v>0</v>
      </c>
      <c r="H893" s="154">
        <f>+'[1]Budget 2025W'!O1145</f>
        <v>0</v>
      </c>
      <c r="I893" s="154">
        <f>+'[1]Budget 2025W'!P1145</f>
        <v>0</v>
      </c>
      <c r="J893" s="154">
        <f>+'[1]Budget 2025W'!Q1145</f>
        <v>0</v>
      </c>
      <c r="K893" s="154">
        <f>+'[1]Budget 2025W'!R1145</f>
        <v>0</v>
      </c>
      <c r="L893" s="154">
        <f>+'[1]Budget 2025W'!S1145</f>
        <v>0</v>
      </c>
      <c r="M893" s="154">
        <f>+'[1]Budget 2025W'!T1145</f>
        <v>0</v>
      </c>
      <c r="N893" s="154">
        <f>+'[1]Budget 2025W'!U1145</f>
        <v>0</v>
      </c>
      <c r="O893" s="154">
        <f>+'[1]Budget 2025W'!V1145</f>
        <v>0</v>
      </c>
      <c r="P893" s="131"/>
      <c r="Q893" s="156">
        <f t="shared" si="84"/>
        <v>0</v>
      </c>
    </row>
    <row r="894" spans="2:17" x14ac:dyDescent="0.2">
      <c r="C894" s="153" t="s">
        <v>356</v>
      </c>
      <c r="D894" s="75">
        <f>+'[1]Budget 2025W'!K1146</f>
        <v>0</v>
      </c>
      <c r="E894" s="75">
        <f>+'[1]Budget 2025W'!L1146</f>
        <v>0</v>
      </c>
      <c r="F894" s="154">
        <f>+'[1]Budget 2025W'!M1146</f>
        <v>0</v>
      </c>
      <c r="G894" s="154">
        <f>+'[1]Budget 2025W'!N1146</f>
        <v>0</v>
      </c>
      <c r="H894" s="154">
        <f>+'[1]Budget 2025W'!O1146</f>
        <v>0</v>
      </c>
      <c r="I894" s="154">
        <f>+'[1]Budget 2025W'!P1146</f>
        <v>0</v>
      </c>
      <c r="J894" s="154">
        <f>+'[1]Budget 2025W'!Q1146</f>
        <v>0</v>
      </c>
      <c r="K894" s="154">
        <f>+'[1]Budget 2025W'!R1146</f>
        <v>0</v>
      </c>
      <c r="L894" s="154">
        <f>+'[1]Budget 2025W'!S1146</f>
        <v>0</v>
      </c>
      <c r="M894" s="154">
        <f>+'[1]Budget 2025W'!T1146</f>
        <v>0</v>
      </c>
      <c r="N894" s="154">
        <f>+'[1]Budget 2025W'!U1146</f>
        <v>0</v>
      </c>
      <c r="O894" s="154">
        <f>+'[1]Budget 2025W'!V1146</f>
        <v>0</v>
      </c>
      <c r="P894" s="131"/>
      <c r="Q894" s="156">
        <f t="shared" si="84"/>
        <v>0</v>
      </c>
    </row>
    <row r="895" spans="2:17" x14ac:dyDescent="0.2">
      <c r="C895" s="153" t="s">
        <v>357</v>
      </c>
      <c r="D895" s="75">
        <f>+'[1]Budget 2025W'!K1147</f>
        <v>0</v>
      </c>
      <c r="E895" s="75">
        <f>+'[1]Budget 2025W'!L1147</f>
        <v>0</v>
      </c>
      <c r="F895" s="154">
        <f>+'[1]Budget 2025W'!M1147</f>
        <v>0</v>
      </c>
      <c r="G895" s="154">
        <f>+'[1]Budget 2025W'!N1147</f>
        <v>0</v>
      </c>
      <c r="H895" s="154">
        <f>+'[1]Budget 2025W'!O1147</f>
        <v>0</v>
      </c>
      <c r="I895" s="154">
        <f>+'[1]Budget 2025W'!P1147</f>
        <v>0</v>
      </c>
      <c r="J895" s="154">
        <f>+'[1]Budget 2025W'!Q1147</f>
        <v>0</v>
      </c>
      <c r="K895" s="154">
        <f>+'[1]Budget 2025W'!R1147</f>
        <v>0</v>
      </c>
      <c r="L895" s="154">
        <f>+'[1]Budget 2025W'!S1147</f>
        <v>0</v>
      </c>
      <c r="M895" s="154">
        <f>+'[1]Budget 2025W'!T1147</f>
        <v>0</v>
      </c>
      <c r="N895" s="154">
        <f>+'[1]Budget 2025W'!U1147</f>
        <v>0</v>
      </c>
      <c r="O895" s="154">
        <f>+'[1]Budget 2025W'!V1147</f>
        <v>0</v>
      </c>
      <c r="P895" s="131"/>
      <c r="Q895" s="156">
        <f t="shared" si="84"/>
        <v>0</v>
      </c>
    </row>
    <row r="896" spans="2:17" x14ac:dyDescent="0.2">
      <c r="C896" s="153" t="s">
        <v>358</v>
      </c>
      <c r="D896" s="75">
        <f>+'[1]Budget 2025W'!K1148</f>
        <v>0</v>
      </c>
      <c r="E896" s="75">
        <f>+'[1]Budget 2025W'!L1148</f>
        <v>0</v>
      </c>
      <c r="F896" s="154">
        <f>+'[1]Budget 2025W'!M1148</f>
        <v>0</v>
      </c>
      <c r="G896" s="154">
        <f>+'[1]Budget 2025W'!N1148</f>
        <v>0</v>
      </c>
      <c r="H896" s="154">
        <f>+'[1]Budget 2025W'!O1148</f>
        <v>0</v>
      </c>
      <c r="I896" s="154">
        <f>+'[1]Budget 2025W'!P1148</f>
        <v>0</v>
      </c>
      <c r="J896" s="154">
        <f>+'[1]Budget 2025W'!Q1148</f>
        <v>0</v>
      </c>
      <c r="K896" s="154">
        <f>+'[1]Budget 2025W'!R1148</f>
        <v>0</v>
      </c>
      <c r="L896" s="154">
        <f>+'[1]Budget 2025W'!S1148</f>
        <v>0</v>
      </c>
      <c r="M896" s="154">
        <f>+'[1]Budget 2025W'!T1148</f>
        <v>0</v>
      </c>
      <c r="N896" s="154">
        <f>+'[1]Budget 2025W'!U1148</f>
        <v>0</v>
      </c>
      <c r="O896" s="154">
        <f>+'[1]Budget 2025W'!V1148</f>
        <v>0</v>
      </c>
      <c r="P896" s="131"/>
      <c r="Q896" s="156">
        <f t="shared" si="84"/>
        <v>0</v>
      </c>
    </row>
    <row r="897" spans="2:17" x14ac:dyDescent="0.2">
      <c r="C897" s="153" t="s">
        <v>359</v>
      </c>
      <c r="D897" s="75">
        <f>+'[1]Budget 2025W'!K1149</f>
        <v>0</v>
      </c>
      <c r="E897" s="75">
        <f>+'[1]Budget 2025W'!L1149</f>
        <v>0</v>
      </c>
      <c r="F897" s="154">
        <f>+'[1]Budget 2025W'!M1149</f>
        <v>0</v>
      </c>
      <c r="G897" s="154">
        <f>+'[1]Budget 2025W'!N1149</f>
        <v>0</v>
      </c>
      <c r="H897" s="154">
        <f>+'[1]Budget 2025W'!O1149</f>
        <v>0</v>
      </c>
      <c r="I897" s="154">
        <f>+'[1]Budget 2025W'!P1149</f>
        <v>0</v>
      </c>
      <c r="J897" s="154">
        <f>+'[1]Budget 2025W'!Q1149</f>
        <v>0</v>
      </c>
      <c r="K897" s="154">
        <f>+'[1]Budget 2025W'!R1149</f>
        <v>0</v>
      </c>
      <c r="L897" s="154">
        <f>+'[1]Budget 2025W'!S1149</f>
        <v>0</v>
      </c>
      <c r="M897" s="154">
        <f>+'[1]Budget 2025W'!T1149</f>
        <v>0</v>
      </c>
      <c r="N897" s="154">
        <f>+'[1]Budget 2025W'!U1149</f>
        <v>0</v>
      </c>
      <c r="O897" s="154">
        <f>+'[1]Budget 2025W'!V1149</f>
        <v>0</v>
      </c>
      <c r="P897" s="131"/>
      <c r="Q897" s="156">
        <f t="shared" si="84"/>
        <v>0</v>
      </c>
    </row>
    <row r="898" spans="2:17" ht="15.75" thickBot="1" x14ac:dyDescent="0.25">
      <c r="C898" s="153" t="s">
        <v>246</v>
      </c>
      <c r="D898" s="75">
        <f>+'[1]Budget 2025W'!K1150</f>
        <v>0</v>
      </c>
      <c r="E898" s="75">
        <f>+'[1]Budget 2025W'!L1150</f>
        <v>0</v>
      </c>
      <c r="F898" s="154">
        <f>+'[1]Budget 2025W'!M1150</f>
        <v>0</v>
      </c>
      <c r="G898" s="154">
        <f>+'[1]Budget 2025W'!N1150</f>
        <v>0</v>
      </c>
      <c r="H898" s="154">
        <f>+'[1]Budget 2025W'!O1150</f>
        <v>0</v>
      </c>
      <c r="I898" s="154">
        <f>+'[1]Budget 2025W'!P1150</f>
        <v>6000</v>
      </c>
      <c r="J898" s="154">
        <f>+'[1]Budget 2025W'!Q1150</f>
        <v>6000</v>
      </c>
      <c r="K898" s="154">
        <f>+'[1]Budget 2025W'!R1150</f>
        <v>6000</v>
      </c>
      <c r="L898" s="154">
        <f>+'[1]Budget 2025W'!S1150</f>
        <v>6000</v>
      </c>
      <c r="M898" s="154">
        <f>+'[1]Budget 2025W'!T1150</f>
        <v>6000</v>
      </c>
      <c r="N898" s="154">
        <f>+'[1]Budget 2025W'!U1150</f>
        <v>6000</v>
      </c>
      <c r="O898" s="154">
        <f>+'[1]Budget 2025W'!V1150</f>
        <v>6000</v>
      </c>
      <c r="P898" s="131"/>
      <c r="Q898" s="156">
        <f t="shared" si="84"/>
        <v>42000</v>
      </c>
    </row>
    <row r="899" spans="2:17" ht="17.25" thickTop="1" thickBot="1" x14ac:dyDescent="0.3">
      <c r="C899" s="162" t="s">
        <v>360</v>
      </c>
      <c r="D899" s="163">
        <f>+'[1]Budget 2025W'!K1153</f>
        <v>0</v>
      </c>
      <c r="E899" s="163">
        <f>+'[1]Budget 2025W'!L1153</f>
        <v>0</v>
      </c>
      <c r="F899" s="163">
        <f>+'[1]Budget 2025W'!M1153</f>
        <v>0</v>
      </c>
      <c r="G899" s="163">
        <f>+'[1]Budget 2025W'!N1153</f>
        <v>0</v>
      </c>
      <c r="H899" s="163">
        <f>+'[1]Budget 2025W'!O1153</f>
        <v>0</v>
      </c>
      <c r="I899" s="163">
        <f>+'[1]Budget 2025W'!P1153</f>
        <v>11062.145739130436</v>
      </c>
      <c r="J899" s="163">
        <f>+'[1]Budget 2025W'!Q1153</f>
        <v>11062.145739130436</v>
      </c>
      <c r="K899" s="163">
        <f>+'[1]Budget 2025W'!R1153</f>
        <v>11062.145739130436</v>
      </c>
      <c r="L899" s="163">
        <f>+'[1]Budget 2025W'!S1153</f>
        <v>11062.145739130436</v>
      </c>
      <c r="M899" s="163">
        <f>+'[1]Budget 2025W'!T1153</f>
        <v>11062.145739130436</v>
      </c>
      <c r="N899" s="163">
        <f>+'[1]Budget 2025W'!U1153</f>
        <v>11062.145739130436</v>
      </c>
      <c r="O899" s="163">
        <f>+'[1]Budget 2025W'!V1153</f>
        <v>11062.145739130436</v>
      </c>
      <c r="P899" s="131"/>
      <c r="Q899" s="207">
        <f t="shared" si="84"/>
        <v>77435.020173913043</v>
      </c>
    </row>
    <row r="900" spans="2:17" ht="17.25" thickTop="1" thickBot="1" x14ac:dyDescent="0.3">
      <c r="B900" s="141"/>
      <c r="C900" s="142" t="s">
        <v>361</v>
      </c>
      <c r="D900" s="208"/>
      <c r="E900" s="208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131"/>
      <c r="Q900" s="191"/>
    </row>
    <row r="901" spans="2:17" ht="15.75" x14ac:dyDescent="0.25">
      <c r="C901" s="157" t="s">
        <v>26</v>
      </c>
      <c r="D901" s="158"/>
      <c r="E901" s="158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31"/>
      <c r="Q901" s="161"/>
    </row>
    <row r="902" spans="2:17" x14ac:dyDescent="0.2">
      <c r="C902" s="153" t="s">
        <v>362</v>
      </c>
      <c r="D902" s="75">
        <f>+'[1]Budget 2025W'!K731</f>
        <v>0</v>
      </c>
      <c r="E902" s="75">
        <f>+'[1]Budget 2025W'!L731</f>
        <v>0</v>
      </c>
      <c r="F902" s="154">
        <f>+'[1]Budget 2025W'!M731</f>
        <v>0</v>
      </c>
      <c r="G902" s="154">
        <f>+'[1]Budget 2025W'!N731</f>
        <v>0</v>
      </c>
      <c r="H902" s="154">
        <f>+'[1]Budget 2025W'!O731</f>
        <v>0</v>
      </c>
      <c r="I902" s="154">
        <f>+'[1]Budget 2025W'!P731</f>
        <v>0</v>
      </c>
      <c r="J902" s="154">
        <f>+'[1]Budget 2025W'!Q731</f>
        <v>0</v>
      </c>
      <c r="K902" s="154">
        <f>+'[1]Budget 2025W'!R731</f>
        <v>0</v>
      </c>
      <c r="L902" s="154">
        <f>+'[1]Budget 2025W'!S731</f>
        <v>0</v>
      </c>
      <c r="M902" s="154">
        <f>+'[1]Budget 2025W'!T731</f>
        <v>0</v>
      </c>
      <c r="N902" s="154">
        <f>+'[1]Budget 2025W'!U731</f>
        <v>0</v>
      </c>
      <c r="O902" s="154">
        <f>+'[1]Budget 2025W'!V731</f>
        <v>0</v>
      </c>
      <c r="P902" s="131"/>
      <c r="Q902" s="156">
        <f>SUM(D902:O902)</f>
        <v>0</v>
      </c>
    </row>
    <row r="903" spans="2:17" x14ac:dyDescent="0.2">
      <c r="C903" s="153"/>
      <c r="D903" s="75"/>
      <c r="E903" s="75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31"/>
      <c r="Q903" s="156"/>
    </row>
    <row r="904" spans="2:17" ht="15.75" thickBot="1" x14ac:dyDescent="0.25">
      <c r="C904" s="153"/>
      <c r="D904" s="75"/>
      <c r="E904" s="75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31"/>
      <c r="Q904" s="156"/>
    </row>
    <row r="905" spans="2:17" ht="17.25" thickTop="1" thickBot="1" x14ac:dyDescent="0.3">
      <c r="C905" s="162" t="s">
        <v>363</v>
      </c>
      <c r="D905" s="163">
        <f>+'[1]Budget 2025W'!K737</f>
        <v>0</v>
      </c>
      <c r="E905" s="163">
        <f>+'[1]Budget 2025W'!L737</f>
        <v>0</v>
      </c>
      <c r="F905" s="163">
        <f>+'[1]Budget 2025W'!M737</f>
        <v>0</v>
      </c>
      <c r="G905" s="163">
        <f>+'[1]Budget 2025W'!N737</f>
        <v>0</v>
      </c>
      <c r="H905" s="163">
        <f>+'[1]Budget 2025W'!O737</f>
        <v>0</v>
      </c>
      <c r="I905" s="163">
        <f>+'[1]Budget 2025W'!P737</f>
        <v>0</v>
      </c>
      <c r="J905" s="163">
        <f>+'[1]Budget 2025W'!Q737</f>
        <v>0</v>
      </c>
      <c r="K905" s="163">
        <f>+'[1]Budget 2025W'!R737</f>
        <v>0</v>
      </c>
      <c r="L905" s="163">
        <f>+'[1]Budget 2025W'!S737</f>
        <v>0</v>
      </c>
      <c r="M905" s="163">
        <f>+'[1]Budget 2025W'!T737</f>
        <v>0</v>
      </c>
      <c r="N905" s="163">
        <f>+'[1]Budget 2025W'!U737</f>
        <v>0</v>
      </c>
      <c r="O905" s="163">
        <f>+'[1]Budget 2025W'!V737</f>
        <v>0</v>
      </c>
      <c r="P905" s="131"/>
      <c r="Q905" s="207">
        <f>SUM(D905:O905)</f>
        <v>0</v>
      </c>
    </row>
    <row r="906" spans="2:17" ht="16.5" thickTop="1" x14ac:dyDescent="0.25">
      <c r="C906" s="195" t="s">
        <v>154</v>
      </c>
      <c r="D906" s="196"/>
      <c r="E906" s="196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31"/>
      <c r="Q906" s="161"/>
    </row>
    <row r="907" spans="2:17" x14ac:dyDescent="0.2">
      <c r="C907" s="153" t="s">
        <v>224</v>
      </c>
      <c r="D907" s="75">
        <f>+'[1]Budget 2025W'!K762</f>
        <v>0</v>
      </c>
      <c r="E907" s="75">
        <f>+'[1]Budget 2025W'!L762</f>
        <v>0</v>
      </c>
      <c r="F907" s="154">
        <f>+'[1]Budget 2025W'!M762</f>
        <v>0</v>
      </c>
      <c r="G907" s="154">
        <f>+'[1]Budget 2025W'!N762</f>
        <v>0</v>
      </c>
      <c r="H907" s="154">
        <f>+'[1]Budget 2025W'!O762</f>
        <v>0</v>
      </c>
      <c r="I907" s="154">
        <f>+'[1]Budget 2025W'!P762</f>
        <v>0</v>
      </c>
      <c r="J907" s="154">
        <f>+'[1]Budget 2025W'!Q762</f>
        <v>0</v>
      </c>
      <c r="K907" s="154">
        <f>+'[1]Budget 2025W'!R762</f>
        <v>0</v>
      </c>
      <c r="L907" s="154">
        <f>+'[1]Budget 2025W'!S762</f>
        <v>0</v>
      </c>
      <c r="M907" s="154">
        <f>+'[1]Budget 2025W'!T762</f>
        <v>0</v>
      </c>
      <c r="N907" s="154">
        <f>+'[1]Budget 2025W'!U762</f>
        <v>0</v>
      </c>
      <c r="O907" s="154">
        <f>+'[1]Budget 2025W'!V762</f>
        <v>0</v>
      </c>
      <c r="P907" s="131"/>
      <c r="Q907" s="156">
        <f>SUM(D907:O907)</f>
        <v>0</v>
      </c>
    </row>
    <row r="908" spans="2:17" ht="15.75" thickBot="1" x14ac:dyDescent="0.25">
      <c r="C908" s="153"/>
      <c r="D908" s="75"/>
      <c r="E908" s="75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31"/>
      <c r="Q908" s="156"/>
    </row>
    <row r="909" spans="2:17" ht="17.25" thickTop="1" thickBot="1" x14ac:dyDescent="0.3">
      <c r="C909" s="162" t="s">
        <v>165</v>
      </c>
      <c r="D909" s="163">
        <f>+'[1]Budget 2025W'!K765</f>
        <v>0</v>
      </c>
      <c r="E909" s="163">
        <f>+'[1]Budget 2025W'!L765</f>
        <v>0</v>
      </c>
      <c r="F909" s="163">
        <f>+'[1]Budget 2025W'!M765</f>
        <v>0</v>
      </c>
      <c r="G909" s="163">
        <f>+'[1]Budget 2025W'!N765</f>
        <v>0</v>
      </c>
      <c r="H909" s="163">
        <f>+'[1]Budget 2025W'!O765</f>
        <v>0</v>
      </c>
      <c r="I909" s="163">
        <f>+'[1]Budget 2025W'!P765</f>
        <v>0</v>
      </c>
      <c r="J909" s="163">
        <f>+'[1]Budget 2025W'!Q765</f>
        <v>0</v>
      </c>
      <c r="K909" s="163">
        <f>+'[1]Budget 2025W'!R765</f>
        <v>0</v>
      </c>
      <c r="L909" s="163">
        <f>+'[1]Budget 2025W'!S765</f>
        <v>0</v>
      </c>
      <c r="M909" s="163">
        <f>+'[1]Budget 2025W'!T765</f>
        <v>0</v>
      </c>
      <c r="N909" s="163">
        <f>+'[1]Budget 2025W'!U765</f>
        <v>0</v>
      </c>
      <c r="O909" s="163">
        <f>+'[1]Budget 2025W'!V765</f>
        <v>0</v>
      </c>
      <c r="P909" s="131"/>
      <c r="Q909" s="207">
        <f>SUM(D909:O909)</f>
        <v>0</v>
      </c>
    </row>
    <row r="910" spans="2:17" ht="16.5" thickTop="1" x14ac:dyDescent="0.25">
      <c r="C910" s="195" t="s">
        <v>97</v>
      </c>
      <c r="D910" s="196"/>
      <c r="E910" s="196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31"/>
      <c r="Q910" s="161"/>
    </row>
    <row r="911" spans="2:17" x14ac:dyDescent="0.2">
      <c r="C911" s="153" t="s">
        <v>98</v>
      </c>
      <c r="D911" s="75">
        <f>+'[1]Budget 2025W'!K740</f>
        <v>0</v>
      </c>
      <c r="E911" s="75">
        <f>+'[1]Budget 2025W'!L740</f>
        <v>0</v>
      </c>
      <c r="F911" s="154">
        <f>+'[1]Budget 2025W'!M740</f>
        <v>0</v>
      </c>
      <c r="G911" s="154">
        <f>+'[1]Budget 2025W'!N740</f>
        <v>0</v>
      </c>
      <c r="H911" s="154">
        <f>+'[1]Budget 2025W'!O740</f>
        <v>0</v>
      </c>
      <c r="I911" s="154">
        <f>+'[1]Budget 2025W'!P740</f>
        <v>0</v>
      </c>
      <c r="J911" s="154">
        <f>+'[1]Budget 2025W'!Q740</f>
        <v>0</v>
      </c>
      <c r="K911" s="154">
        <f>+'[1]Budget 2025W'!R740</f>
        <v>0</v>
      </c>
      <c r="L911" s="154">
        <f>+'[1]Budget 2025W'!S740</f>
        <v>0</v>
      </c>
      <c r="M911" s="154">
        <f>+'[1]Budget 2025W'!T740</f>
        <v>0</v>
      </c>
      <c r="N911" s="154">
        <f>+'[1]Budget 2025W'!U740</f>
        <v>0</v>
      </c>
      <c r="O911" s="154">
        <f>+'[1]Budget 2025W'!V740</f>
        <v>0</v>
      </c>
      <c r="P911" s="131"/>
      <c r="Q911" s="156">
        <f t="shared" ref="Q911:Q927" si="85">SUM(D911:O911)</f>
        <v>0</v>
      </c>
    </row>
    <row r="912" spans="2:17" x14ac:dyDescent="0.2">
      <c r="C912" s="153" t="s">
        <v>99</v>
      </c>
      <c r="D912" s="75">
        <f>+'[1]Budget 2025W'!K741</f>
        <v>0</v>
      </c>
      <c r="E912" s="75">
        <f>+'[1]Budget 2025W'!L741</f>
        <v>0</v>
      </c>
      <c r="F912" s="154">
        <f>+'[1]Budget 2025W'!M741</f>
        <v>0</v>
      </c>
      <c r="G912" s="154">
        <f>+'[1]Budget 2025W'!N741</f>
        <v>0</v>
      </c>
      <c r="H912" s="154">
        <f>+'[1]Budget 2025W'!O741</f>
        <v>0</v>
      </c>
      <c r="I912" s="154">
        <f>+'[1]Budget 2025W'!P741</f>
        <v>0</v>
      </c>
      <c r="J912" s="154">
        <f>+'[1]Budget 2025W'!Q741</f>
        <v>0</v>
      </c>
      <c r="K912" s="154">
        <f>+'[1]Budget 2025W'!R741</f>
        <v>0</v>
      </c>
      <c r="L912" s="154">
        <f>+'[1]Budget 2025W'!S741</f>
        <v>0</v>
      </c>
      <c r="M912" s="154">
        <f>+'[1]Budget 2025W'!T741</f>
        <v>0</v>
      </c>
      <c r="N912" s="154">
        <f>+'[1]Budget 2025W'!U741</f>
        <v>0</v>
      </c>
      <c r="O912" s="154">
        <f>+'[1]Budget 2025W'!V741</f>
        <v>0</v>
      </c>
      <c r="P912" s="131"/>
      <c r="Q912" s="156">
        <f t="shared" si="85"/>
        <v>0</v>
      </c>
    </row>
    <row r="913" spans="3:17" x14ac:dyDescent="0.2">
      <c r="C913" s="153" t="s">
        <v>100</v>
      </c>
      <c r="D913" s="75">
        <f>+'[1]Budget 2025W'!K742</f>
        <v>0</v>
      </c>
      <c r="E913" s="75">
        <f>+'[1]Budget 2025W'!L742</f>
        <v>0</v>
      </c>
      <c r="F913" s="154">
        <f>+'[1]Budget 2025W'!M742</f>
        <v>0</v>
      </c>
      <c r="G913" s="154">
        <f>+'[1]Budget 2025W'!N742</f>
        <v>0</v>
      </c>
      <c r="H913" s="154">
        <f>+'[1]Budget 2025W'!O742</f>
        <v>0</v>
      </c>
      <c r="I913" s="154">
        <f>+'[1]Budget 2025W'!P742</f>
        <v>0</v>
      </c>
      <c r="J913" s="154">
        <f>+'[1]Budget 2025W'!Q742</f>
        <v>0</v>
      </c>
      <c r="K913" s="154">
        <f>+'[1]Budget 2025W'!R742</f>
        <v>0</v>
      </c>
      <c r="L913" s="154">
        <f>+'[1]Budget 2025W'!S742</f>
        <v>0</v>
      </c>
      <c r="M913" s="154">
        <f>+'[1]Budget 2025W'!T742</f>
        <v>0</v>
      </c>
      <c r="N913" s="154">
        <f>+'[1]Budget 2025W'!U742</f>
        <v>0</v>
      </c>
      <c r="O913" s="154">
        <f>+'[1]Budget 2025W'!V742</f>
        <v>0</v>
      </c>
      <c r="P913" s="131"/>
      <c r="Q913" s="156">
        <f t="shared" si="85"/>
        <v>0</v>
      </c>
    </row>
    <row r="914" spans="3:17" x14ac:dyDescent="0.2">
      <c r="C914" s="153" t="s">
        <v>101</v>
      </c>
      <c r="D914" s="75">
        <f>+'[1]Budget 2025W'!K743</f>
        <v>0</v>
      </c>
      <c r="E914" s="75">
        <f>+'[1]Budget 2025W'!L743</f>
        <v>0</v>
      </c>
      <c r="F914" s="154">
        <f>+'[1]Budget 2025W'!M743</f>
        <v>0</v>
      </c>
      <c r="G914" s="154">
        <f>+'[1]Budget 2025W'!N743</f>
        <v>0</v>
      </c>
      <c r="H914" s="154">
        <f>+'[1]Budget 2025W'!O743</f>
        <v>0</v>
      </c>
      <c r="I914" s="154">
        <f>+'[1]Budget 2025W'!P743</f>
        <v>0</v>
      </c>
      <c r="J914" s="154">
        <f>+'[1]Budget 2025W'!Q743</f>
        <v>0</v>
      </c>
      <c r="K914" s="154">
        <f>+'[1]Budget 2025W'!R743</f>
        <v>0</v>
      </c>
      <c r="L914" s="154">
        <f>+'[1]Budget 2025W'!S743</f>
        <v>0</v>
      </c>
      <c r="M914" s="154">
        <f>+'[1]Budget 2025W'!T743</f>
        <v>0</v>
      </c>
      <c r="N914" s="154">
        <f>+'[1]Budget 2025W'!U743</f>
        <v>0</v>
      </c>
      <c r="O914" s="154">
        <f>+'[1]Budget 2025W'!V743</f>
        <v>0</v>
      </c>
      <c r="P914" s="131"/>
      <c r="Q914" s="156">
        <f t="shared" si="85"/>
        <v>0</v>
      </c>
    </row>
    <row r="915" spans="3:17" x14ac:dyDescent="0.2">
      <c r="C915" s="153" t="s">
        <v>102</v>
      </c>
      <c r="D915" s="75">
        <f>+'[1]Budget 2025W'!K744</f>
        <v>0</v>
      </c>
      <c r="E915" s="75">
        <f>+'[1]Budget 2025W'!L744</f>
        <v>0</v>
      </c>
      <c r="F915" s="154">
        <f>+'[1]Budget 2025W'!M744</f>
        <v>0</v>
      </c>
      <c r="G915" s="154">
        <f>+'[1]Budget 2025W'!N744</f>
        <v>0</v>
      </c>
      <c r="H915" s="154">
        <f>+'[1]Budget 2025W'!O744</f>
        <v>0</v>
      </c>
      <c r="I915" s="154">
        <f>+'[1]Budget 2025W'!P744</f>
        <v>0</v>
      </c>
      <c r="J915" s="154">
        <f>+'[1]Budget 2025W'!Q744</f>
        <v>0</v>
      </c>
      <c r="K915" s="154">
        <f>+'[1]Budget 2025W'!R744</f>
        <v>0</v>
      </c>
      <c r="L915" s="154">
        <f>+'[1]Budget 2025W'!S744</f>
        <v>0</v>
      </c>
      <c r="M915" s="154">
        <f>+'[1]Budget 2025W'!T744</f>
        <v>0</v>
      </c>
      <c r="N915" s="154">
        <f>+'[1]Budget 2025W'!U744</f>
        <v>0</v>
      </c>
      <c r="O915" s="154">
        <f>+'[1]Budget 2025W'!V744</f>
        <v>0</v>
      </c>
      <c r="P915" s="131"/>
      <c r="Q915" s="156">
        <f t="shared" si="85"/>
        <v>0</v>
      </c>
    </row>
    <row r="916" spans="3:17" x14ac:dyDescent="0.2">
      <c r="C916" s="153" t="s">
        <v>103</v>
      </c>
      <c r="D916" s="75">
        <f>+'[1]Budget 2025W'!K745</f>
        <v>0</v>
      </c>
      <c r="E916" s="75">
        <f>+'[1]Budget 2025W'!L745</f>
        <v>0</v>
      </c>
      <c r="F916" s="154">
        <f>+'[1]Budget 2025W'!M745</f>
        <v>0</v>
      </c>
      <c r="G916" s="154">
        <f>+'[1]Budget 2025W'!N745</f>
        <v>0</v>
      </c>
      <c r="H916" s="154">
        <f>+'[1]Budget 2025W'!O745</f>
        <v>0</v>
      </c>
      <c r="I916" s="154">
        <f>+'[1]Budget 2025W'!P745</f>
        <v>0</v>
      </c>
      <c r="J916" s="154">
        <f>+'[1]Budget 2025W'!Q745</f>
        <v>0</v>
      </c>
      <c r="K916" s="154">
        <f>+'[1]Budget 2025W'!R745</f>
        <v>0</v>
      </c>
      <c r="L916" s="154">
        <f>+'[1]Budget 2025W'!S745</f>
        <v>0</v>
      </c>
      <c r="M916" s="154">
        <f>+'[1]Budget 2025W'!T745</f>
        <v>0</v>
      </c>
      <c r="N916" s="154">
        <f>+'[1]Budget 2025W'!U745</f>
        <v>0</v>
      </c>
      <c r="O916" s="154">
        <f>+'[1]Budget 2025W'!V745</f>
        <v>0</v>
      </c>
      <c r="P916" s="131"/>
      <c r="Q916" s="156">
        <f t="shared" si="85"/>
        <v>0</v>
      </c>
    </row>
    <row r="917" spans="3:17" x14ac:dyDescent="0.2">
      <c r="C917" s="153" t="s">
        <v>104</v>
      </c>
      <c r="D917" s="75">
        <f>+'[1]Budget 2025W'!K746</f>
        <v>0</v>
      </c>
      <c r="E917" s="75">
        <f>+'[1]Budget 2025W'!L746</f>
        <v>0</v>
      </c>
      <c r="F917" s="154">
        <f>+'[1]Budget 2025W'!M746</f>
        <v>0</v>
      </c>
      <c r="G917" s="154">
        <f>+'[1]Budget 2025W'!N746</f>
        <v>0</v>
      </c>
      <c r="H917" s="154">
        <f>+'[1]Budget 2025W'!O746</f>
        <v>0</v>
      </c>
      <c r="I917" s="154">
        <f>+'[1]Budget 2025W'!P746</f>
        <v>0</v>
      </c>
      <c r="J917" s="154">
        <f>+'[1]Budget 2025W'!Q746</f>
        <v>0</v>
      </c>
      <c r="K917" s="154">
        <f>+'[1]Budget 2025W'!R746</f>
        <v>0</v>
      </c>
      <c r="L917" s="154">
        <f>+'[1]Budget 2025W'!S746</f>
        <v>0</v>
      </c>
      <c r="M917" s="154">
        <f>+'[1]Budget 2025W'!T746</f>
        <v>0</v>
      </c>
      <c r="N917" s="154">
        <f>+'[1]Budget 2025W'!U746</f>
        <v>0</v>
      </c>
      <c r="O917" s="154">
        <f>+'[1]Budget 2025W'!V746</f>
        <v>0</v>
      </c>
      <c r="P917" s="131"/>
      <c r="Q917" s="156">
        <f t="shared" si="85"/>
        <v>0</v>
      </c>
    </row>
    <row r="918" spans="3:17" x14ac:dyDescent="0.2">
      <c r="C918" s="153" t="s">
        <v>105</v>
      </c>
      <c r="D918" s="75">
        <f>+'[1]Budget 2025W'!K747</f>
        <v>0</v>
      </c>
      <c r="E918" s="75">
        <f>+'[1]Budget 2025W'!L747</f>
        <v>0</v>
      </c>
      <c r="F918" s="154">
        <f>+'[1]Budget 2025W'!M747</f>
        <v>0</v>
      </c>
      <c r="G918" s="154">
        <f>+'[1]Budget 2025W'!N747</f>
        <v>0</v>
      </c>
      <c r="H918" s="154">
        <f>+'[1]Budget 2025W'!O747</f>
        <v>0</v>
      </c>
      <c r="I918" s="154">
        <f>+'[1]Budget 2025W'!P747</f>
        <v>0</v>
      </c>
      <c r="J918" s="154">
        <f>+'[1]Budget 2025W'!Q747</f>
        <v>0</v>
      </c>
      <c r="K918" s="154">
        <f>+'[1]Budget 2025W'!R747</f>
        <v>0</v>
      </c>
      <c r="L918" s="154">
        <f>+'[1]Budget 2025W'!S747</f>
        <v>0</v>
      </c>
      <c r="M918" s="154">
        <f>+'[1]Budget 2025W'!T747</f>
        <v>0</v>
      </c>
      <c r="N918" s="154">
        <f>+'[1]Budget 2025W'!U747</f>
        <v>0</v>
      </c>
      <c r="O918" s="154">
        <f>+'[1]Budget 2025W'!V747</f>
        <v>0</v>
      </c>
      <c r="P918" s="131"/>
      <c r="Q918" s="156">
        <f t="shared" si="85"/>
        <v>0</v>
      </c>
    </row>
    <row r="919" spans="3:17" x14ac:dyDescent="0.2">
      <c r="C919" s="153" t="s">
        <v>106</v>
      </c>
      <c r="D919" s="75">
        <f>+'[1]Budget 2025W'!K748</f>
        <v>0</v>
      </c>
      <c r="E919" s="75">
        <f>+'[1]Budget 2025W'!L748</f>
        <v>0</v>
      </c>
      <c r="F919" s="154">
        <f>+'[1]Budget 2025W'!M748</f>
        <v>0</v>
      </c>
      <c r="G919" s="154">
        <f>+'[1]Budget 2025W'!N748</f>
        <v>0</v>
      </c>
      <c r="H919" s="154">
        <f>+'[1]Budget 2025W'!O748</f>
        <v>0</v>
      </c>
      <c r="I919" s="154">
        <f>+'[1]Budget 2025W'!P748</f>
        <v>0</v>
      </c>
      <c r="J919" s="154">
        <f>+'[1]Budget 2025W'!Q748</f>
        <v>0</v>
      </c>
      <c r="K919" s="154">
        <f>+'[1]Budget 2025W'!R748</f>
        <v>0</v>
      </c>
      <c r="L919" s="154">
        <f>+'[1]Budget 2025W'!S748</f>
        <v>0</v>
      </c>
      <c r="M919" s="154">
        <f>+'[1]Budget 2025W'!T748</f>
        <v>0</v>
      </c>
      <c r="N919" s="154">
        <f>+'[1]Budget 2025W'!U748</f>
        <v>0</v>
      </c>
      <c r="O919" s="154">
        <f>+'[1]Budget 2025W'!V748</f>
        <v>0</v>
      </c>
      <c r="P919" s="131"/>
      <c r="Q919" s="156">
        <f t="shared" si="85"/>
        <v>0</v>
      </c>
    </row>
    <row r="920" spans="3:17" x14ac:dyDescent="0.2">
      <c r="C920" s="153" t="s">
        <v>107</v>
      </c>
      <c r="D920" s="75">
        <f>+'[1]Budget 2025W'!K749</f>
        <v>0</v>
      </c>
      <c r="E920" s="75">
        <f>+'[1]Budget 2025W'!L749</f>
        <v>0</v>
      </c>
      <c r="F920" s="154">
        <f>+'[1]Budget 2025W'!M749</f>
        <v>0</v>
      </c>
      <c r="G920" s="154">
        <f>+'[1]Budget 2025W'!N749</f>
        <v>0</v>
      </c>
      <c r="H920" s="154">
        <f>+'[1]Budget 2025W'!O749</f>
        <v>0</v>
      </c>
      <c r="I920" s="154">
        <f>+'[1]Budget 2025W'!P749</f>
        <v>0</v>
      </c>
      <c r="J920" s="154">
        <f>+'[1]Budget 2025W'!Q749</f>
        <v>0</v>
      </c>
      <c r="K920" s="154">
        <f>+'[1]Budget 2025W'!R749</f>
        <v>0</v>
      </c>
      <c r="L920" s="154">
        <f>+'[1]Budget 2025W'!S749</f>
        <v>0</v>
      </c>
      <c r="M920" s="154">
        <f>+'[1]Budget 2025W'!T749</f>
        <v>0</v>
      </c>
      <c r="N920" s="154">
        <f>+'[1]Budget 2025W'!U749</f>
        <v>0</v>
      </c>
      <c r="O920" s="154">
        <f>+'[1]Budget 2025W'!V749</f>
        <v>0</v>
      </c>
      <c r="P920" s="131"/>
      <c r="Q920" s="156">
        <f t="shared" si="85"/>
        <v>0</v>
      </c>
    </row>
    <row r="921" spans="3:17" x14ac:dyDescent="0.2">
      <c r="C921" s="153" t="s">
        <v>108</v>
      </c>
      <c r="D921" s="75">
        <f>+'[1]Budget 2025W'!K750</f>
        <v>0</v>
      </c>
      <c r="E921" s="75">
        <f>+'[1]Budget 2025W'!L750</f>
        <v>0</v>
      </c>
      <c r="F921" s="154">
        <f>+'[1]Budget 2025W'!M750</f>
        <v>0</v>
      </c>
      <c r="G921" s="154">
        <f>+'[1]Budget 2025W'!N750</f>
        <v>0</v>
      </c>
      <c r="H921" s="154">
        <f>+'[1]Budget 2025W'!O750</f>
        <v>0</v>
      </c>
      <c r="I921" s="154">
        <f>+'[1]Budget 2025W'!P750</f>
        <v>0</v>
      </c>
      <c r="J921" s="154">
        <f>+'[1]Budget 2025W'!Q750</f>
        <v>0</v>
      </c>
      <c r="K921" s="154">
        <f>+'[1]Budget 2025W'!R750</f>
        <v>0</v>
      </c>
      <c r="L921" s="154">
        <f>+'[1]Budget 2025W'!S750</f>
        <v>0</v>
      </c>
      <c r="M921" s="154">
        <f>+'[1]Budget 2025W'!T750</f>
        <v>0</v>
      </c>
      <c r="N921" s="154">
        <f>+'[1]Budget 2025W'!U750</f>
        <v>0</v>
      </c>
      <c r="O921" s="154">
        <f>+'[1]Budget 2025W'!V750</f>
        <v>0</v>
      </c>
      <c r="P921" s="131"/>
      <c r="Q921" s="156">
        <f t="shared" si="85"/>
        <v>0</v>
      </c>
    </row>
    <row r="922" spans="3:17" x14ac:dyDescent="0.2">
      <c r="C922" s="153" t="s">
        <v>109</v>
      </c>
      <c r="D922" s="75">
        <f>+'[1]Budget 2025W'!K751</f>
        <v>0</v>
      </c>
      <c r="E922" s="75">
        <f>+'[1]Budget 2025W'!L751</f>
        <v>0</v>
      </c>
      <c r="F922" s="154">
        <f>+'[1]Budget 2025W'!M751</f>
        <v>0</v>
      </c>
      <c r="G922" s="154">
        <f>+'[1]Budget 2025W'!N751</f>
        <v>0</v>
      </c>
      <c r="H922" s="154">
        <f>+'[1]Budget 2025W'!O751</f>
        <v>0</v>
      </c>
      <c r="I922" s="154">
        <f>+'[1]Budget 2025W'!P751</f>
        <v>0</v>
      </c>
      <c r="J922" s="154">
        <f>+'[1]Budget 2025W'!Q751</f>
        <v>0</v>
      </c>
      <c r="K922" s="154">
        <f>+'[1]Budget 2025W'!R751</f>
        <v>0</v>
      </c>
      <c r="L922" s="154">
        <f>+'[1]Budget 2025W'!S751</f>
        <v>0</v>
      </c>
      <c r="M922" s="154">
        <f>+'[1]Budget 2025W'!T751</f>
        <v>0</v>
      </c>
      <c r="N922" s="154">
        <f>+'[1]Budget 2025W'!U751</f>
        <v>0</v>
      </c>
      <c r="O922" s="154">
        <f>+'[1]Budget 2025W'!V751</f>
        <v>0</v>
      </c>
      <c r="P922" s="131"/>
      <c r="Q922" s="156">
        <f t="shared" si="85"/>
        <v>0</v>
      </c>
    </row>
    <row r="923" spans="3:17" x14ac:dyDescent="0.2">
      <c r="C923" s="153" t="s">
        <v>110</v>
      </c>
      <c r="D923" s="75">
        <f>+'[1]Budget 2025W'!K752</f>
        <v>0</v>
      </c>
      <c r="E923" s="75">
        <f>+'[1]Budget 2025W'!L752</f>
        <v>0</v>
      </c>
      <c r="F923" s="154">
        <f>+'[1]Budget 2025W'!M752</f>
        <v>0</v>
      </c>
      <c r="G923" s="154">
        <f>+'[1]Budget 2025W'!N752</f>
        <v>0</v>
      </c>
      <c r="H923" s="154">
        <f>+'[1]Budget 2025W'!O752</f>
        <v>0</v>
      </c>
      <c r="I923" s="154">
        <f>+'[1]Budget 2025W'!P752</f>
        <v>0</v>
      </c>
      <c r="J923" s="154">
        <f>+'[1]Budget 2025W'!Q752</f>
        <v>0</v>
      </c>
      <c r="K923" s="154">
        <f>+'[1]Budget 2025W'!R752</f>
        <v>0</v>
      </c>
      <c r="L923" s="154">
        <f>+'[1]Budget 2025W'!S752</f>
        <v>0</v>
      </c>
      <c r="M923" s="154">
        <f>+'[1]Budget 2025W'!T752</f>
        <v>0</v>
      </c>
      <c r="N923" s="154">
        <f>+'[1]Budget 2025W'!U752</f>
        <v>0</v>
      </c>
      <c r="O923" s="154">
        <f>+'[1]Budget 2025W'!V752</f>
        <v>0</v>
      </c>
      <c r="P923" s="131"/>
      <c r="Q923" s="156">
        <f t="shared" si="85"/>
        <v>0</v>
      </c>
    </row>
    <row r="924" spans="3:17" x14ac:dyDescent="0.2">
      <c r="C924" s="153" t="s">
        <v>111</v>
      </c>
      <c r="D924" s="75">
        <f>+'[1]Budget 2025W'!K753</f>
        <v>0</v>
      </c>
      <c r="E924" s="75">
        <f>+'[1]Budget 2025W'!L753</f>
        <v>0</v>
      </c>
      <c r="F924" s="154">
        <f>+'[1]Budget 2025W'!M753</f>
        <v>0</v>
      </c>
      <c r="G924" s="154">
        <f>+'[1]Budget 2025W'!N753</f>
        <v>0</v>
      </c>
      <c r="H924" s="154">
        <f>+'[1]Budget 2025W'!O753</f>
        <v>0</v>
      </c>
      <c r="I924" s="154">
        <f>+'[1]Budget 2025W'!P753</f>
        <v>0</v>
      </c>
      <c r="J924" s="154">
        <f>+'[1]Budget 2025W'!Q753</f>
        <v>0</v>
      </c>
      <c r="K924" s="154">
        <f>+'[1]Budget 2025W'!R753</f>
        <v>0</v>
      </c>
      <c r="L924" s="154">
        <f>+'[1]Budget 2025W'!S753</f>
        <v>0</v>
      </c>
      <c r="M924" s="154">
        <f>+'[1]Budget 2025W'!T753</f>
        <v>0</v>
      </c>
      <c r="N924" s="154">
        <f>+'[1]Budget 2025W'!U753</f>
        <v>0</v>
      </c>
      <c r="O924" s="154">
        <f>+'[1]Budget 2025W'!V753</f>
        <v>0</v>
      </c>
      <c r="P924" s="131"/>
      <c r="Q924" s="156">
        <f t="shared" si="85"/>
        <v>0</v>
      </c>
    </row>
    <row r="925" spans="3:17" x14ac:dyDescent="0.2">
      <c r="C925" s="153" t="s">
        <v>112</v>
      </c>
      <c r="D925" s="75">
        <f>+'[1]Budget 2025W'!K754</f>
        <v>0</v>
      </c>
      <c r="E925" s="75">
        <f>+'[1]Budget 2025W'!L754</f>
        <v>0</v>
      </c>
      <c r="F925" s="154">
        <f>+'[1]Budget 2025W'!M754</f>
        <v>0</v>
      </c>
      <c r="G925" s="154">
        <f>+'[1]Budget 2025W'!N754</f>
        <v>0</v>
      </c>
      <c r="H925" s="154">
        <f>+'[1]Budget 2025W'!O754</f>
        <v>0</v>
      </c>
      <c r="I925" s="154">
        <f>+'[1]Budget 2025W'!P754</f>
        <v>0</v>
      </c>
      <c r="J925" s="154">
        <f>+'[1]Budget 2025W'!Q754</f>
        <v>0</v>
      </c>
      <c r="K925" s="154">
        <f>+'[1]Budget 2025W'!R754</f>
        <v>0</v>
      </c>
      <c r="L925" s="154">
        <f>+'[1]Budget 2025W'!S754</f>
        <v>0</v>
      </c>
      <c r="M925" s="154">
        <f>+'[1]Budget 2025W'!T754</f>
        <v>0</v>
      </c>
      <c r="N925" s="154">
        <f>+'[1]Budget 2025W'!U754</f>
        <v>0</v>
      </c>
      <c r="O925" s="154">
        <f>+'[1]Budget 2025W'!V754</f>
        <v>0</v>
      </c>
      <c r="P925" s="131"/>
      <c r="Q925" s="156">
        <f t="shared" si="85"/>
        <v>0</v>
      </c>
    </row>
    <row r="926" spans="3:17" ht="15.75" thickBot="1" x14ac:dyDescent="0.25">
      <c r="C926" s="153" t="s">
        <v>113</v>
      </c>
      <c r="D926" s="75">
        <f>+'[1]Budget 2025W'!K755</f>
        <v>0</v>
      </c>
      <c r="E926" s="75">
        <f>+'[1]Budget 2025W'!L755</f>
        <v>0</v>
      </c>
      <c r="F926" s="154">
        <f>+'[1]Budget 2025W'!M755</f>
        <v>0</v>
      </c>
      <c r="G926" s="154">
        <f>+'[1]Budget 2025W'!N755</f>
        <v>0</v>
      </c>
      <c r="H926" s="154">
        <f>+'[1]Budget 2025W'!O755</f>
        <v>0</v>
      </c>
      <c r="I926" s="154">
        <f>+'[1]Budget 2025W'!P755</f>
        <v>0</v>
      </c>
      <c r="J926" s="154">
        <f>+'[1]Budget 2025W'!Q755</f>
        <v>0</v>
      </c>
      <c r="K926" s="154">
        <f>+'[1]Budget 2025W'!R755</f>
        <v>0</v>
      </c>
      <c r="L926" s="154">
        <f>+'[1]Budget 2025W'!S755</f>
        <v>0</v>
      </c>
      <c r="M926" s="154">
        <f>+'[1]Budget 2025W'!T755</f>
        <v>0</v>
      </c>
      <c r="N926" s="154">
        <f>+'[1]Budget 2025W'!U755</f>
        <v>0</v>
      </c>
      <c r="O926" s="154">
        <f>+'[1]Budget 2025W'!V755</f>
        <v>0</v>
      </c>
      <c r="P926" s="131"/>
      <c r="Q926" s="156">
        <f t="shared" si="85"/>
        <v>0</v>
      </c>
    </row>
    <row r="927" spans="3:17" ht="17.25" thickTop="1" thickBot="1" x14ac:dyDescent="0.3">
      <c r="C927" s="162" t="s">
        <v>114</v>
      </c>
      <c r="D927" s="163">
        <f>+'[1]Budget 2025W'!K759</f>
        <v>0</v>
      </c>
      <c r="E927" s="163">
        <f>+'[1]Budget 2025W'!L759</f>
        <v>0</v>
      </c>
      <c r="F927" s="163">
        <f>+'[1]Budget 2025W'!M759</f>
        <v>0</v>
      </c>
      <c r="G927" s="163">
        <f>+'[1]Budget 2025W'!N759</f>
        <v>0</v>
      </c>
      <c r="H927" s="163">
        <f>+'[1]Budget 2025W'!O759</f>
        <v>0</v>
      </c>
      <c r="I927" s="163">
        <f>+'[1]Budget 2025W'!P759</f>
        <v>0</v>
      </c>
      <c r="J927" s="163">
        <f>+'[1]Budget 2025W'!Q759</f>
        <v>0</v>
      </c>
      <c r="K927" s="163">
        <f>+'[1]Budget 2025W'!R759</f>
        <v>0</v>
      </c>
      <c r="L927" s="163">
        <f>+'[1]Budget 2025W'!S759</f>
        <v>0</v>
      </c>
      <c r="M927" s="163">
        <f>+'[1]Budget 2025W'!T759</f>
        <v>0</v>
      </c>
      <c r="N927" s="163">
        <f>+'[1]Budget 2025W'!U759</f>
        <v>0</v>
      </c>
      <c r="O927" s="163">
        <f>+'[1]Budget 2025W'!V759</f>
        <v>0</v>
      </c>
      <c r="P927" s="131"/>
      <c r="Q927" s="207">
        <f t="shared" si="85"/>
        <v>0</v>
      </c>
    </row>
    <row r="928" spans="3:17" ht="16.5" thickTop="1" thickBot="1" x14ac:dyDescent="0.25">
      <c r="C928" s="201"/>
      <c r="D928" s="168"/>
      <c r="E928" s="168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31"/>
      <c r="Q928" s="219"/>
    </row>
    <row r="929" spans="2:17" ht="15.75" x14ac:dyDescent="0.25">
      <c r="C929" s="195" t="s">
        <v>44</v>
      </c>
      <c r="D929" s="196"/>
      <c r="E929" s="196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31"/>
      <c r="Q929" s="138"/>
    </row>
    <row r="930" spans="2:17" x14ac:dyDescent="0.2">
      <c r="C930" s="153" t="s">
        <v>196</v>
      </c>
      <c r="D930" s="75">
        <f>+'[1]Budget 2025W'!K769</f>
        <v>0</v>
      </c>
      <c r="E930" s="75">
        <f>+'[1]Budget 2025W'!L769</f>
        <v>0</v>
      </c>
      <c r="F930" s="154">
        <f>+'[1]Budget 2025W'!M769</f>
        <v>0</v>
      </c>
      <c r="G930" s="154">
        <f>+'[1]Budget 2025W'!N769</f>
        <v>0</v>
      </c>
      <c r="H930" s="154">
        <f>+'[1]Budget 2025W'!O769</f>
        <v>0</v>
      </c>
      <c r="I930" s="154">
        <f>+'[1]Budget 2025W'!P769</f>
        <v>0</v>
      </c>
      <c r="J930" s="154">
        <f>+'[1]Budget 2025W'!Q769</f>
        <v>0</v>
      </c>
      <c r="K930" s="154">
        <f>+'[1]Budget 2025W'!R769</f>
        <v>0</v>
      </c>
      <c r="L930" s="154">
        <f>+'[1]Budget 2025W'!S769</f>
        <v>0</v>
      </c>
      <c r="M930" s="154">
        <f>+'[1]Budget 2025W'!T769</f>
        <v>0</v>
      </c>
      <c r="N930" s="154">
        <f>+'[1]Budget 2025W'!U769</f>
        <v>0</v>
      </c>
      <c r="O930" s="154">
        <f>+'[1]Budget 2025W'!V769</f>
        <v>0</v>
      </c>
      <c r="P930" s="131"/>
      <c r="Q930" s="156">
        <f t="shared" ref="Q930:Q937" si="86">SUM(D930:O930)</f>
        <v>0</v>
      </c>
    </row>
    <row r="931" spans="2:17" x14ac:dyDescent="0.2">
      <c r="C931" s="153" t="s">
        <v>134</v>
      </c>
      <c r="D931" s="75">
        <f>+'[1]Budget 2025W'!K770</f>
        <v>0</v>
      </c>
      <c r="E931" s="75">
        <f>+'[1]Budget 2025W'!L770</f>
        <v>0</v>
      </c>
      <c r="F931" s="154">
        <f>+'[1]Budget 2025W'!M770</f>
        <v>0</v>
      </c>
      <c r="G931" s="154">
        <f>+'[1]Budget 2025W'!N770</f>
        <v>0</v>
      </c>
      <c r="H931" s="154">
        <f>+'[1]Budget 2025W'!O770</f>
        <v>0</v>
      </c>
      <c r="I931" s="154">
        <f>+'[1]Budget 2025W'!P770</f>
        <v>0</v>
      </c>
      <c r="J931" s="154">
        <f>+'[1]Budget 2025W'!Q770</f>
        <v>0</v>
      </c>
      <c r="K931" s="154">
        <f>+'[1]Budget 2025W'!R770</f>
        <v>0</v>
      </c>
      <c r="L931" s="154">
        <f>+'[1]Budget 2025W'!S770</f>
        <v>0</v>
      </c>
      <c r="M931" s="154">
        <f>+'[1]Budget 2025W'!T770</f>
        <v>0</v>
      </c>
      <c r="N931" s="154">
        <f>+'[1]Budget 2025W'!U770</f>
        <v>0</v>
      </c>
      <c r="O931" s="154">
        <f>+'[1]Budget 2025W'!V770</f>
        <v>0</v>
      </c>
      <c r="P931" s="131"/>
      <c r="Q931" s="156">
        <f t="shared" si="86"/>
        <v>0</v>
      </c>
    </row>
    <row r="932" spans="2:17" x14ac:dyDescent="0.2">
      <c r="C932" s="153" t="s">
        <v>136</v>
      </c>
      <c r="D932" s="75">
        <f>+'[1]Budget 2025W'!K771</f>
        <v>0</v>
      </c>
      <c r="E932" s="75">
        <f>+'[1]Budget 2025W'!L771</f>
        <v>0</v>
      </c>
      <c r="F932" s="154">
        <f>+'[1]Budget 2025W'!M771</f>
        <v>0</v>
      </c>
      <c r="G932" s="154">
        <f>+'[1]Budget 2025W'!N771</f>
        <v>0</v>
      </c>
      <c r="H932" s="154">
        <f>+'[1]Budget 2025W'!O771</f>
        <v>0</v>
      </c>
      <c r="I932" s="154">
        <f>+'[1]Budget 2025W'!P771</f>
        <v>0</v>
      </c>
      <c r="J932" s="154">
        <f>+'[1]Budget 2025W'!Q771</f>
        <v>0</v>
      </c>
      <c r="K932" s="154">
        <f>+'[1]Budget 2025W'!R771</f>
        <v>0</v>
      </c>
      <c r="L932" s="154">
        <f>+'[1]Budget 2025W'!S771</f>
        <v>0</v>
      </c>
      <c r="M932" s="154">
        <f>+'[1]Budget 2025W'!T771</f>
        <v>0</v>
      </c>
      <c r="N932" s="154">
        <f>+'[1]Budget 2025W'!U771</f>
        <v>0</v>
      </c>
      <c r="O932" s="154">
        <f>+'[1]Budget 2025W'!V771</f>
        <v>0</v>
      </c>
      <c r="P932" s="131"/>
      <c r="Q932" s="156">
        <f t="shared" si="86"/>
        <v>0</v>
      </c>
    </row>
    <row r="933" spans="2:17" x14ac:dyDescent="0.2">
      <c r="C933" s="153" t="s">
        <v>139</v>
      </c>
      <c r="D933" s="75">
        <f>+'[1]Budget 2025W'!K772</f>
        <v>0</v>
      </c>
      <c r="E933" s="75">
        <f>+'[1]Budget 2025W'!L772</f>
        <v>0</v>
      </c>
      <c r="F933" s="154">
        <f>+'[1]Budget 2025W'!M772</f>
        <v>0</v>
      </c>
      <c r="G933" s="154">
        <f>+'[1]Budget 2025W'!N772</f>
        <v>0</v>
      </c>
      <c r="H933" s="154">
        <f>+'[1]Budget 2025W'!O772</f>
        <v>0</v>
      </c>
      <c r="I933" s="154">
        <f>+'[1]Budget 2025W'!P772</f>
        <v>0</v>
      </c>
      <c r="J933" s="154">
        <f>+'[1]Budget 2025W'!Q772</f>
        <v>0</v>
      </c>
      <c r="K933" s="154">
        <f>+'[1]Budget 2025W'!R772</f>
        <v>0</v>
      </c>
      <c r="L933" s="154">
        <f>+'[1]Budget 2025W'!S772</f>
        <v>0</v>
      </c>
      <c r="M933" s="154">
        <f>+'[1]Budget 2025W'!T772</f>
        <v>0</v>
      </c>
      <c r="N933" s="154">
        <f>+'[1]Budget 2025W'!U772</f>
        <v>0</v>
      </c>
      <c r="O933" s="154">
        <f>+'[1]Budget 2025W'!V772</f>
        <v>0</v>
      </c>
      <c r="P933" s="131"/>
      <c r="Q933" s="156">
        <f t="shared" si="86"/>
        <v>0</v>
      </c>
    </row>
    <row r="934" spans="2:17" x14ac:dyDescent="0.2">
      <c r="C934" s="153" t="s">
        <v>140</v>
      </c>
      <c r="D934" s="75">
        <f>+'[1]Budget 2025W'!K773</f>
        <v>0</v>
      </c>
      <c r="E934" s="75">
        <f>+'[1]Budget 2025W'!L773</f>
        <v>0</v>
      </c>
      <c r="F934" s="154">
        <f>+'[1]Budget 2025W'!M773</f>
        <v>0</v>
      </c>
      <c r="G934" s="154">
        <f>+'[1]Budget 2025W'!N773</f>
        <v>0</v>
      </c>
      <c r="H934" s="154">
        <f>+'[1]Budget 2025W'!O773</f>
        <v>0</v>
      </c>
      <c r="I934" s="154">
        <f>+'[1]Budget 2025W'!P773</f>
        <v>0</v>
      </c>
      <c r="J934" s="154">
        <f>+'[1]Budget 2025W'!Q773</f>
        <v>0</v>
      </c>
      <c r="K934" s="154">
        <f>+'[1]Budget 2025W'!R773</f>
        <v>0</v>
      </c>
      <c r="L934" s="154">
        <f>+'[1]Budget 2025W'!S773</f>
        <v>0</v>
      </c>
      <c r="M934" s="154">
        <f>+'[1]Budget 2025W'!T773</f>
        <v>0</v>
      </c>
      <c r="N934" s="154">
        <f>+'[1]Budget 2025W'!U773</f>
        <v>0</v>
      </c>
      <c r="O934" s="154">
        <f>+'[1]Budget 2025W'!V773</f>
        <v>0</v>
      </c>
      <c r="P934" s="131"/>
      <c r="Q934" s="156">
        <f t="shared" si="86"/>
        <v>0</v>
      </c>
    </row>
    <row r="935" spans="2:17" x14ac:dyDescent="0.2">
      <c r="C935" s="153" t="s">
        <v>141</v>
      </c>
      <c r="D935" s="75">
        <f>+'[1]Budget 2025W'!K774</f>
        <v>0</v>
      </c>
      <c r="E935" s="75">
        <f>+'[1]Budget 2025W'!L774</f>
        <v>0</v>
      </c>
      <c r="F935" s="154">
        <f>+'[1]Budget 2025W'!M774</f>
        <v>0</v>
      </c>
      <c r="G935" s="154">
        <f>+'[1]Budget 2025W'!N774</f>
        <v>0</v>
      </c>
      <c r="H935" s="154">
        <f>+'[1]Budget 2025W'!O774</f>
        <v>0</v>
      </c>
      <c r="I935" s="154">
        <f>+'[1]Budget 2025W'!P774</f>
        <v>0</v>
      </c>
      <c r="J935" s="154">
        <f>+'[1]Budget 2025W'!Q774</f>
        <v>0</v>
      </c>
      <c r="K935" s="154">
        <f>+'[1]Budget 2025W'!R774</f>
        <v>0</v>
      </c>
      <c r="L935" s="154">
        <f>+'[1]Budget 2025W'!S774</f>
        <v>0</v>
      </c>
      <c r="M935" s="154">
        <f>+'[1]Budget 2025W'!T774</f>
        <v>0</v>
      </c>
      <c r="N935" s="154">
        <f>+'[1]Budget 2025W'!U774</f>
        <v>0</v>
      </c>
      <c r="O935" s="154">
        <f>+'[1]Budget 2025W'!V774</f>
        <v>0</v>
      </c>
      <c r="P935" s="131"/>
      <c r="Q935" s="156">
        <f t="shared" si="86"/>
        <v>0</v>
      </c>
    </row>
    <row r="936" spans="2:17" ht="12" customHeight="1" x14ac:dyDescent="0.2">
      <c r="C936" s="153" t="s">
        <v>142</v>
      </c>
      <c r="D936" s="75">
        <f>+'[1]Budget 2025W'!K775</f>
        <v>0</v>
      </c>
      <c r="E936" s="75">
        <f>+'[1]Budget 2025W'!L775</f>
        <v>0</v>
      </c>
      <c r="F936" s="154">
        <f>+'[1]Budget 2025W'!M775</f>
        <v>0</v>
      </c>
      <c r="G936" s="154">
        <f>+'[1]Budget 2025W'!N775</f>
        <v>0</v>
      </c>
      <c r="H936" s="154">
        <f>+'[1]Budget 2025W'!O775</f>
        <v>0</v>
      </c>
      <c r="I936" s="154">
        <f>+'[1]Budget 2025W'!P775</f>
        <v>0</v>
      </c>
      <c r="J936" s="154">
        <f>+'[1]Budget 2025W'!Q775</f>
        <v>0</v>
      </c>
      <c r="K936" s="154">
        <f>+'[1]Budget 2025W'!R775</f>
        <v>0</v>
      </c>
      <c r="L936" s="154">
        <f>+'[1]Budget 2025W'!S775</f>
        <v>0</v>
      </c>
      <c r="M936" s="154">
        <f>+'[1]Budget 2025W'!T775</f>
        <v>0</v>
      </c>
      <c r="N936" s="154">
        <f>+'[1]Budget 2025W'!U775</f>
        <v>0</v>
      </c>
      <c r="O936" s="154">
        <f>+'[1]Budget 2025W'!V775</f>
        <v>0</v>
      </c>
      <c r="P936" s="131"/>
      <c r="Q936" s="156">
        <f t="shared" si="86"/>
        <v>0</v>
      </c>
    </row>
    <row r="937" spans="2:17" ht="15.75" thickBot="1" x14ac:dyDescent="0.25">
      <c r="C937" s="153" t="s">
        <v>143</v>
      </c>
      <c r="D937" s="75">
        <f>+'[1]Budget 2025W'!K776</f>
        <v>0</v>
      </c>
      <c r="E937" s="75">
        <f>+'[1]Budget 2025W'!L776</f>
        <v>0</v>
      </c>
      <c r="F937" s="154">
        <f>+'[1]Budget 2025W'!M776</f>
        <v>0</v>
      </c>
      <c r="G937" s="154">
        <f>+'[1]Budget 2025W'!N776</f>
        <v>0</v>
      </c>
      <c r="H937" s="154">
        <f>+'[1]Budget 2025W'!O776</f>
        <v>0</v>
      </c>
      <c r="I937" s="154">
        <f>+'[1]Budget 2025W'!P776</f>
        <v>0</v>
      </c>
      <c r="J937" s="154">
        <f>+'[1]Budget 2025W'!Q776</f>
        <v>0</v>
      </c>
      <c r="K937" s="154">
        <f>+'[1]Budget 2025W'!R776</f>
        <v>0</v>
      </c>
      <c r="L937" s="154">
        <f>+'[1]Budget 2025W'!S776</f>
        <v>0</v>
      </c>
      <c r="M937" s="154">
        <f>+'[1]Budget 2025W'!T776</f>
        <v>0</v>
      </c>
      <c r="N937" s="154">
        <f>+'[1]Budget 2025W'!U776</f>
        <v>0</v>
      </c>
      <c r="O937" s="154">
        <f>+'[1]Budget 2025W'!V776</f>
        <v>0</v>
      </c>
      <c r="P937" s="131"/>
      <c r="Q937" s="156">
        <f t="shared" si="86"/>
        <v>0</v>
      </c>
    </row>
    <row r="938" spans="2:17" ht="16.5" customHeight="1" thickTop="1" thickBot="1" x14ac:dyDescent="0.3">
      <c r="C938" s="162" t="s">
        <v>144</v>
      </c>
      <c r="D938" s="163">
        <f t="shared" ref="D938:I938" si="87">SUM(D930:D937)</f>
        <v>0</v>
      </c>
      <c r="E938" s="163">
        <f t="shared" si="87"/>
        <v>0</v>
      </c>
      <c r="F938" s="163">
        <f t="shared" si="87"/>
        <v>0</v>
      </c>
      <c r="G938" s="163">
        <f t="shared" si="87"/>
        <v>0</v>
      </c>
      <c r="H938" s="163">
        <f t="shared" si="87"/>
        <v>0</v>
      </c>
      <c r="I938" s="163">
        <f t="shared" si="87"/>
        <v>0</v>
      </c>
      <c r="J938" s="163">
        <f>SUM(J930:J937)</f>
        <v>0</v>
      </c>
      <c r="K938" s="163">
        <f t="shared" ref="K938:Q938" si="88">SUM(K930:K937)</f>
        <v>0</v>
      </c>
      <c r="L938" s="163">
        <f t="shared" si="88"/>
        <v>0</v>
      </c>
      <c r="M938" s="163">
        <f t="shared" si="88"/>
        <v>0</v>
      </c>
      <c r="N938" s="163">
        <f t="shared" si="88"/>
        <v>0</v>
      </c>
      <c r="O938" s="163">
        <f t="shared" si="88"/>
        <v>0</v>
      </c>
      <c r="P938" s="131"/>
      <c r="Q938" s="207">
        <f t="shared" si="88"/>
        <v>0</v>
      </c>
    </row>
    <row r="939" spans="2:17" ht="16.5" thickTop="1" thickBot="1" x14ac:dyDescent="0.25">
      <c r="C939" s="153"/>
      <c r="D939" s="75"/>
      <c r="E939" s="75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31"/>
      <c r="Q939" s="156"/>
    </row>
    <row r="940" spans="2:17" ht="16.5" customHeight="1" thickTop="1" thickBot="1" x14ac:dyDescent="0.3">
      <c r="C940" s="162" t="s">
        <v>144</v>
      </c>
      <c r="D940" s="163">
        <f>+D938+D927</f>
        <v>0</v>
      </c>
      <c r="E940" s="163">
        <f t="shared" ref="E940:Q940" si="89">+E938+E927</f>
        <v>0</v>
      </c>
      <c r="F940" s="163">
        <f t="shared" si="89"/>
        <v>0</v>
      </c>
      <c r="G940" s="163">
        <f t="shared" si="89"/>
        <v>0</v>
      </c>
      <c r="H940" s="163">
        <f t="shared" si="89"/>
        <v>0</v>
      </c>
      <c r="I940" s="163">
        <f t="shared" si="89"/>
        <v>0</v>
      </c>
      <c r="J940" s="163">
        <f t="shared" si="89"/>
        <v>0</v>
      </c>
      <c r="K940" s="163">
        <f t="shared" si="89"/>
        <v>0</v>
      </c>
      <c r="L940" s="163">
        <f t="shared" si="89"/>
        <v>0</v>
      </c>
      <c r="M940" s="163">
        <f t="shared" si="89"/>
        <v>0</v>
      </c>
      <c r="N940" s="163">
        <f t="shared" si="89"/>
        <v>0</v>
      </c>
      <c r="O940" s="163">
        <f t="shared" si="89"/>
        <v>0</v>
      </c>
      <c r="P940" s="131"/>
      <c r="Q940" s="207">
        <f t="shared" si="89"/>
        <v>0</v>
      </c>
    </row>
    <row r="941" spans="2:17" ht="16.5" thickTop="1" thickBot="1" x14ac:dyDescent="0.25">
      <c r="C941" s="201"/>
      <c r="D941" s="168"/>
      <c r="E941" s="168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31"/>
      <c r="Q941" s="219"/>
    </row>
    <row r="942" spans="2:17" ht="16.5" thickBot="1" x14ac:dyDescent="0.3">
      <c r="B942" s="141"/>
      <c r="C942" s="203" t="s">
        <v>364</v>
      </c>
      <c r="D942" s="204">
        <f t="shared" ref="D942:O942" si="90">D905-D909-D927-D940</f>
        <v>0</v>
      </c>
      <c r="E942" s="204">
        <f t="shared" si="90"/>
        <v>0</v>
      </c>
      <c r="F942" s="205">
        <f t="shared" si="90"/>
        <v>0</v>
      </c>
      <c r="G942" s="205">
        <f t="shared" si="90"/>
        <v>0</v>
      </c>
      <c r="H942" s="205">
        <f t="shared" si="90"/>
        <v>0</v>
      </c>
      <c r="I942" s="205">
        <f t="shared" si="90"/>
        <v>0</v>
      </c>
      <c r="J942" s="205">
        <f t="shared" si="90"/>
        <v>0</v>
      </c>
      <c r="K942" s="205">
        <f t="shared" si="90"/>
        <v>0</v>
      </c>
      <c r="L942" s="205">
        <f t="shared" si="90"/>
        <v>0</v>
      </c>
      <c r="M942" s="205">
        <f t="shared" si="90"/>
        <v>0</v>
      </c>
      <c r="N942" s="205">
        <f t="shared" si="90"/>
        <v>0</v>
      </c>
      <c r="O942" s="205">
        <f t="shared" si="90"/>
        <v>0</v>
      </c>
      <c r="P942" s="131"/>
      <c r="Q942" s="183">
        <f>SUM(D942:O942)</f>
        <v>0</v>
      </c>
    </row>
    <row r="943" spans="2:17" ht="16.5" thickTop="1" thickBot="1" x14ac:dyDescent="0.25">
      <c r="C943" s="206"/>
      <c r="D943" s="186"/>
      <c r="E943" s="186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31"/>
      <c r="Q943" s="219"/>
    </row>
    <row r="944" spans="2:17" x14ac:dyDescent="0.2">
      <c r="F944" s="221"/>
      <c r="G944" s="221"/>
      <c r="H944" s="222"/>
      <c r="I944" s="222"/>
      <c r="J944" s="222"/>
      <c r="K944" s="222"/>
      <c r="L944" s="222"/>
      <c r="M944" s="222"/>
      <c r="N944" s="222"/>
      <c r="O944" s="222"/>
      <c r="P944" s="223"/>
      <c r="Q944" s="221"/>
    </row>
    <row r="945" spans="3:17" x14ac:dyDescent="0.2">
      <c r="F945" s="221"/>
      <c r="G945" s="221"/>
      <c r="H945" s="222"/>
      <c r="I945" s="222"/>
      <c r="J945" s="222"/>
      <c r="K945" s="222"/>
      <c r="L945" s="222"/>
      <c r="M945" s="222"/>
      <c r="N945" s="222"/>
      <c r="O945" s="222"/>
      <c r="P945" s="223"/>
      <c r="Q945" s="221"/>
    </row>
    <row r="946" spans="3:17" ht="15.75" x14ac:dyDescent="0.25">
      <c r="C946" s="195" t="s">
        <v>365</v>
      </c>
      <c r="D946" s="196"/>
      <c r="E946" s="196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31"/>
      <c r="Q946" s="138"/>
    </row>
    <row r="947" spans="3:17" x14ac:dyDescent="0.2">
      <c r="F947" s="221"/>
      <c r="G947" s="221"/>
      <c r="H947" s="222"/>
      <c r="I947" s="222"/>
      <c r="J947" s="222"/>
      <c r="K947" s="222"/>
      <c r="L947" s="222"/>
      <c r="M947" s="222"/>
      <c r="N947" s="222"/>
      <c r="O947" s="222"/>
      <c r="P947" s="223"/>
      <c r="Q947" s="221"/>
    </row>
    <row r="948" spans="3:17" ht="15.75" x14ac:dyDescent="0.25">
      <c r="C948" s="224" t="s">
        <v>366</v>
      </c>
      <c r="D948" s="225"/>
      <c r="E948" s="225"/>
      <c r="F948" s="226"/>
      <c r="G948" s="226"/>
      <c r="H948" s="227"/>
      <c r="I948" s="227"/>
      <c r="J948" s="227"/>
      <c r="K948" s="227"/>
      <c r="L948" s="227"/>
      <c r="M948" s="227"/>
      <c r="N948" s="227"/>
      <c r="O948" s="227"/>
      <c r="P948" s="223"/>
      <c r="Q948" s="226"/>
    </row>
    <row r="949" spans="3:17" x14ac:dyDescent="0.2">
      <c r="C949" s="153" t="s">
        <v>62</v>
      </c>
      <c r="D949" s="228">
        <f>+'[1]Budget 2025W'!K1356</f>
        <v>0</v>
      </c>
      <c r="E949" s="228">
        <f>+'[1]Budget 2025W'!L1356</f>
        <v>0</v>
      </c>
      <c r="F949" s="229">
        <f>+'[1]Budget 2025W'!M1356</f>
        <v>0</v>
      </c>
      <c r="G949" s="229">
        <f>+'[1]Budget 2025W'!N1356</f>
        <v>0</v>
      </c>
      <c r="H949" s="230">
        <f>+'[1]Budget 2025W'!O1356</f>
        <v>0</v>
      </c>
      <c r="I949" s="230">
        <f>+'[1]Budget 2025W'!P1356</f>
        <v>1600</v>
      </c>
      <c r="J949" s="230">
        <f>+'[1]Budget 2025W'!Q1356</f>
        <v>1600</v>
      </c>
      <c r="K949" s="230">
        <f>+'[1]Budget 2025W'!R1356</f>
        <v>1600</v>
      </c>
      <c r="L949" s="230">
        <f>+'[1]Budget 2025W'!S1356</f>
        <v>1600</v>
      </c>
      <c r="M949" s="230">
        <f>+'[1]Budget 2025W'!T1356</f>
        <v>1600</v>
      </c>
      <c r="N949" s="230">
        <f>+'[1]Budget 2025W'!U1356</f>
        <v>1600</v>
      </c>
      <c r="O949" s="230">
        <f>+'[1]Budget 2025W'!V1356</f>
        <v>1600</v>
      </c>
      <c r="P949" s="223"/>
      <c r="Q949" s="229">
        <f>SUM(D949:O949)</f>
        <v>11200</v>
      </c>
    </row>
    <row r="950" spans="3:17" ht="15.75" thickBot="1" x14ac:dyDescent="0.25">
      <c r="C950" s="153"/>
      <c r="D950" s="228"/>
      <c r="E950" s="228"/>
      <c r="F950" s="229"/>
      <c r="G950" s="229"/>
      <c r="H950" s="230"/>
      <c r="I950" s="230"/>
      <c r="J950" s="230"/>
      <c r="K950" s="230"/>
      <c r="L950" s="230"/>
      <c r="M950" s="230"/>
      <c r="N950" s="230"/>
      <c r="O950" s="230"/>
      <c r="P950" s="223"/>
      <c r="Q950" s="229"/>
    </row>
    <row r="951" spans="3:17" ht="17.25" thickTop="1" thickBot="1" x14ac:dyDescent="0.3">
      <c r="C951" s="162" t="s">
        <v>367</v>
      </c>
      <c r="D951" s="163">
        <f>+'[1]Budget 2025W'!K1359</f>
        <v>0</v>
      </c>
      <c r="E951" s="163">
        <f>+'[1]Budget 2025W'!L1359</f>
        <v>0</v>
      </c>
      <c r="F951" s="163">
        <f>+'[1]Budget 2025W'!M1359</f>
        <v>0</v>
      </c>
      <c r="G951" s="163">
        <f>+'[1]Budget 2025W'!N1359</f>
        <v>0</v>
      </c>
      <c r="H951" s="163">
        <f>+'[1]Budget 2025W'!O1359</f>
        <v>0</v>
      </c>
      <c r="I951" s="163">
        <f>+'[1]Budget 2025W'!P1359</f>
        <v>1600</v>
      </c>
      <c r="J951" s="163">
        <f>+'[1]Budget 2025W'!Q1359</f>
        <v>1600</v>
      </c>
      <c r="K951" s="163">
        <f>+'[1]Budget 2025W'!R1359</f>
        <v>1600</v>
      </c>
      <c r="L951" s="163">
        <f>+'[1]Budget 2025W'!S1359</f>
        <v>1600</v>
      </c>
      <c r="M951" s="163">
        <f>+'[1]Budget 2025W'!T1359</f>
        <v>1600</v>
      </c>
      <c r="N951" s="163">
        <f>+'[1]Budget 2025W'!U1359</f>
        <v>1600</v>
      </c>
      <c r="O951" s="163">
        <f>+'[1]Budget 2025W'!V1359</f>
        <v>1600</v>
      </c>
      <c r="P951" s="131"/>
      <c r="Q951" s="207">
        <f>SUM(D951:O951)</f>
        <v>11200</v>
      </c>
    </row>
    <row r="952" spans="3:17" ht="15.75" thickTop="1" x14ac:dyDescent="0.2">
      <c r="F952" s="221"/>
      <c r="G952" s="221"/>
      <c r="H952" s="222"/>
      <c r="I952" s="222"/>
      <c r="J952" s="222"/>
      <c r="K952" s="222"/>
      <c r="L952" s="222"/>
      <c r="M952" s="222"/>
      <c r="N952" s="222"/>
      <c r="O952" s="222"/>
      <c r="P952" s="223"/>
      <c r="Q952" s="221"/>
    </row>
    <row r="953" spans="3:17" ht="15.75" x14ac:dyDescent="0.25">
      <c r="C953" s="224" t="s">
        <v>368</v>
      </c>
      <c r="D953" s="225"/>
      <c r="E953" s="225"/>
      <c r="F953" s="226"/>
      <c r="G953" s="226"/>
      <c r="H953" s="227"/>
      <c r="I953" s="227"/>
      <c r="J953" s="227"/>
      <c r="K953" s="227"/>
      <c r="L953" s="227"/>
      <c r="M953" s="227"/>
      <c r="N953" s="227"/>
      <c r="O953" s="227"/>
      <c r="P953" s="223"/>
      <c r="Q953" s="226"/>
    </row>
    <row r="954" spans="3:17" x14ac:dyDescent="0.2">
      <c r="C954" s="153" t="s">
        <v>177</v>
      </c>
      <c r="D954" s="228">
        <f>+'[1]Budget 2025W'!K1364</f>
        <v>0</v>
      </c>
      <c r="E954" s="228">
        <f>+'[1]Budget 2025W'!L1364</f>
        <v>0</v>
      </c>
      <c r="F954" s="229">
        <f>+'[1]Budget 2025W'!M1364</f>
        <v>0</v>
      </c>
      <c r="G954" s="229">
        <f>+'[1]Budget 2025W'!N1364</f>
        <v>0</v>
      </c>
      <c r="H954" s="230">
        <f>+'[1]Budget 2025W'!O1364</f>
        <v>0</v>
      </c>
      <c r="I954" s="230">
        <f>+'[1]Budget 2025W'!P1364</f>
        <v>4000</v>
      </c>
      <c r="J954" s="230">
        <f>+'[1]Budget 2025W'!Q1364</f>
        <v>8000</v>
      </c>
      <c r="K954" s="230">
        <f>+'[1]Budget 2025W'!R1364</f>
        <v>8000</v>
      </c>
      <c r="L954" s="230">
        <f>+'[1]Budget 2025W'!S1364</f>
        <v>8000</v>
      </c>
      <c r="M954" s="230">
        <f>+'[1]Budget 2025W'!T1364</f>
        <v>8000</v>
      </c>
      <c r="N954" s="230">
        <f>+'[1]Budget 2025W'!U1364</f>
        <v>8000</v>
      </c>
      <c r="O954" s="230">
        <f>+'[1]Budget 2025W'!V1364</f>
        <v>8000</v>
      </c>
      <c r="P954" s="223"/>
      <c r="Q954" s="229">
        <f>SUM(D954:O954)</f>
        <v>52000</v>
      </c>
    </row>
    <row r="955" spans="3:17" ht="15.75" thickBot="1" x14ac:dyDescent="0.25">
      <c r="C955" s="153"/>
      <c r="D955" s="228"/>
      <c r="E955" s="228"/>
      <c r="F955" s="229"/>
      <c r="G955" s="229"/>
      <c r="H955" s="230"/>
      <c r="I955" s="230"/>
      <c r="J955" s="230"/>
      <c r="K955" s="230"/>
      <c r="L955" s="230"/>
      <c r="M955" s="230"/>
      <c r="N955" s="230"/>
      <c r="O955" s="230"/>
      <c r="P955" s="223"/>
      <c r="Q955" s="229"/>
    </row>
    <row r="956" spans="3:17" ht="17.25" thickTop="1" thickBot="1" x14ac:dyDescent="0.3">
      <c r="C956" s="162" t="s">
        <v>369</v>
      </c>
      <c r="D956" s="163">
        <f>+'[1]Budget 2025W'!K1368</f>
        <v>0</v>
      </c>
      <c r="E956" s="163">
        <f>+'[1]Budget 2025W'!L1368</f>
        <v>0</v>
      </c>
      <c r="F956" s="163">
        <f>+'[1]Budget 2025W'!M1368</f>
        <v>0</v>
      </c>
      <c r="G956" s="163">
        <f>+'[1]Budget 2025W'!N1368</f>
        <v>0</v>
      </c>
      <c r="H956" s="163">
        <f>+'[1]Budget 2025W'!O1368</f>
        <v>0</v>
      </c>
      <c r="I956" s="163">
        <f>+'[1]Budget 2025W'!P1368</f>
        <v>4000</v>
      </c>
      <c r="J956" s="163">
        <f>+'[1]Budget 2025W'!Q1368</f>
        <v>8000</v>
      </c>
      <c r="K956" s="163">
        <f>+'[1]Budget 2025W'!R1368</f>
        <v>8000</v>
      </c>
      <c r="L956" s="163">
        <f>+'[1]Budget 2025W'!S1368</f>
        <v>8000</v>
      </c>
      <c r="M956" s="163">
        <f>+'[1]Budget 2025W'!T1368</f>
        <v>8000</v>
      </c>
      <c r="N956" s="163">
        <f>+'[1]Budget 2025W'!U1368</f>
        <v>8000</v>
      </c>
      <c r="O956" s="163">
        <f>+'[1]Budget 2025W'!V1368</f>
        <v>8000</v>
      </c>
      <c r="P956" s="131"/>
      <c r="Q956" s="207">
        <f>SUM(D956:O956)</f>
        <v>52000</v>
      </c>
    </row>
    <row r="957" spans="3:17" ht="15.75" thickTop="1" x14ac:dyDescent="0.2">
      <c r="F957" s="221"/>
      <c r="G957" s="221"/>
      <c r="H957" s="222"/>
      <c r="I957" s="222"/>
      <c r="J957" s="222"/>
      <c r="K957" s="222"/>
      <c r="L957" s="222"/>
      <c r="M957" s="222"/>
      <c r="N957" s="222"/>
      <c r="O957" s="222"/>
      <c r="P957" s="223"/>
      <c r="Q957" s="221"/>
    </row>
    <row r="958" spans="3:17" ht="15.75" x14ac:dyDescent="0.25">
      <c r="C958" s="224" t="s">
        <v>66</v>
      </c>
      <c r="D958" s="225"/>
      <c r="E958" s="225"/>
      <c r="F958" s="226"/>
      <c r="G958" s="226"/>
      <c r="H958" s="227"/>
      <c r="I958" s="227"/>
      <c r="J958" s="227"/>
      <c r="K958" s="227"/>
      <c r="L958" s="227"/>
      <c r="M958" s="227"/>
      <c r="N958" s="227"/>
      <c r="O958" s="227"/>
      <c r="P958" s="223"/>
      <c r="Q958" s="226"/>
    </row>
    <row r="959" spans="3:17" x14ac:dyDescent="0.2">
      <c r="C959" s="153" t="s">
        <v>65</v>
      </c>
      <c r="D959" s="228">
        <f>+'[1]Budget 2025W'!K1371</f>
        <v>0</v>
      </c>
      <c r="E959" s="228">
        <f>+'[1]Budget 2025W'!L1371</f>
        <v>0</v>
      </c>
      <c r="F959" s="229">
        <f>+'[1]Budget 2025W'!M1371</f>
        <v>0</v>
      </c>
      <c r="G959" s="229">
        <f>+'[1]Budget 2025W'!N1371</f>
        <v>0</v>
      </c>
      <c r="H959" s="230">
        <f>+'[1]Budget 2025W'!O1371</f>
        <v>0</v>
      </c>
      <c r="I959" s="230">
        <f>+'[1]Budget 2025W'!P1371</f>
        <v>238.59382246376811</v>
      </c>
      <c r="J959" s="230">
        <f>+'[1]Budget 2025W'!Q1371</f>
        <v>238.59382246376811</v>
      </c>
      <c r="K959" s="230">
        <f>+'[1]Budget 2025W'!R1371</f>
        <v>238.59382246376811</v>
      </c>
      <c r="L959" s="230">
        <f>+'[1]Budget 2025W'!S1371</f>
        <v>238.59382246376811</v>
      </c>
      <c r="M959" s="230">
        <f>+'[1]Budget 2025W'!T1371</f>
        <v>238.59382246376811</v>
      </c>
      <c r="N959" s="230">
        <f>+'[1]Budget 2025W'!U1371</f>
        <v>238.59382246376811</v>
      </c>
      <c r="O959" s="230">
        <f>+'[1]Budget 2025W'!V1371</f>
        <v>238.59382246376811</v>
      </c>
      <c r="P959" s="223"/>
      <c r="Q959" s="229">
        <f t="shared" ref="Q959:Q965" si="91">SUM(D959:O959)</f>
        <v>1670.1567572463764</v>
      </c>
    </row>
    <row r="960" spans="3:17" x14ac:dyDescent="0.2">
      <c r="C960" s="153"/>
      <c r="D960" s="228"/>
      <c r="E960" s="228"/>
      <c r="F960" s="229"/>
      <c r="G960" s="229"/>
      <c r="H960" s="230"/>
      <c r="I960" s="230"/>
      <c r="J960" s="230"/>
      <c r="K960" s="230"/>
      <c r="L960" s="230"/>
      <c r="M960" s="230"/>
      <c r="N960" s="230"/>
      <c r="O960" s="230"/>
      <c r="P960" s="223"/>
      <c r="Q960" s="229"/>
    </row>
    <row r="961" spans="3:17" x14ac:dyDescent="0.2">
      <c r="C961" s="153"/>
      <c r="D961" s="228"/>
      <c r="E961" s="228"/>
      <c r="F961" s="229"/>
      <c r="G961" s="229"/>
      <c r="H961" s="230"/>
      <c r="I961" s="230"/>
      <c r="J961" s="230"/>
      <c r="K961" s="230"/>
      <c r="L961" s="230"/>
      <c r="M961" s="230"/>
      <c r="N961" s="230"/>
      <c r="O961" s="230"/>
      <c r="P961" s="223"/>
      <c r="Q961" s="229"/>
    </row>
    <row r="962" spans="3:17" x14ac:dyDescent="0.2">
      <c r="C962" s="153"/>
      <c r="D962" s="228"/>
      <c r="E962" s="228"/>
      <c r="F962" s="229"/>
      <c r="G962" s="229"/>
      <c r="H962" s="230"/>
      <c r="I962" s="230"/>
      <c r="J962" s="230"/>
      <c r="K962" s="230"/>
      <c r="L962" s="230"/>
      <c r="M962" s="230"/>
      <c r="N962" s="230"/>
      <c r="O962" s="230"/>
      <c r="P962" s="223"/>
      <c r="Q962" s="229"/>
    </row>
    <row r="963" spans="3:17" x14ac:dyDescent="0.2">
      <c r="C963" s="153"/>
      <c r="D963" s="228"/>
      <c r="E963" s="228"/>
      <c r="F963" s="229"/>
      <c r="G963" s="229"/>
      <c r="H963" s="230"/>
      <c r="I963" s="230"/>
      <c r="J963" s="230"/>
      <c r="K963" s="230"/>
      <c r="L963" s="230"/>
      <c r="M963" s="230"/>
      <c r="N963" s="230"/>
      <c r="O963" s="230"/>
      <c r="P963" s="223"/>
      <c r="Q963" s="229"/>
    </row>
    <row r="964" spans="3:17" ht="15.75" thickBot="1" x14ac:dyDescent="0.25">
      <c r="C964" s="153"/>
      <c r="D964" s="228"/>
      <c r="E964" s="228"/>
      <c r="F964" s="229"/>
      <c r="G964" s="229"/>
      <c r="H964" s="230"/>
      <c r="I964" s="230"/>
      <c r="J964" s="230"/>
      <c r="K964" s="230"/>
      <c r="L964" s="230"/>
      <c r="M964" s="230"/>
      <c r="N964" s="230"/>
      <c r="O964" s="230"/>
      <c r="P964" s="223"/>
      <c r="Q964" s="229"/>
    </row>
    <row r="965" spans="3:17" ht="17.25" thickTop="1" thickBot="1" x14ac:dyDescent="0.3">
      <c r="C965" s="162" t="s">
        <v>370</v>
      </c>
      <c r="D965" s="163">
        <f>+'[1]Budget 2025W'!K1378</f>
        <v>0</v>
      </c>
      <c r="E965" s="163">
        <f>+'[1]Budget 2025W'!L1378</f>
        <v>0</v>
      </c>
      <c r="F965" s="163">
        <f>+'[1]Budget 2025W'!M1378</f>
        <v>0</v>
      </c>
      <c r="G965" s="163">
        <f>+'[1]Budget 2025W'!N1378</f>
        <v>0</v>
      </c>
      <c r="H965" s="163">
        <f>+'[1]Budget 2025W'!O1378</f>
        <v>0</v>
      </c>
      <c r="I965" s="163">
        <f>+'[1]Budget 2025W'!P1378</f>
        <v>238.59382246376811</v>
      </c>
      <c r="J965" s="163">
        <f>+'[1]Budget 2025W'!Q1378</f>
        <v>238.59382246376811</v>
      </c>
      <c r="K965" s="163">
        <f>+'[1]Budget 2025W'!R1378</f>
        <v>238.59382246376811</v>
      </c>
      <c r="L965" s="163">
        <f>+'[1]Budget 2025W'!S1378</f>
        <v>238.59382246376811</v>
      </c>
      <c r="M965" s="163">
        <f>+'[1]Budget 2025W'!T1378</f>
        <v>238.59382246376811</v>
      </c>
      <c r="N965" s="163">
        <f>+'[1]Budget 2025W'!U1378</f>
        <v>238.59382246376811</v>
      </c>
      <c r="O965" s="163">
        <f>+'[1]Budget 2025W'!V1378</f>
        <v>238.59382246376811</v>
      </c>
      <c r="P965" s="131"/>
      <c r="Q965" s="207">
        <f t="shared" si="91"/>
        <v>1670.1567572463764</v>
      </c>
    </row>
    <row r="966" spans="3:17" ht="15.75" thickTop="1" x14ac:dyDescent="0.2">
      <c r="F966" s="221"/>
      <c r="G966" s="221"/>
      <c r="H966" s="222"/>
      <c r="I966" s="222"/>
      <c r="J966" s="222"/>
      <c r="K966" s="222"/>
      <c r="L966" s="222"/>
      <c r="M966" s="222"/>
      <c r="N966" s="222"/>
      <c r="O966" s="222"/>
      <c r="P966" s="223"/>
      <c r="Q966" s="221"/>
    </row>
    <row r="967" spans="3:17" ht="15.75" x14ac:dyDescent="0.25">
      <c r="C967" s="224" t="s">
        <v>371</v>
      </c>
      <c r="D967" s="225"/>
      <c r="E967" s="225"/>
      <c r="F967" s="226"/>
      <c r="G967" s="226"/>
      <c r="H967" s="227"/>
      <c r="I967" s="227"/>
      <c r="J967" s="227"/>
      <c r="K967" s="227"/>
      <c r="L967" s="227"/>
      <c r="M967" s="227"/>
      <c r="N967" s="227"/>
      <c r="O967" s="227"/>
      <c r="P967" s="223"/>
      <c r="Q967" s="226"/>
    </row>
    <row r="968" spans="3:17" x14ac:dyDescent="0.2">
      <c r="C968" s="153" t="s">
        <v>372</v>
      </c>
      <c r="D968" s="228">
        <f>+'[1]Budget 2025W'!K1381</f>
        <v>0</v>
      </c>
      <c r="E968" s="228">
        <f>+'[1]Budget 2025W'!L1381</f>
        <v>0</v>
      </c>
      <c r="F968" s="229">
        <f>+'[1]Budget 2025W'!M1381</f>
        <v>0</v>
      </c>
      <c r="G968" s="229">
        <f>+'[1]Budget 2025W'!N1381</f>
        <v>0</v>
      </c>
      <c r="H968" s="230">
        <f>+'[1]Budget 2025W'!O1381</f>
        <v>0</v>
      </c>
      <c r="I968" s="230">
        <f>+'[1]Budget 2025W'!P1381</f>
        <v>0</v>
      </c>
      <c r="J968" s="230">
        <f>+'[1]Budget 2025W'!Q1381</f>
        <v>0</v>
      </c>
      <c r="K968" s="230">
        <f>+'[1]Budget 2025W'!R1381</f>
        <v>0</v>
      </c>
      <c r="L968" s="230">
        <f>+'[1]Budget 2025W'!S1381</f>
        <v>0</v>
      </c>
      <c r="M968" s="230">
        <f>+'[1]Budget 2025W'!T1381</f>
        <v>0</v>
      </c>
      <c r="N968" s="230">
        <f>+'[1]Budget 2025W'!U1381</f>
        <v>0</v>
      </c>
      <c r="O968" s="230">
        <f>+'[1]Budget 2025W'!V1381</f>
        <v>0</v>
      </c>
      <c r="P968" s="223"/>
      <c r="Q968" s="229">
        <f>SUM(D968:O968)</f>
        <v>0</v>
      </c>
    </row>
    <row r="969" spans="3:17" ht="15.75" thickBot="1" x14ac:dyDescent="0.25">
      <c r="C969" s="153"/>
      <c r="D969" s="228"/>
      <c r="E969" s="228"/>
      <c r="F969" s="229"/>
      <c r="G969" s="229"/>
      <c r="H969" s="230"/>
      <c r="I969" s="230"/>
      <c r="J969" s="230"/>
      <c r="K969" s="230"/>
      <c r="L969" s="230"/>
      <c r="M969" s="230"/>
      <c r="N969" s="230"/>
      <c r="O969" s="230"/>
      <c r="P969" s="223"/>
      <c r="Q969" s="229"/>
    </row>
    <row r="970" spans="3:17" ht="17.25" thickTop="1" thickBot="1" x14ac:dyDescent="0.3">
      <c r="C970" s="162" t="s">
        <v>373</v>
      </c>
      <c r="D970" s="163">
        <f>+'[1]Budget 2025W'!K1384</f>
        <v>0</v>
      </c>
      <c r="E970" s="163">
        <f>+'[1]Budget 2025W'!L1384</f>
        <v>0</v>
      </c>
      <c r="F970" s="163">
        <f>+'[1]Budget 2025W'!M1384</f>
        <v>0</v>
      </c>
      <c r="G970" s="163">
        <f>+'[1]Budget 2025W'!N1384</f>
        <v>0</v>
      </c>
      <c r="H970" s="163">
        <f>+'[1]Budget 2025W'!O1384</f>
        <v>0</v>
      </c>
      <c r="I970" s="163">
        <f>+'[1]Budget 2025W'!P1384</f>
        <v>0</v>
      </c>
      <c r="J970" s="163">
        <f>+'[1]Budget 2025W'!Q1384</f>
        <v>0</v>
      </c>
      <c r="K970" s="163">
        <f>+'[1]Budget 2025W'!R1384</f>
        <v>0</v>
      </c>
      <c r="L970" s="163">
        <f>+'[1]Budget 2025W'!S1384</f>
        <v>0</v>
      </c>
      <c r="M970" s="163">
        <f>+'[1]Budget 2025W'!T1384</f>
        <v>0</v>
      </c>
      <c r="N970" s="163">
        <f>+'[1]Budget 2025W'!U1384</f>
        <v>0</v>
      </c>
      <c r="O970" s="163">
        <f>+'[1]Budget 2025W'!V1384</f>
        <v>0</v>
      </c>
      <c r="P970" s="131"/>
      <c r="Q970" s="207">
        <f>SUM(D970:O970)</f>
        <v>0</v>
      </c>
    </row>
    <row r="971" spans="3:17" ht="15.75" thickTop="1" x14ac:dyDescent="0.2">
      <c r="F971" s="221"/>
      <c r="G971" s="221"/>
      <c r="H971" s="222"/>
      <c r="I971" s="222"/>
      <c r="J971" s="222"/>
      <c r="K971" s="222"/>
      <c r="L971" s="222"/>
      <c r="M971" s="222"/>
      <c r="N971" s="222"/>
      <c r="O971" s="222"/>
      <c r="P971" s="223"/>
      <c r="Q971" s="221"/>
    </row>
    <row r="972" spans="3:17" ht="15.75" x14ac:dyDescent="0.25">
      <c r="C972" s="224" t="s">
        <v>374</v>
      </c>
      <c r="D972" s="225"/>
      <c r="E972" s="225"/>
      <c r="F972" s="226"/>
      <c r="G972" s="226"/>
      <c r="H972" s="227"/>
      <c r="I972" s="227"/>
      <c r="J972" s="227"/>
      <c r="K972" s="227"/>
      <c r="L972" s="227"/>
      <c r="M972" s="227"/>
      <c r="N972" s="227"/>
      <c r="O972" s="227"/>
      <c r="P972" s="223"/>
      <c r="Q972" s="226"/>
    </row>
    <row r="973" spans="3:17" x14ac:dyDescent="0.2">
      <c r="C973" s="153" t="s">
        <v>375</v>
      </c>
      <c r="D973" s="228">
        <f>+'[1]Budget 2025W'!K1388</f>
        <v>0</v>
      </c>
      <c r="E973" s="228">
        <f>+'[1]Budget 2025W'!L1388</f>
        <v>0</v>
      </c>
      <c r="F973" s="229">
        <f>+'[1]Budget 2025W'!M1388</f>
        <v>0</v>
      </c>
      <c r="G973" s="229">
        <f>+'[1]Budget 2025W'!N1388</f>
        <v>0</v>
      </c>
      <c r="H973" s="230">
        <f>+'[1]Budget 2025W'!O1388</f>
        <v>0</v>
      </c>
      <c r="I973" s="230">
        <f>+'[1]Budget 2025W'!P1388</f>
        <v>0</v>
      </c>
      <c r="J973" s="230">
        <f>+'[1]Budget 2025W'!Q1388</f>
        <v>0</v>
      </c>
      <c r="K973" s="230">
        <f>+'[1]Budget 2025W'!R1388</f>
        <v>0</v>
      </c>
      <c r="L973" s="230">
        <f>+'[1]Budget 2025W'!S1388</f>
        <v>0</v>
      </c>
      <c r="M973" s="230">
        <f>+'[1]Budget 2025W'!T1388</f>
        <v>0</v>
      </c>
      <c r="N973" s="230">
        <f>+'[1]Budget 2025W'!U1388</f>
        <v>0</v>
      </c>
      <c r="O973" s="230">
        <f>+'[1]Budget 2025W'!V1388</f>
        <v>0</v>
      </c>
      <c r="P973" s="223"/>
      <c r="Q973" s="229">
        <f>SUM(D973:O973)</f>
        <v>0</v>
      </c>
    </row>
    <row r="974" spans="3:17" ht="15.75" thickBot="1" x14ac:dyDescent="0.25">
      <c r="C974" s="153"/>
      <c r="D974" s="228"/>
      <c r="E974" s="228"/>
      <c r="F974" s="229"/>
      <c r="G974" s="229"/>
      <c r="H974" s="230"/>
      <c r="I974" s="230"/>
      <c r="J974" s="230"/>
      <c r="K974" s="230"/>
      <c r="L974" s="230"/>
      <c r="M974" s="230"/>
      <c r="N974" s="230"/>
      <c r="O974" s="230"/>
      <c r="P974" s="223"/>
      <c r="Q974" s="229"/>
    </row>
    <row r="975" spans="3:17" ht="17.25" thickTop="1" thickBot="1" x14ac:dyDescent="0.3">
      <c r="C975" s="162" t="s">
        <v>376</v>
      </c>
      <c r="D975" s="163">
        <f>+'[1]Budget 2025W'!K1392</f>
        <v>0</v>
      </c>
      <c r="E975" s="163">
        <f>+'[1]Budget 2025W'!L1392</f>
        <v>0</v>
      </c>
      <c r="F975" s="163">
        <f>+'[1]Budget 2025W'!M1392</f>
        <v>0</v>
      </c>
      <c r="G975" s="163">
        <f>+'[1]Budget 2025W'!N1392</f>
        <v>0</v>
      </c>
      <c r="H975" s="163">
        <f>+'[1]Budget 2025W'!O1392</f>
        <v>0</v>
      </c>
      <c r="I975" s="163">
        <f>+'[1]Budget 2025W'!P1392</f>
        <v>0</v>
      </c>
      <c r="J975" s="163">
        <f>+'[1]Budget 2025W'!Q1392</f>
        <v>0</v>
      </c>
      <c r="K975" s="163">
        <f>+'[1]Budget 2025W'!R1392</f>
        <v>0</v>
      </c>
      <c r="L975" s="163">
        <f>+'[1]Budget 2025W'!S1392</f>
        <v>0</v>
      </c>
      <c r="M975" s="163">
        <f>+'[1]Budget 2025W'!T1392</f>
        <v>0</v>
      </c>
      <c r="N975" s="163">
        <f>+'[1]Budget 2025W'!U1392</f>
        <v>0</v>
      </c>
      <c r="O975" s="163">
        <f>+'[1]Budget 2025W'!V1392</f>
        <v>0</v>
      </c>
      <c r="P975" s="131"/>
      <c r="Q975" s="207">
        <f>SUM(D975:O975)</f>
        <v>0</v>
      </c>
    </row>
    <row r="976" spans="3:17" ht="15.75" thickTop="1" x14ac:dyDescent="0.2">
      <c r="F976" s="221"/>
      <c r="G976" s="221"/>
      <c r="H976" s="222"/>
      <c r="I976" s="222"/>
      <c r="J976" s="222"/>
      <c r="K976" s="222"/>
      <c r="L976" s="222"/>
      <c r="M976" s="222"/>
      <c r="N976" s="222"/>
      <c r="O976" s="222"/>
      <c r="P976" s="223"/>
      <c r="Q976" s="221"/>
    </row>
    <row r="977" spans="3:17" ht="15.75" x14ac:dyDescent="0.25">
      <c r="C977" s="224" t="s">
        <v>377</v>
      </c>
      <c r="D977" s="225"/>
      <c r="E977" s="225"/>
      <c r="F977" s="226"/>
      <c r="G977" s="226"/>
      <c r="H977" s="227"/>
      <c r="I977" s="227"/>
      <c r="J977" s="227"/>
      <c r="K977" s="227"/>
      <c r="L977" s="227"/>
      <c r="M977" s="227"/>
      <c r="N977" s="227"/>
      <c r="O977" s="227"/>
      <c r="P977" s="223"/>
      <c r="Q977" s="226"/>
    </row>
    <row r="978" spans="3:17" x14ac:dyDescent="0.2">
      <c r="C978" s="153" t="s">
        <v>378</v>
      </c>
      <c r="D978" s="228">
        <f>+'[1]Budget 2025W'!K1395</f>
        <v>0</v>
      </c>
      <c r="E978" s="228">
        <f>+'[1]Budget 2025W'!L1395</f>
        <v>0</v>
      </c>
      <c r="F978" s="229">
        <f>+'[1]Budget 2025W'!M1395</f>
        <v>0</v>
      </c>
      <c r="G978" s="229">
        <f>+'[1]Budget 2025W'!N1395</f>
        <v>0</v>
      </c>
      <c r="H978" s="230">
        <f>+'[1]Budget 2025W'!O1395</f>
        <v>0</v>
      </c>
      <c r="I978" s="230">
        <f>+'[1]Budget 2025W'!P1395</f>
        <v>0</v>
      </c>
      <c r="J978" s="230">
        <f>+'[1]Budget 2025W'!Q1395</f>
        <v>0</v>
      </c>
      <c r="K978" s="230">
        <f>+'[1]Budget 2025W'!R1395</f>
        <v>0</v>
      </c>
      <c r="L978" s="230">
        <f>+'[1]Budget 2025W'!S1395</f>
        <v>0</v>
      </c>
      <c r="M978" s="230">
        <f>+'[1]Budget 2025W'!T1395</f>
        <v>0</v>
      </c>
      <c r="N978" s="230">
        <f>+'[1]Budget 2025W'!U1395</f>
        <v>0</v>
      </c>
      <c r="O978" s="230">
        <f>+'[1]Budget 2025W'!V1395</f>
        <v>0</v>
      </c>
      <c r="P978" s="223"/>
      <c r="Q978" s="229">
        <f>SUM(D978:O978)</f>
        <v>0</v>
      </c>
    </row>
    <row r="979" spans="3:17" ht="15.75" thickBot="1" x14ac:dyDescent="0.25">
      <c r="C979" s="153"/>
      <c r="D979" s="228"/>
      <c r="E979" s="228"/>
      <c r="F979" s="229"/>
      <c r="G979" s="229"/>
      <c r="H979" s="230"/>
      <c r="I979" s="230"/>
      <c r="J979" s="230"/>
      <c r="K979" s="230"/>
      <c r="L979" s="230"/>
      <c r="M979" s="230"/>
      <c r="N979" s="230"/>
      <c r="O979" s="230"/>
      <c r="P979" s="223"/>
      <c r="Q979" s="229"/>
    </row>
    <row r="980" spans="3:17" ht="17.25" thickTop="1" thickBot="1" x14ac:dyDescent="0.3">
      <c r="C980" s="162" t="s">
        <v>379</v>
      </c>
      <c r="D980" s="163">
        <f>+'[1]Budget 2025W'!K1399</f>
        <v>0</v>
      </c>
      <c r="E980" s="163">
        <f>+'[1]Budget 2025W'!L1399</f>
        <v>0</v>
      </c>
      <c r="F980" s="163">
        <f>+'[1]Budget 2025W'!M1399</f>
        <v>0</v>
      </c>
      <c r="G980" s="163">
        <f>+'[1]Budget 2025W'!N1399</f>
        <v>0</v>
      </c>
      <c r="H980" s="163">
        <f>+'[1]Budget 2025W'!O1399</f>
        <v>0</v>
      </c>
      <c r="I980" s="163">
        <f>+'[1]Budget 2025W'!P1399</f>
        <v>0</v>
      </c>
      <c r="J980" s="163">
        <f>+'[1]Budget 2025W'!Q1399</f>
        <v>0</v>
      </c>
      <c r="K980" s="163">
        <f>+'[1]Budget 2025W'!R1399</f>
        <v>0</v>
      </c>
      <c r="L980" s="163">
        <f>+'[1]Budget 2025W'!S1399</f>
        <v>0</v>
      </c>
      <c r="M980" s="163">
        <f>+'[1]Budget 2025W'!T1399</f>
        <v>0</v>
      </c>
      <c r="N980" s="163">
        <f>+'[1]Budget 2025W'!U1399</f>
        <v>0</v>
      </c>
      <c r="O980" s="163">
        <f>+'[1]Budget 2025W'!V1399</f>
        <v>0</v>
      </c>
      <c r="P980" s="131"/>
      <c r="Q980" s="207">
        <f>SUM(D980:O980)</f>
        <v>0</v>
      </c>
    </row>
    <row r="981" spans="3:17" ht="15.75" thickTop="1" x14ac:dyDescent="0.2">
      <c r="F981" s="221"/>
      <c r="G981" s="221"/>
      <c r="H981" s="222"/>
      <c r="I981" s="222"/>
      <c r="J981" s="222"/>
      <c r="K981" s="222"/>
      <c r="L981" s="222"/>
      <c r="M981" s="222"/>
      <c r="N981" s="222"/>
      <c r="O981" s="222"/>
      <c r="P981" s="223"/>
      <c r="Q981" s="221"/>
    </row>
    <row r="982" spans="3:17" ht="15.75" x14ac:dyDescent="0.25">
      <c r="C982" s="224" t="s">
        <v>380</v>
      </c>
      <c r="D982" s="225"/>
      <c r="E982" s="225"/>
      <c r="F982" s="226"/>
      <c r="G982" s="226"/>
      <c r="H982" s="227"/>
      <c r="I982" s="227"/>
      <c r="J982" s="227"/>
      <c r="K982" s="227"/>
      <c r="L982" s="227"/>
      <c r="M982" s="227"/>
      <c r="N982" s="227"/>
      <c r="O982" s="227"/>
      <c r="P982" s="223"/>
      <c r="Q982" s="226"/>
    </row>
    <row r="983" spans="3:17" x14ac:dyDescent="0.2">
      <c r="C983" s="153" t="s">
        <v>71</v>
      </c>
      <c r="D983" s="228">
        <f>+'[1]Budget 2025W'!K1403</f>
        <v>0</v>
      </c>
      <c r="E983" s="228">
        <f>+'[1]Budget 2025W'!L1403</f>
        <v>0</v>
      </c>
      <c r="F983" s="229">
        <f>+'[1]Budget 2025W'!M1403</f>
        <v>0</v>
      </c>
      <c r="G983" s="229">
        <f>+'[1]Budget 2025W'!N1403</f>
        <v>0</v>
      </c>
      <c r="H983" s="230">
        <f>+'[1]Budget 2025W'!O1403</f>
        <v>0</v>
      </c>
      <c r="I983" s="230">
        <f>+'[1]Budget 2025W'!P1403</f>
        <v>0</v>
      </c>
      <c r="J983" s="230">
        <f>+'[1]Budget 2025W'!Q1403</f>
        <v>0</v>
      </c>
      <c r="K983" s="230">
        <f>+'[1]Budget 2025W'!R1403</f>
        <v>0</v>
      </c>
      <c r="L983" s="230">
        <f>+'[1]Budget 2025W'!S1403</f>
        <v>0</v>
      </c>
      <c r="M983" s="230">
        <f>+'[1]Budget 2025W'!T1403</f>
        <v>0</v>
      </c>
      <c r="N983" s="230">
        <f>+'[1]Budget 2025W'!U1403</f>
        <v>0</v>
      </c>
      <c r="O983" s="230">
        <f>+'[1]Budget 2025W'!V1403</f>
        <v>0</v>
      </c>
      <c r="P983" s="223"/>
      <c r="Q983" s="229">
        <f>SUM(D983:O983)</f>
        <v>0</v>
      </c>
    </row>
    <row r="984" spans="3:17" ht="15.75" thickBot="1" x14ac:dyDescent="0.25">
      <c r="C984" s="153" t="s">
        <v>381</v>
      </c>
      <c r="D984" s="228">
        <f>+'[1]Budget 2025W'!K1404</f>
        <v>0</v>
      </c>
      <c r="E984" s="228">
        <f>+'[1]Budget 2025W'!L1404</f>
        <v>0</v>
      </c>
      <c r="F984" s="229">
        <f>+'[1]Budget 2025W'!M1404</f>
        <v>0</v>
      </c>
      <c r="G984" s="229">
        <f>+'[1]Budget 2025W'!N1404</f>
        <v>0</v>
      </c>
      <c r="H984" s="230">
        <f>+'[1]Budget 2025W'!O1404</f>
        <v>0</v>
      </c>
      <c r="I984" s="230">
        <f>+'[1]Budget 2025W'!P1404</f>
        <v>5000</v>
      </c>
      <c r="J984" s="230">
        <f>+'[1]Budget 2025W'!Q1404</f>
        <v>5000</v>
      </c>
      <c r="K984" s="230">
        <f>+'[1]Budget 2025W'!R1404</f>
        <v>5000</v>
      </c>
      <c r="L984" s="230">
        <f>+'[1]Budget 2025W'!S1404</f>
        <v>5000</v>
      </c>
      <c r="M984" s="230">
        <f>+'[1]Budget 2025W'!T1404</f>
        <v>5000</v>
      </c>
      <c r="N984" s="230">
        <f>+'[1]Budget 2025W'!U1404</f>
        <v>5000</v>
      </c>
      <c r="O984" s="230">
        <f>+'[1]Budget 2025W'!V1404</f>
        <v>5000</v>
      </c>
      <c r="P984" s="223"/>
      <c r="Q984" s="229">
        <f>SUM(D984:O984)</f>
        <v>35000</v>
      </c>
    </row>
    <row r="985" spans="3:17" ht="17.25" thickTop="1" thickBot="1" x14ac:dyDescent="0.3">
      <c r="C985" s="162" t="s">
        <v>382</v>
      </c>
      <c r="D985" s="163">
        <f>+'[1]Budget 2025W'!K1406</f>
        <v>0</v>
      </c>
      <c r="E985" s="163">
        <f>+'[1]Budget 2025W'!L1406</f>
        <v>0</v>
      </c>
      <c r="F985" s="163">
        <f>+'[1]Budget 2025W'!M1406</f>
        <v>0</v>
      </c>
      <c r="G985" s="163">
        <f>+'[1]Budget 2025W'!N1406</f>
        <v>0</v>
      </c>
      <c r="H985" s="163">
        <f>+'[1]Budget 2025W'!O1406</f>
        <v>0</v>
      </c>
      <c r="I985" s="163">
        <f>+'[1]Budget 2025W'!P1406</f>
        <v>5000</v>
      </c>
      <c r="J985" s="163">
        <f>+'[1]Budget 2025W'!Q1406</f>
        <v>5000</v>
      </c>
      <c r="K985" s="163">
        <f>+'[1]Budget 2025W'!R1406</f>
        <v>5000</v>
      </c>
      <c r="L985" s="163">
        <f>+'[1]Budget 2025W'!S1406</f>
        <v>5000</v>
      </c>
      <c r="M985" s="163">
        <f>+'[1]Budget 2025W'!T1406</f>
        <v>5000</v>
      </c>
      <c r="N985" s="163">
        <f>+'[1]Budget 2025W'!U1406</f>
        <v>5000</v>
      </c>
      <c r="O985" s="163">
        <f>+'[1]Budget 2025W'!V1406</f>
        <v>5000</v>
      </c>
      <c r="P985" s="131"/>
      <c r="Q985" s="207">
        <f>SUM(D985:O985)</f>
        <v>35000</v>
      </c>
    </row>
    <row r="986" spans="3:17" ht="15.75" thickTop="1" x14ac:dyDescent="0.2">
      <c r="F986" s="221"/>
      <c r="G986" s="221"/>
      <c r="H986" s="222"/>
      <c r="I986" s="222"/>
      <c r="J986" s="222"/>
      <c r="K986" s="222"/>
      <c r="L986" s="222"/>
      <c r="M986" s="222"/>
      <c r="N986" s="222"/>
      <c r="O986" s="222"/>
      <c r="P986" s="223"/>
      <c r="Q986" s="221"/>
    </row>
    <row r="987" spans="3:17" ht="15.75" x14ac:dyDescent="0.25">
      <c r="C987" s="195" t="s">
        <v>383</v>
      </c>
      <c r="D987" s="196"/>
      <c r="E987" s="196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31"/>
      <c r="Q987" s="138"/>
    </row>
    <row r="988" spans="3:17" x14ac:dyDescent="0.2">
      <c r="C988" s="153" t="s">
        <v>384</v>
      </c>
      <c r="D988" s="228">
        <f>+'[1]Budget 2025W'!K1410</f>
        <v>0</v>
      </c>
      <c r="E988" s="228">
        <f>+'[1]Budget 2025W'!L1410</f>
        <v>0</v>
      </c>
      <c r="F988" s="229">
        <f>+'[1]Budget 2025W'!M1410</f>
        <v>0</v>
      </c>
      <c r="G988" s="229">
        <f>+'[1]Budget 2025W'!N1410</f>
        <v>0</v>
      </c>
      <c r="H988" s="230">
        <f>+'[1]Budget 2025W'!O1410</f>
        <v>0</v>
      </c>
      <c r="I988" s="230">
        <f>+'[1]Budget 2025W'!P1410</f>
        <v>0</v>
      </c>
      <c r="J988" s="230">
        <f>+'[1]Budget 2025W'!Q1410</f>
        <v>0</v>
      </c>
      <c r="K988" s="230">
        <f>+'[1]Budget 2025W'!R1410</f>
        <v>0</v>
      </c>
      <c r="L988" s="230">
        <f>+'[1]Budget 2025W'!S1410</f>
        <v>0</v>
      </c>
      <c r="M988" s="230">
        <f>+'[1]Budget 2025W'!T1410</f>
        <v>0</v>
      </c>
      <c r="N988" s="230">
        <f>+'[1]Budget 2025W'!U1410</f>
        <v>0</v>
      </c>
      <c r="O988" s="230">
        <f>+'[1]Budget 2025W'!V1410</f>
        <v>0</v>
      </c>
      <c r="P988" s="223"/>
      <c r="Q988" s="229">
        <f t="shared" ref="Q988:Q997" si="92">SUM(D988:O988)</f>
        <v>0</v>
      </c>
    </row>
    <row r="989" spans="3:17" x14ac:dyDescent="0.2">
      <c r="C989" s="153"/>
      <c r="D989" s="228"/>
      <c r="E989" s="228"/>
      <c r="F989" s="229"/>
      <c r="G989" s="229"/>
      <c r="H989" s="230"/>
      <c r="I989" s="230"/>
      <c r="J989" s="230"/>
      <c r="K989" s="230"/>
      <c r="L989" s="230"/>
      <c r="M989" s="230"/>
      <c r="N989" s="230"/>
      <c r="O989" s="230"/>
      <c r="P989" s="223"/>
      <c r="Q989" s="229"/>
    </row>
    <row r="990" spans="3:17" x14ac:dyDescent="0.2">
      <c r="C990" s="153"/>
      <c r="D990" s="228"/>
      <c r="E990" s="228"/>
      <c r="F990" s="229"/>
      <c r="G990" s="229"/>
      <c r="H990" s="230"/>
      <c r="I990" s="230"/>
      <c r="J990" s="230"/>
      <c r="K990" s="230"/>
      <c r="L990" s="230"/>
      <c r="M990" s="230"/>
      <c r="N990" s="230"/>
      <c r="O990" s="230"/>
      <c r="P990" s="223"/>
      <c r="Q990" s="229"/>
    </row>
    <row r="991" spans="3:17" x14ac:dyDescent="0.2">
      <c r="C991" s="153"/>
      <c r="D991" s="228"/>
      <c r="E991" s="228"/>
      <c r="F991" s="229"/>
      <c r="G991" s="229"/>
      <c r="H991" s="230"/>
      <c r="I991" s="230"/>
      <c r="J991" s="230"/>
      <c r="K991" s="230"/>
      <c r="L991" s="230"/>
      <c r="M991" s="230"/>
      <c r="N991" s="230"/>
      <c r="O991" s="230"/>
      <c r="P991" s="223"/>
      <c r="Q991" s="229"/>
    </row>
    <row r="992" spans="3:17" x14ac:dyDescent="0.2">
      <c r="C992" s="153"/>
      <c r="D992" s="228"/>
      <c r="E992" s="228"/>
      <c r="F992" s="229"/>
      <c r="G992" s="229"/>
      <c r="H992" s="230"/>
      <c r="I992" s="230"/>
      <c r="J992" s="230"/>
      <c r="K992" s="230"/>
      <c r="L992" s="230"/>
      <c r="M992" s="230"/>
      <c r="N992" s="230"/>
      <c r="O992" s="230"/>
      <c r="P992" s="223"/>
      <c r="Q992" s="229"/>
    </row>
    <row r="993" spans="3:17" x14ac:dyDescent="0.2">
      <c r="C993" s="153"/>
      <c r="D993" s="228"/>
      <c r="E993" s="228"/>
      <c r="F993" s="229"/>
      <c r="G993" s="229"/>
      <c r="H993" s="230"/>
      <c r="I993" s="230"/>
      <c r="J993" s="230"/>
      <c r="K993" s="230"/>
      <c r="L993" s="230"/>
      <c r="M993" s="230"/>
      <c r="N993" s="230"/>
      <c r="O993" s="230"/>
      <c r="P993" s="223"/>
      <c r="Q993" s="229"/>
    </row>
    <row r="994" spans="3:17" x14ac:dyDescent="0.2">
      <c r="C994" s="153"/>
      <c r="D994" s="228"/>
      <c r="E994" s="228"/>
      <c r="F994" s="229"/>
      <c r="G994" s="229"/>
      <c r="H994" s="230"/>
      <c r="I994" s="230"/>
      <c r="J994" s="230"/>
      <c r="K994" s="230"/>
      <c r="L994" s="230"/>
      <c r="M994" s="230"/>
      <c r="N994" s="230"/>
      <c r="O994" s="230"/>
      <c r="P994" s="223"/>
      <c r="Q994" s="229"/>
    </row>
    <row r="995" spans="3:17" x14ac:dyDescent="0.2">
      <c r="C995" s="153"/>
      <c r="D995" s="228"/>
      <c r="E995" s="228"/>
      <c r="F995" s="229"/>
      <c r="G995" s="229"/>
      <c r="H995" s="230"/>
      <c r="I995" s="230"/>
      <c r="J995" s="230"/>
      <c r="K995" s="230"/>
      <c r="L995" s="230"/>
      <c r="M995" s="230"/>
      <c r="N995" s="230"/>
      <c r="O995" s="230"/>
      <c r="P995" s="223"/>
      <c r="Q995" s="229"/>
    </row>
    <row r="996" spans="3:17" ht="15.75" thickBot="1" x14ac:dyDescent="0.25">
      <c r="C996" s="153"/>
      <c r="D996" s="228"/>
      <c r="E996" s="228"/>
      <c r="F996" s="229"/>
      <c r="G996" s="229"/>
      <c r="H996" s="230"/>
      <c r="I996" s="230"/>
      <c r="J996" s="230"/>
      <c r="K996" s="230"/>
      <c r="L996" s="230"/>
      <c r="M996" s="230"/>
      <c r="N996" s="230"/>
      <c r="O996" s="230"/>
      <c r="P996" s="223"/>
      <c r="Q996" s="229"/>
    </row>
    <row r="997" spans="3:17" ht="17.25" thickTop="1" thickBot="1" x14ac:dyDescent="0.3">
      <c r="C997" s="162" t="s">
        <v>385</v>
      </c>
      <c r="D997" s="163">
        <f>+'[1]Budget 2025W'!K1422</f>
        <v>0</v>
      </c>
      <c r="E997" s="163">
        <f>+'[1]Budget 2025W'!L1422</f>
        <v>0</v>
      </c>
      <c r="F997" s="163">
        <f>+'[1]Budget 2025W'!M1422</f>
        <v>0</v>
      </c>
      <c r="G997" s="163">
        <f>+'[1]Budget 2025W'!N1422</f>
        <v>0</v>
      </c>
      <c r="H997" s="163">
        <f>+'[1]Budget 2025W'!O1422</f>
        <v>0</v>
      </c>
      <c r="I997" s="163">
        <f>+'[1]Budget 2025W'!P1422</f>
        <v>0</v>
      </c>
      <c r="J997" s="163">
        <f>+'[1]Budget 2025W'!Q1422</f>
        <v>0</v>
      </c>
      <c r="K997" s="163">
        <f>+'[1]Budget 2025W'!R1422</f>
        <v>0</v>
      </c>
      <c r="L997" s="163">
        <f>+'[1]Budget 2025W'!S1422</f>
        <v>0</v>
      </c>
      <c r="M997" s="163">
        <f>+'[1]Budget 2025W'!T1422</f>
        <v>0</v>
      </c>
      <c r="N997" s="163">
        <f>+'[1]Budget 2025W'!U1422</f>
        <v>0</v>
      </c>
      <c r="O997" s="163">
        <f>+'[1]Budget 2025W'!V1422</f>
        <v>0</v>
      </c>
      <c r="P997" s="131"/>
      <c r="Q997" s="207">
        <f t="shared" si="92"/>
        <v>0</v>
      </c>
    </row>
    <row r="998" spans="3:17" ht="15.75" thickTop="1" x14ac:dyDescent="0.2">
      <c r="F998" s="221"/>
      <c r="G998" s="221"/>
      <c r="H998" s="222"/>
      <c r="I998" s="222"/>
      <c r="J998" s="222"/>
      <c r="K998" s="222"/>
      <c r="L998" s="222"/>
      <c r="M998" s="222"/>
      <c r="N998" s="222"/>
      <c r="O998" s="222"/>
      <c r="P998" s="223"/>
      <c r="Q998" s="221"/>
    </row>
    <row r="999" spans="3:17" ht="15.75" x14ac:dyDescent="0.25">
      <c r="C999" s="224" t="s">
        <v>386</v>
      </c>
      <c r="D999" s="225"/>
      <c r="E999" s="225"/>
      <c r="F999" s="226"/>
      <c r="G999" s="226"/>
      <c r="H999" s="227"/>
      <c r="I999" s="227"/>
      <c r="J999" s="227"/>
      <c r="K999" s="227"/>
      <c r="L999" s="227"/>
      <c r="M999" s="227"/>
      <c r="N999" s="227"/>
      <c r="O999" s="227"/>
      <c r="P999" s="223"/>
      <c r="Q999" s="226"/>
    </row>
    <row r="1000" spans="3:17" x14ac:dyDescent="0.2">
      <c r="C1000" s="153" t="s">
        <v>387</v>
      </c>
      <c r="D1000" s="228">
        <f>+'[1]Budget 2025W'!K1425</f>
        <v>0</v>
      </c>
      <c r="E1000" s="228">
        <f>+'[1]Budget 2025W'!L1425</f>
        <v>0</v>
      </c>
      <c r="F1000" s="229">
        <f>+'[1]Budget 2025W'!M1425</f>
        <v>0</v>
      </c>
      <c r="G1000" s="229">
        <f>+'[1]Budget 2025W'!N1425</f>
        <v>0</v>
      </c>
      <c r="H1000" s="230">
        <f>+'[1]Budget 2025W'!O1425</f>
        <v>0</v>
      </c>
      <c r="I1000" s="230">
        <f>+'[1]Budget 2025W'!P1425</f>
        <v>0</v>
      </c>
      <c r="J1000" s="230">
        <f>+'[1]Budget 2025W'!Q1425</f>
        <v>0</v>
      </c>
      <c r="K1000" s="230">
        <f>+'[1]Budget 2025W'!R1425</f>
        <v>0</v>
      </c>
      <c r="L1000" s="230">
        <f>+'[1]Budget 2025W'!S1425</f>
        <v>0</v>
      </c>
      <c r="M1000" s="230">
        <f>+'[1]Budget 2025W'!T1425</f>
        <v>0</v>
      </c>
      <c r="N1000" s="230">
        <f>+'[1]Budget 2025W'!U1425</f>
        <v>0</v>
      </c>
      <c r="O1000" s="230">
        <f>+'[1]Budget 2025W'!V1425</f>
        <v>0</v>
      </c>
      <c r="P1000" s="223"/>
      <c r="Q1000" s="229">
        <f>SUM(D1000:O1000)</f>
        <v>0</v>
      </c>
    </row>
    <row r="1001" spans="3:17" x14ac:dyDescent="0.2">
      <c r="C1001" s="153"/>
      <c r="D1001" s="228"/>
      <c r="E1001" s="228"/>
      <c r="F1001" s="229"/>
      <c r="G1001" s="229"/>
      <c r="H1001" s="230"/>
      <c r="I1001" s="230"/>
      <c r="J1001" s="230"/>
      <c r="K1001" s="230"/>
      <c r="L1001" s="230"/>
      <c r="M1001" s="230"/>
      <c r="N1001" s="230"/>
      <c r="O1001" s="230"/>
      <c r="P1001" s="223"/>
      <c r="Q1001" s="229"/>
    </row>
    <row r="1002" spans="3:17" ht="15.75" thickBot="1" x14ac:dyDescent="0.25">
      <c r="C1002" s="153"/>
      <c r="D1002" s="228"/>
      <c r="E1002" s="228"/>
      <c r="F1002" s="229"/>
      <c r="G1002" s="229"/>
      <c r="H1002" s="230"/>
      <c r="I1002" s="230"/>
      <c r="J1002" s="230"/>
      <c r="K1002" s="230"/>
      <c r="L1002" s="230"/>
      <c r="M1002" s="230"/>
      <c r="N1002" s="230"/>
      <c r="O1002" s="230"/>
      <c r="P1002" s="223"/>
      <c r="Q1002" s="229"/>
    </row>
    <row r="1003" spans="3:17" ht="17.25" thickTop="1" thickBot="1" x14ac:dyDescent="0.3">
      <c r="C1003" s="162" t="s">
        <v>388</v>
      </c>
      <c r="D1003" s="163">
        <f>+'[1]Budget 2025W'!K1429</f>
        <v>0</v>
      </c>
      <c r="E1003" s="163">
        <f>+'[1]Budget 2025W'!L1429</f>
        <v>0</v>
      </c>
      <c r="F1003" s="163">
        <f>+'[1]Budget 2025W'!M1429</f>
        <v>0</v>
      </c>
      <c r="G1003" s="163">
        <f>+'[1]Budget 2025W'!N1429</f>
        <v>0</v>
      </c>
      <c r="H1003" s="163">
        <f>+'[1]Budget 2025W'!O1429</f>
        <v>0</v>
      </c>
      <c r="I1003" s="163">
        <f>+'[1]Budget 2025W'!P1429</f>
        <v>0</v>
      </c>
      <c r="J1003" s="163">
        <f>+'[1]Budget 2025W'!Q1429</f>
        <v>0</v>
      </c>
      <c r="K1003" s="163">
        <f>+'[1]Budget 2025W'!R1429</f>
        <v>0</v>
      </c>
      <c r="L1003" s="163">
        <f>+'[1]Budget 2025W'!S1429</f>
        <v>0</v>
      </c>
      <c r="M1003" s="163">
        <f>+'[1]Budget 2025W'!T1429</f>
        <v>0</v>
      </c>
      <c r="N1003" s="163">
        <f>+'[1]Budget 2025W'!U1429</f>
        <v>0</v>
      </c>
      <c r="O1003" s="163">
        <f>+'[1]Budget 2025W'!V1429</f>
        <v>0</v>
      </c>
      <c r="P1003" s="131"/>
      <c r="Q1003" s="207">
        <f>SUM(D1003:O1003)</f>
        <v>0</v>
      </c>
    </row>
    <row r="1004" spans="3:17" ht="15.75" thickTop="1" x14ac:dyDescent="0.2">
      <c r="F1004" s="221"/>
      <c r="G1004" s="221"/>
      <c r="H1004" s="222"/>
      <c r="I1004" s="222"/>
      <c r="J1004" s="222"/>
      <c r="K1004" s="222"/>
      <c r="L1004" s="222"/>
      <c r="M1004" s="222"/>
      <c r="N1004" s="222"/>
      <c r="O1004" s="222"/>
      <c r="P1004" s="223"/>
      <c r="Q1004" s="221"/>
    </row>
    <row r="1005" spans="3:17" ht="15.75" x14ac:dyDescent="0.25">
      <c r="C1005" s="224" t="s">
        <v>389</v>
      </c>
      <c r="D1005" s="225"/>
      <c r="E1005" s="225"/>
      <c r="F1005" s="226"/>
      <c r="G1005" s="226"/>
      <c r="H1005" s="227"/>
      <c r="I1005" s="227"/>
      <c r="J1005" s="227"/>
      <c r="K1005" s="227"/>
      <c r="L1005" s="227"/>
      <c r="M1005" s="227"/>
      <c r="N1005" s="227"/>
      <c r="O1005" s="227"/>
      <c r="P1005" s="223"/>
      <c r="Q1005" s="226"/>
    </row>
    <row r="1006" spans="3:17" ht="15.75" thickBot="1" x14ac:dyDescent="0.25">
      <c r="C1006" s="153" t="s">
        <v>390</v>
      </c>
      <c r="D1006" s="228">
        <f>+'[1]Budget 2025W'!K1432</f>
        <v>0</v>
      </c>
      <c r="E1006" s="228">
        <f>+'[1]Budget 2025W'!L1432</f>
        <v>0</v>
      </c>
      <c r="F1006" s="229">
        <f>+'[1]Budget 2025W'!M1432</f>
        <v>0</v>
      </c>
      <c r="G1006" s="229">
        <f>+'[1]Budget 2025W'!N1432</f>
        <v>0</v>
      </c>
      <c r="H1006" s="230">
        <f>+'[1]Budget 2025W'!O1432</f>
        <v>0</v>
      </c>
      <c r="I1006" s="230">
        <f>+'[1]Budget 2025W'!P1432</f>
        <v>0</v>
      </c>
      <c r="J1006" s="230">
        <f>+'[1]Budget 2025W'!Q1432</f>
        <v>0</v>
      </c>
      <c r="K1006" s="230">
        <f>+'[1]Budget 2025W'!R1432</f>
        <v>0</v>
      </c>
      <c r="L1006" s="230">
        <f>+'[1]Budget 2025W'!S1432</f>
        <v>0</v>
      </c>
      <c r="M1006" s="230">
        <f>+'[1]Budget 2025W'!T1432</f>
        <v>0</v>
      </c>
      <c r="N1006" s="230">
        <f>+'[1]Budget 2025W'!U1432</f>
        <v>0</v>
      </c>
      <c r="O1006" s="230">
        <f>+'[1]Budget 2025W'!V1432</f>
        <v>0</v>
      </c>
      <c r="P1006" s="223"/>
      <c r="Q1006" s="229">
        <f>SUM(D1006:O1006)</f>
        <v>0</v>
      </c>
    </row>
    <row r="1007" spans="3:17" ht="17.25" thickTop="1" thickBot="1" x14ac:dyDescent="0.3">
      <c r="C1007" s="162" t="s">
        <v>391</v>
      </c>
      <c r="D1007" s="163">
        <f>+'[1]Budget 2025W'!K1434</f>
        <v>0</v>
      </c>
      <c r="E1007" s="163">
        <f>+'[1]Budget 2025W'!L1434</f>
        <v>0</v>
      </c>
      <c r="F1007" s="163">
        <f>+'[1]Budget 2025W'!M1434</f>
        <v>0</v>
      </c>
      <c r="G1007" s="163">
        <f>+'[1]Budget 2025W'!N1434</f>
        <v>0</v>
      </c>
      <c r="H1007" s="163">
        <f>+'[1]Budget 2025W'!O1434</f>
        <v>0</v>
      </c>
      <c r="I1007" s="163">
        <f>+'[1]Budget 2025W'!P1434</f>
        <v>0</v>
      </c>
      <c r="J1007" s="163">
        <f>+'[1]Budget 2025W'!Q1434</f>
        <v>0</v>
      </c>
      <c r="K1007" s="163">
        <f>+'[1]Budget 2025W'!R1434</f>
        <v>0</v>
      </c>
      <c r="L1007" s="163">
        <f>+'[1]Budget 2025W'!S1434</f>
        <v>0</v>
      </c>
      <c r="M1007" s="163">
        <f>+'[1]Budget 2025W'!T1434</f>
        <v>0</v>
      </c>
      <c r="N1007" s="163">
        <f>+'[1]Budget 2025W'!U1434</f>
        <v>0</v>
      </c>
      <c r="O1007" s="163">
        <f>+'[1]Budget 2025W'!V1434</f>
        <v>0</v>
      </c>
      <c r="P1007" s="131"/>
      <c r="Q1007" s="207">
        <f>SUM(D1007:O1007)</f>
        <v>0</v>
      </c>
    </row>
    <row r="1008" spans="3:17" ht="15.75" thickTop="1" x14ac:dyDescent="0.2">
      <c r="F1008" s="221"/>
      <c r="G1008" s="221"/>
      <c r="H1008" s="222"/>
      <c r="I1008" s="222"/>
      <c r="J1008" s="222"/>
      <c r="K1008" s="222"/>
      <c r="L1008" s="222"/>
      <c r="M1008" s="222"/>
      <c r="N1008" s="222"/>
      <c r="O1008" s="222"/>
      <c r="P1008" s="223"/>
      <c r="Q1008" s="221"/>
    </row>
    <row r="1009" spans="6:17" x14ac:dyDescent="0.2">
      <c r="F1009" s="231"/>
      <c r="G1009" s="231"/>
      <c r="H1009" s="232"/>
      <c r="I1009" s="232"/>
      <c r="J1009" s="232"/>
      <c r="K1009" s="232"/>
      <c r="L1009" s="232"/>
      <c r="M1009" s="232"/>
      <c r="N1009" s="232"/>
      <c r="O1009" s="232"/>
      <c r="P1009" s="233"/>
      <c r="Q1009" s="231"/>
    </row>
    <row r="1010" spans="6:17" x14ac:dyDescent="0.2">
      <c r="F1010" s="231"/>
      <c r="G1010" s="231"/>
      <c r="H1010" s="232"/>
      <c r="I1010" s="232"/>
      <c r="J1010" s="232"/>
      <c r="K1010" s="232"/>
      <c r="L1010" s="232"/>
      <c r="M1010" s="232"/>
      <c r="N1010" s="232"/>
      <c r="O1010" s="232"/>
      <c r="P1010" s="233"/>
      <c r="Q1010" s="231"/>
    </row>
    <row r="1011" spans="6:17" x14ac:dyDescent="0.2">
      <c r="F1011" s="231"/>
      <c r="G1011" s="231"/>
      <c r="H1011" s="232"/>
      <c r="I1011" s="232"/>
      <c r="J1011" s="232"/>
      <c r="K1011" s="232"/>
      <c r="L1011" s="232"/>
      <c r="M1011" s="232"/>
      <c r="N1011" s="232"/>
      <c r="O1011" s="232"/>
      <c r="P1011" s="233"/>
      <c r="Q1011" s="231"/>
    </row>
    <row r="1012" spans="6:17" x14ac:dyDescent="0.2">
      <c r="F1012" s="231"/>
      <c r="G1012" s="231"/>
      <c r="H1012" s="232"/>
      <c r="I1012" s="232"/>
      <c r="J1012" s="232"/>
      <c r="K1012" s="232"/>
      <c r="L1012" s="232"/>
      <c r="M1012" s="232"/>
      <c r="N1012" s="232"/>
      <c r="O1012" s="232"/>
      <c r="P1012" s="233"/>
      <c r="Q1012" s="231"/>
    </row>
    <row r="1013" spans="6:17" x14ac:dyDescent="0.2">
      <c r="F1013" s="231"/>
      <c r="G1013" s="231"/>
      <c r="H1013" s="232"/>
      <c r="I1013" s="232"/>
      <c r="J1013" s="232"/>
      <c r="K1013" s="232"/>
      <c r="L1013" s="232"/>
      <c r="M1013" s="232"/>
      <c r="N1013" s="232"/>
      <c r="O1013" s="232"/>
      <c r="P1013" s="233"/>
      <c r="Q1013" s="231"/>
    </row>
    <row r="1014" spans="6:17" x14ac:dyDescent="0.2">
      <c r="F1014" s="231"/>
      <c r="G1014" s="231"/>
      <c r="H1014" s="232"/>
      <c r="I1014" s="232"/>
      <c r="J1014" s="232"/>
      <c r="K1014" s="232"/>
      <c r="L1014" s="232"/>
      <c r="M1014" s="232"/>
      <c r="N1014" s="232"/>
      <c r="O1014" s="232"/>
      <c r="P1014" s="233"/>
      <c r="Q1014" s="231"/>
    </row>
    <row r="1015" spans="6:17" x14ac:dyDescent="0.2">
      <c r="F1015" s="231"/>
      <c r="G1015" s="231"/>
      <c r="H1015" s="232"/>
      <c r="I1015" s="232"/>
      <c r="J1015" s="232"/>
      <c r="K1015" s="232"/>
      <c r="L1015" s="232"/>
      <c r="M1015" s="232"/>
      <c r="N1015" s="232"/>
      <c r="O1015" s="232"/>
      <c r="P1015" s="233"/>
      <c r="Q1015" s="231"/>
    </row>
    <row r="1016" spans="6:17" x14ac:dyDescent="0.2">
      <c r="F1016" s="231"/>
      <c r="G1016" s="231"/>
      <c r="H1016" s="232"/>
      <c r="I1016" s="232"/>
      <c r="J1016" s="232"/>
      <c r="K1016" s="232"/>
      <c r="L1016" s="232"/>
      <c r="M1016" s="232"/>
      <c r="N1016" s="232"/>
      <c r="O1016" s="232"/>
      <c r="P1016" s="233"/>
      <c r="Q1016" s="231"/>
    </row>
    <row r="1017" spans="6:17" x14ac:dyDescent="0.2">
      <c r="F1017" s="231"/>
      <c r="G1017" s="231"/>
      <c r="H1017" s="232"/>
      <c r="I1017" s="232"/>
      <c r="J1017" s="232"/>
      <c r="K1017" s="232"/>
      <c r="L1017" s="232"/>
      <c r="M1017" s="232"/>
      <c r="N1017" s="232"/>
      <c r="O1017" s="232"/>
      <c r="P1017" s="233"/>
      <c r="Q1017" s="231"/>
    </row>
    <row r="1018" spans="6:17" x14ac:dyDescent="0.2">
      <c r="F1018" s="231"/>
      <c r="G1018" s="231"/>
      <c r="H1018" s="232"/>
      <c r="I1018" s="232"/>
      <c r="J1018" s="232"/>
      <c r="K1018" s="232"/>
      <c r="L1018" s="232"/>
      <c r="M1018" s="232"/>
      <c r="N1018" s="232"/>
      <c r="O1018" s="232"/>
      <c r="P1018" s="233"/>
      <c r="Q1018" s="231"/>
    </row>
    <row r="1019" spans="6:17" x14ac:dyDescent="0.2">
      <c r="F1019" s="231"/>
      <c r="G1019" s="231"/>
      <c r="H1019" s="232"/>
      <c r="I1019" s="232"/>
      <c r="J1019" s="232"/>
      <c r="K1019" s="232"/>
      <c r="L1019" s="232"/>
      <c r="M1019" s="232"/>
      <c r="N1019" s="232"/>
      <c r="O1019" s="232"/>
      <c r="P1019" s="233"/>
      <c r="Q1019" s="231"/>
    </row>
    <row r="1020" spans="6:17" x14ac:dyDescent="0.2">
      <c r="F1020" s="231"/>
      <c r="G1020" s="231"/>
      <c r="H1020" s="232"/>
      <c r="I1020" s="232"/>
      <c r="J1020" s="232"/>
      <c r="K1020" s="232"/>
      <c r="L1020" s="232"/>
      <c r="M1020" s="232"/>
      <c r="N1020" s="232"/>
      <c r="O1020" s="232"/>
      <c r="P1020" s="233"/>
      <c r="Q1020" s="231"/>
    </row>
    <row r="1021" spans="6:17" x14ac:dyDescent="0.2">
      <c r="F1021" s="231"/>
      <c r="G1021" s="231"/>
      <c r="H1021" s="232"/>
      <c r="I1021" s="232"/>
      <c r="J1021" s="232"/>
      <c r="K1021" s="232"/>
      <c r="L1021" s="232"/>
      <c r="M1021" s="232"/>
      <c r="N1021" s="232"/>
      <c r="O1021" s="232"/>
      <c r="P1021" s="233"/>
      <c r="Q1021" s="231"/>
    </row>
    <row r="1022" spans="6:17" x14ac:dyDescent="0.2">
      <c r="F1022" s="231"/>
      <c r="G1022" s="231"/>
      <c r="H1022" s="232"/>
      <c r="I1022" s="232"/>
      <c r="J1022" s="232"/>
      <c r="K1022" s="232"/>
      <c r="L1022" s="232"/>
      <c r="M1022" s="232"/>
      <c r="N1022" s="232"/>
      <c r="O1022" s="232"/>
      <c r="P1022" s="233"/>
      <c r="Q1022" s="231"/>
    </row>
    <row r="1023" spans="6:17" x14ac:dyDescent="0.2">
      <c r="F1023" s="231"/>
      <c r="G1023" s="231"/>
      <c r="H1023" s="232"/>
      <c r="I1023" s="232"/>
      <c r="J1023" s="232"/>
      <c r="K1023" s="232"/>
      <c r="L1023" s="232"/>
      <c r="M1023" s="232"/>
      <c r="N1023" s="232"/>
      <c r="O1023" s="232"/>
      <c r="P1023" s="233"/>
      <c r="Q1023" s="231"/>
    </row>
    <row r="1024" spans="6:17" x14ac:dyDescent="0.2">
      <c r="F1024" s="231"/>
      <c r="G1024" s="231"/>
      <c r="H1024" s="232"/>
      <c r="I1024" s="232"/>
      <c r="J1024" s="232"/>
      <c r="K1024" s="232"/>
      <c r="L1024" s="232"/>
      <c r="M1024" s="232"/>
      <c r="N1024" s="232"/>
      <c r="O1024" s="232"/>
      <c r="P1024" s="233"/>
      <c r="Q1024" s="231"/>
    </row>
    <row r="1025" spans="6:17" x14ac:dyDescent="0.2">
      <c r="F1025" s="231"/>
      <c r="G1025" s="231"/>
      <c r="H1025" s="232"/>
      <c r="I1025" s="232"/>
      <c r="J1025" s="232"/>
      <c r="K1025" s="232"/>
      <c r="L1025" s="232"/>
      <c r="M1025" s="232"/>
      <c r="N1025" s="232"/>
      <c r="O1025" s="232"/>
      <c r="P1025" s="233"/>
      <c r="Q1025" s="231"/>
    </row>
    <row r="1026" spans="6:17" x14ac:dyDescent="0.2">
      <c r="F1026" s="231"/>
      <c r="G1026" s="231"/>
      <c r="H1026" s="232"/>
      <c r="I1026" s="232"/>
      <c r="J1026" s="232"/>
      <c r="K1026" s="232"/>
      <c r="L1026" s="232"/>
      <c r="M1026" s="232"/>
      <c r="N1026" s="232"/>
      <c r="O1026" s="232"/>
      <c r="P1026" s="233"/>
      <c r="Q1026" s="231"/>
    </row>
    <row r="1027" spans="6:17" x14ac:dyDescent="0.2">
      <c r="F1027" s="231"/>
      <c r="G1027" s="231"/>
      <c r="H1027" s="232"/>
      <c r="I1027" s="232"/>
      <c r="J1027" s="232"/>
      <c r="K1027" s="232"/>
      <c r="L1027" s="232"/>
      <c r="M1027" s="232"/>
      <c r="N1027" s="232"/>
      <c r="O1027" s="232"/>
      <c r="P1027" s="233"/>
      <c r="Q1027" s="231"/>
    </row>
    <row r="1028" spans="6:17" x14ac:dyDescent="0.2">
      <c r="F1028" s="231"/>
      <c r="G1028" s="231"/>
      <c r="H1028" s="232"/>
      <c r="I1028" s="232"/>
      <c r="J1028" s="232"/>
      <c r="K1028" s="232"/>
      <c r="L1028" s="232"/>
      <c r="M1028" s="232"/>
      <c r="N1028" s="232"/>
      <c r="O1028" s="232"/>
      <c r="P1028" s="233"/>
      <c r="Q1028" s="231"/>
    </row>
    <row r="1029" spans="6:17" x14ac:dyDescent="0.2">
      <c r="F1029" s="231"/>
      <c r="G1029" s="231"/>
      <c r="H1029" s="232"/>
      <c r="I1029" s="232"/>
      <c r="J1029" s="232"/>
      <c r="K1029" s="232"/>
      <c r="L1029" s="232"/>
      <c r="M1029" s="232"/>
      <c r="N1029" s="232"/>
      <c r="O1029" s="232"/>
      <c r="P1029" s="233"/>
      <c r="Q1029" s="231"/>
    </row>
    <row r="1030" spans="6:17" x14ac:dyDescent="0.2">
      <c r="F1030" s="231"/>
      <c r="G1030" s="231"/>
      <c r="H1030" s="232"/>
      <c r="I1030" s="232"/>
      <c r="J1030" s="232"/>
      <c r="K1030" s="232"/>
      <c r="L1030" s="232"/>
      <c r="M1030" s="232"/>
      <c r="N1030" s="232"/>
      <c r="O1030" s="232"/>
      <c r="P1030" s="233"/>
      <c r="Q1030" s="231"/>
    </row>
    <row r="1031" spans="6:17" x14ac:dyDescent="0.2">
      <c r="F1031" s="231"/>
      <c r="G1031" s="231"/>
      <c r="H1031" s="232"/>
      <c r="I1031" s="232"/>
      <c r="J1031" s="232"/>
      <c r="K1031" s="232"/>
      <c r="L1031" s="232"/>
      <c r="M1031" s="232"/>
      <c r="N1031" s="232"/>
      <c r="O1031" s="232"/>
      <c r="P1031" s="233"/>
      <c r="Q1031" s="231"/>
    </row>
    <row r="1032" spans="6:17" x14ac:dyDescent="0.2">
      <c r="F1032" s="231"/>
      <c r="G1032" s="231"/>
      <c r="H1032" s="232"/>
      <c r="I1032" s="232"/>
      <c r="J1032" s="232"/>
      <c r="K1032" s="232"/>
      <c r="L1032" s="232"/>
      <c r="M1032" s="232"/>
      <c r="N1032" s="232"/>
      <c r="O1032" s="232"/>
      <c r="P1032" s="233"/>
      <c r="Q1032" s="231"/>
    </row>
    <row r="1033" spans="6:17" x14ac:dyDescent="0.2">
      <c r="F1033" s="231"/>
      <c r="G1033" s="231"/>
      <c r="H1033" s="232"/>
      <c r="I1033" s="232"/>
      <c r="J1033" s="232"/>
      <c r="K1033" s="232"/>
      <c r="L1033" s="232"/>
      <c r="M1033" s="232"/>
      <c r="N1033" s="232"/>
      <c r="O1033" s="232"/>
      <c r="P1033" s="233"/>
      <c r="Q1033" s="231"/>
    </row>
    <row r="1034" spans="6:17" x14ac:dyDescent="0.2">
      <c r="F1034" s="231"/>
      <c r="G1034" s="231"/>
      <c r="H1034" s="232"/>
      <c r="I1034" s="232"/>
      <c r="J1034" s="232"/>
      <c r="K1034" s="232"/>
      <c r="L1034" s="232"/>
      <c r="M1034" s="232"/>
      <c r="N1034" s="232"/>
      <c r="O1034" s="232"/>
      <c r="P1034" s="233"/>
      <c r="Q1034" s="231"/>
    </row>
    <row r="1035" spans="6:17" x14ac:dyDescent="0.2">
      <c r="F1035" s="231"/>
      <c r="G1035" s="231"/>
      <c r="H1035" s="232"/>
      <c r="I1035" s="232"/>
      <c r="J1035" s="232"/>
      <c r="K1035" s="232"/>
      <c r="L1035" s="232"/>
      <c r="M1035" s="232"/>
      <c r="N1035" s="232"/>
      <c r="O1035" s="232"/>
      <c r="P1035" s="233"/>
      <c r="Q1035" s="231"/>
    </row>
    <row r="1036" spans="6:17" x14ac:dyDescent="0.2">
      <c r="F1036" s="231"/>
      <c r="G1036" s="231"/>
      <c r="H1036" s="232"/>
      <c r="I1036" s="232"/>
      <c r="J1036" s="232"/>
      <c r="K1036" s="232"/>
      <c r="L1036" s="232"/>
      <c r="M1036" s="232"/>
      <c r="N1036" s="232"/>
      <c r="O1036" s="232"/>
      <c r="P1036" s="233"/>
      <c r="Q1036" s="231"/>
    </row>
    <row r="1037" spans="6:17" x14ac:dyDescent="0.2">
      <c r="F1037" s="231"/>
      <c r="G1037" s="231"/>
      <c r="H1037" s="232"/>
      <c r="I1037" s="232"/>
      <c r="J1037" s="232"/>
      <c r="K1037" s="232"/>
      <c r="L1037" s="232"/>
      <c r="M1037" s="232"/>
      <c r="N1037" s="232"/>
      <c r="O1037" s="232"/>
      <c r="P1037" s="233"/>
      <c r="Q1037" s="231"/>
    </row>
    <row r="1038" spans="6:17" x14ac:dyDescent="0.2">
      <c r="F1038" s="231"/>
      <c r="G1038" s="231"/>
      <c r="H1038" s="232"/>
      <c r="I1038" s="232"/>
      <c r="J1038" s="232"/>
      <c r="K1038" s="232"/>
      <c r="L1038" s="232"/>
      <c r="M1038" s="232"/>
      <c r="N1038" s="232"/>
      <c r="O1038" s="232"/>
      <c r="P1038" s="233"/>
      <c r="Q1038" s="231"/>
    </row>
    <row r="1039" spans="6:17" x14ac:dyDescent="0.2">
      <c r="F1039" s="231"/>
      <c r="G1039" s="231"/>
      <c r="H1039" s="232"/>
      <c r="I1039" s="232"/>
      <c r="J1039" s="232"/>
      <c r="K1039" s="232"/>
      <c r="L1039" s="232"/>
      <c r="M1039" s="232"/>
      <c r="N1039" s="232"/>
      <c r="O1039" s="232"/>
      <c r="P1039" s="233"/>
      <c r="Q1039" s="231"/>
    </row>
    <row r="1040" spans="6:17" x14ac:dyDescent="0.2">
      <c r="F1040" s="231"/>
      <c r="G1040" s="231"/>
      <c r="H1040" s="232"/>
      <c r="I1040" s="232"/>
      <c r="J1040" s="232"/>
      <c r="K1040" s="232"/>
      <c r="L1040" s="232"/>
      <c r="M1040" s="232"/>
      <c r="N1040" s="232"/>
      <c r="O1040" s="232"/>
      <c r="P1040" s="233"/>
      <c r="Q1040" s="231"/>
    </row>
    <row r="1041" spans="6:17" x14ac:dyDescent="0.2">
      <c r="F1041" s="231"/>
      <c r="G1041" s="231"/>
      <c r="H1041" s="232"/>
      <c r="I1041" s="232"/>
      <c r="J1041" s="232"/>
      <c r="K1041" s="232"/>
      <c r="L1041" s="232"/>
      <c r="M1041" s="232"/>
      <c r="N1041" s="232"/>
      <c r="O1041" s="232"/>
      <c r="P1041" s="233"/>
      <c r="Q1041" s="231"/>
    </row>
    <row r="1042" spans="6:17" x14ac:dyDescent="0.2">
      <c r="F1042" s="231"/>
      <c r="G1042" s="231"/>
      <c r="H1042" s="232"/>
      <c r="I1042" s="232"/>
      <c r="J1042" s="232"/>
      <c r="K1042" s="232"/>
      <c r="L1042" s="232"/>
      <c r="M1042" s="232"/>
      <c r="N1042" s="232"/>
      <c r="O1042" s="232"/>
      <c r="P1042" s="233"/>
      <c r="Q1042" s="231"/>
    </row>
    <row r="1043" spans="6:17" x14ac:dyDescent="0.2">
      <c r="F1043" s="231"/>
      <c r="G1043" s="231"/>
      <c r="H1043" s="232"/>
      <c r="I1043" s="232"/>
      <c r="J1043" s="232"/>
      <c r="K1043" s="232"/>
      <c r="L1043" s="232"/>
      <c r="M1043" s="232"/>
      <c r="N1043" s="232"/>
      <c r="O1043" s="232"/>
      <c r="P1043" s="233"/>
      <c r="Q1043" s="231"/>
    </row>
    <row r="1044" spans="6:17" x14ac:dyDescent="0.2">
      <c r="F1044" s="231"/>
      <c r="G1044" s="231"/>
      <c r="H1044" s="232"/>
      <c r="I1044" s="232"/>
      <c r="J1044" s="232"/>
      <c r="K1044" s="232"/>
      <c r="L1044" s="232"/>
      <c r="M1044" s="232"/>
      <c r="N1044" s="232"/>
      <c r="O1044" s="232"/>
      <c r="P1044" s="233"/>
      <c r="Q1044" s="231"/>
    </row>
    <row r="1045" spans="6:17" x14ac:dyDescent="0.2">
      <c r="F1045" s="231"/>
      <c r="G1045" s="231"/>
      <c r="H1045" s="232"/>
      <c r="I1045" s="232"/>
      <c r="J1045" s="232"/>
      <c r="K1045" s="232"/>
      <c r="L1045" s="232"/>
      <c r="M1045" s="232"/>
      <c r="N1045" s="232"/>
      <c r="O1045" s="232"/>
      <c r="P1045" s="233"/>
      <c r="Q1045" s="231"/>
    </row>
    <row r="1046" spans="6:17" x14ac:dyDescent="0.2">
      <c r="F1046" s="231"/>
      <c r="G1046" s="231"/>
      <c r="H1046" s="232"/>
      <c r="I1046" s="232"/>
      <c r="J1046" s="232"/>
      <c r="K1046" s="232"/>
      <c r="L1046" s="232"/>
      <c r="M1046" s="232"/>
      <c r="N1046" s="232"/>
      <c r="O1046" s="232"/>
      <c r="P1046" s="233"/>
      <c r="Q1046" s="231"/>
    </row>
    <row r="1047" spans="6:17" x14ac:dyDescent="0.2"/>
    <row r="1048" spans="6:17" x14ac:dyDescent="0.2"/>
    <row r="1049" spans="6:17" x14ac:dyDescent="0.2"/>
    <row r="1050" spans="6:17" x14ac:dyDescent="0.2"/>
  </sheetData>
  <mergeCells count="1">
    <mergeCell ref="C2:Q2"/>
  </mergeCells>
  <dataValidations count="2">
    <dataValidation type="list" allowBlank="1" showInputMessage="1" showErrorMessage="1" sqref="D18:P18" xr:uid="{B06993C2-E983-40DD-AED5-80F4E35D6B85}">
      <formula1>$HB$29:$HB$42</formula1>
    </dataValidation>
    <dataValidation type="list" allowBlank="1" showInputMessage="1" showErrorMessage="1" sqref="D1" xr:uid="{CD671458-4A65-4133-B14F-B03D38E14393}">
      <formula1>$D$18:$O$18</formula1>
    </dataValidation>
  </dataValidations>
  <printOptions horizontalCentered="1" verticalCentered="1"/>
  <pageMargins left="0.5" right="0.5" top="0.5" bottom="0.5" header="0" footer="0"/>
  <pageSetup paperSize="5" scale="38" fitToWidth="2" fitToHeight="2" orientation="landscape" r:id="rId1"/>
  <headerFooter>
    <oddHeader>Page &amp;P of &amp;N</oddHeader>
  </headerFooter>
  <rowBreaks count="10" manualBreakCount="10">
    <brk id="65" min="2" max="16" man="1"/>
    <brk id="140" min="2" max="16" man="1"/>
    <brk id="230" min="2" max="16" man="1"/>
    <brk id="444" min="2" max="16" man="1"/>
    <brk id="596" min="2" max="16" man="1"/>
    <brk id="662" min="2" max="16" man="1"/>
    <brk id="721" min="2" max="16" man="1"/>
    <brk id="773" min="2" max="16" man="1"/>
    <brk id="899" min="2" max="16" man="1"/>
    <brk id="970" min="2" max="1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P&amp;L Full Detail</vt:lpstr>
      <vt:lpstr>'P&amp;L Full Detail'!Print_Area</vt:lpstr>
      <vt:lpstr>'P&amp;L Full Detail'!Print_Titles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2026-08-12T01:53:14Z</dcterms:created>
  <dcterms:modified xsi:type="dcterms:W3CDTF">2026-08-12T04:09:48Z</dcterms:modified>
</cp:coreProperties>
</file>