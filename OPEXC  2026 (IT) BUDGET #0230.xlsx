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nco\Downloads\"/>
    </mc:Choice>
  </mc:AlternateContent>
  <xr:revisionPtr revIDLastSave="0" documentId="13_ncr:1_{CCD98A8B-E236-4858-A45F-7E24B8E00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" sheetId="1" r:id="rId1"/>
    <sheet name="cuenta Usali" sheetId="2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P0x01RYORryQMFddxukEosXCKXHWbZp9DUJmRGDp/E="/>
    </ext>
  </extLst>
</workbook>
</file>

<file path=xl/calcChain.xml><?xml version="1.0" encoding="utf-8"?>
<calcChain xmlns="http://schemas.openxmlformats.org/spreadsheetml/2006/main">
  <c r="S104" i="1" l="1"/>
  <c r="R104" i="1"/>
  <c r="Q104" i="1"/>
  <c r="P104" i="1"/>
  <c r="O104" i="1"/>
  <c r="N104" i="1"/>
  <c r="M104" i="1"/>
  <c r="L104" i="1"/>
  <c r="K104" i="1"/>
  <c r="J104" i="1"/>
  <c r="I104" i="1"/>
  <c r="H104" i="1"/>
  <c r="G104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R47" i="1"/>
  <c r="Q47" i="1"/>
  <c r="P47" i="1"/>
  <c r="O47" i="1"/>
  <c r="N47" i="1"/>
  <c r="M47" i="1"/>
  <c r="L47" i="1"/>
  <c r="K47" i="1"/>
  <c r="J47" i="1"/>
  <c r="I47" i="1"/>
  <c r="H47" i="1"/>
  <c r="G47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H532" i="1"/>
  <c r="I532" i="1"/>
  <c r="J532" i="1"/>
  <c r="K532" i="1"/>
  <c r="L532" i="1"/>
  <c r="M532" i="1"/>
  <c r="N532" i="1"/>
  <c r="O532" i="1"/>
  <c r="P532" i="1"/>
  <c r="Q532" i="1"/>
  <c r="R53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H281" i="1" l="1"/>
  <c r="I281" i="1"/>
  <c r="J281" i="1"/>
  <c r="K281" i="1"/>
  <c r="L281" i="1"/>
  <c r="M281" i="1"/>
  <c r="N281" i="1"/>
  <c r="O281" i="1"/>
  <c r="P281" i="1"/>
  <c r="Q281" i="1"/>
  <c r="R281" i="1"/>
  <c r="G281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S685" i="1"/>
  <c r="S684" i="1"/>
  <c r="S683" i="1"/>
  <c r="S682" i="1"/>
  <c r="S681" i="1"/>
  <c r="S680" i="1"/>
  <c r="S679" i="1"/>
  <c r="S678" i="1"/>
  <c r="S677" i="1"/>
  <c r="S676" i="1"/>
  <c r="S675" i="1"/>
  <c r="S672" i="1"/>
  <c r="S671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S667" i="1"/>
  <c r="S666" i="1"/>
  <c r="S665" i="1"/>
  <c r="S664" i="1"/>
  <c r="S663" i="1"/>
  <c r="S662" i="1"/>
  <c r="S661" i="1"/>
  <c r="S660" i="1"/>
  <c r="S659" i="1"/>
  <c r="S658" i="1"/>
  <c r="S657" i="1"/>
  <c r="S653" i="1"/>
  <c r="S652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S647" i="1"/>
  <c r="S646" i="1"/>
  <c r="S645" i="1"/>
  <c r="S644" i="1"/>
  <c r="S643" i="1"/>
  <c r="S642" i="1"/>
  <c r="S641" i="1"/>
  <c r="S640" i="1"/>
  <c r="S639" i="1"/>
  <c r="S638" i="1"/>
  <c r="S637" i="1"/>
  <c r="S634" i="1"/>
  <c r="S633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S628" i="1"/>
  <c r="S627" i="1"/>
  <c r="S626" i="1"/>
  <c r="S625" i="1"/>
  <c r="S624" i="1"/>
  <c r="S623" i="1"/>
  <c r="S622" i="1"/>
  <c r="S621" i="1"/>
  <c r="S620" i="1"/>
  <c r="S619" i="1"/>
  <c r="S618" i="1"/>
  <c r="S614" i="1"/>
  <c r="S613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S608" i="1"/>
  <c r="S607" i="1"/>
  <c r="S606" i="1"/>
  <c r="S605" i="1"/>
  <c r="S604" i="1"/>
  <c r="S603" i="1"/>
  <c r="S602" i="1"/>
  <c r="S601" i="1"/>
  <c r="S600" i="1"/>
  <c r="S599" i="1"/>
  <c r="S598" i="1"/>
  <c r="S595" i="1"/>
  <c r="S594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S590" i="1"/>
  <c r="S589" i="1"/>
  <c r="S588" i="1"/>
  <c r="S587" i="1"/>
  <c r="S586" i="1"/>
  <c r="S585" i="1"/>
  <c r="S584" i="1"/>
  <c r="S583" i="1"/>
  <c r="S582" i="1"/>
  <c r="S581" i="1"/>
  <c r="S580" i="1"/>
  <c r="S574" i="1"/>
  <c r="S573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S569" i="1"/>
  <c r="S568" i="1"/>
  <c r="S567" i="1"/>
  <c r="S566" i="1"/>
  <c r="S565" i="1"/>
  <c r="S564" i="1"/>
  <c r="S563" i="1"/>
  <c r="S562" i="1"/>
  <c r="S561" i="1"/>
  <c r="S560" i="1"/>
  <c r="S559" i="1"/>
  <c r="S554" i="1"/>
  <c r="S553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S549" i="1"/>
  <c r="S548" i="1"/>
  <c r="S547" i="1"/>
  <c r="S546" i="1"/>
  <c r="S545" i="1"/>
  <c r="S544" i="1"/>
  <c r="S543" i="1"/>
  <c r="S542" i="1"/>
  <c r="S541" i="1"/>
  <c r="S540" i="1"/>
  <c r="S539" i="1"/>
  <c r="S536" i="1"/>
  <c r="S535" i="1"/>
  <c r="G532" i="1"/>
  <c r="S531" i="1"/>
  <c r="S530" i="1"/>
  <c r="S529" i="1"/>
  <c r="S528" i="1"/>
  <c r="S527" i="1"/>
  <c r="S526" i="1"/>
  <c r="S525" i="1"/>
  <c r="S524" i="1"/>
  <c r="S523" i="1"/>
  <c r="S522" i="1"/>
  <c r="S521" i="1"/>
  <c r="S517" i="1"/>
  <c r="S516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S512" i="1"/>
  <c r="S511" i="1"/>
  <c r="S510" i="1"/>
  <c r="S509" i="1"/>
  <c r="S508" i="1"/>
  <c r="S507" i="1"/>
  <c r="S506" i="1"/>
  <c r="S505" i="1"/>
  <c r="S504" i="1"/>
  <c r="S503" i="1"/>
  <c r="S502" i="1"/>
  <c r="S498" i="1"/>
  <c r="S497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S493" i="1"/>
  <c r="S492" i="1"/>
  <c r="S491" i="1"/>
  <c r="S490" i="1"/>
  <c r="S489" i="1"/>
  <c r="S488" i="1"/>
  <c r="S487" i="1"/>
  <c r="S486" i="1"/>
  <c r="S485" i="1"/>
  <c r="S484" i="1"/>
  <c r="S483" i="1"/>
  <c r="S478" i="1"/>
  <c r="S477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S473" i="1"/>
  <c r="S472" i="1"/>
  <c r="S471" i="1"/>
  <c r="S470" i="1"/>
  <c r="S469" i="1"/>
  <c r="S468" i="1"/>
  <c r="S467" i="1"/>
  <c r="S466" i="1"/>
  <c r="S465" i="1"/>
  <c r="S464" i="1"/>
  <c r="S463" i="1"/>
  <c r="S460" i="1"/>
  <c r="S459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S455" i="1"/>
  <c r="S454" i="1"/>
  <c r="S453" i="1"/>
  <c r="S452" i="1"/>
  <c r="S451" i="1"/>
  <c r="S450" i="1"/>
  <c r="S449" i="1"/>
  <c r="S448" i="1"/>
  <c r="S447" i="1"/>
  <c r="S446" i="1"/>
  <c r="S445" i="1"/>
  <c r="S441" i="1"/>
  <c r="S440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S436" i="1"/>
  <c r="S435" i="1"/>
  <c r="S434" i="1"/>
  <c r="S433" i="1"/>
  <c r="S432" i="1"/>
  <c r="S431" i="1"/>
  <c r="S430" i="1"/>
  <c r="S429" i="1"/>
  <c r="S428" i="1"/>
  <c r="S427" i="1"/>
  <c r="S426" i="1"/>
  <c r="S422" i="1"/>
  <c r="S421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S417" i="1"/>
  <c r="S416" i="1"/>
  <c r="S415" i="1"/>
  <c r="S414" i="1"/>
  <c r="S413" i="1"/>
  <c r="S412" i="1"/>
  <c r="S411" i="1"/>
  <c r="S410" i="1"/>
  <c r="S409" i="1"/>
  <c r="S408" i="1"/>
  <c r="S407" i="1"/>
  <c r="S403" i="1"/>
  <c r="S402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S397" i="1"/>
  <c r="S396" i="1"/>
  <c r="S395" i="1"/>
  <c r="S394" i="1"/>
  <c r="S393" i="1"/>
  <c r="S392" i="1"/>
  <c r="S391" i="1"/>
  <c r="S390" i="1"/>
  <c r="S389" i="1"/>
  <c r="S388" i="1"/>
  <c r="S387" i="1"/>
  <c r="S382" i="1"/>
  <c r="S381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S377" i="1"/>
  <c r="S376" i="1"/>
  <c r="S375" i="1"/>
  <c r="S374" i="1"/>
  <c r="S373" i="1"/>
  <c r="S372" i="1"/>
  <c r="S371" i="1"/>
  <c r="S370" i="1"/>
  <c r="S369" i="1"/>
  <c r="S368" i="1"/>
  <c r="S367" i="1"/>
  <c r="S363" i="1"/>
  <c r="S362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S358" i="1"/>
  <c r="S357" i="1"/>
  <c r="S356" i="1"/>
  <c r="S355" i="1"/>
  <c r="S354" i="1"/>
  <c r="S353" i="1"/>
  <c r="S352" i="1"/>
  <c r="S351" i="1"/>
  <c r="S350" i="1"/>
  <c r="S349" i="1"/>
  <c r="S348" i="1"/>
  <c r="S344" i="1"/>
  <c r="S343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S339" i="1"/>
  <c r="S338" i="1"/>
  <c r="S337" i="1"/>
  <c r="S336" i="1"/>
  <c r="S335" i="1"/>
  <c r="S334" i="1"/>
  <c r="S333" i="1"/>
  <c r="S332" i="1"/>
  <c r="S331" i="1"/>
  <c r="S330" i="1"/>
  <c r="S329" i="1"/>
  <c r="S324" i="1"/>
  <c r="S323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S319" i="1"/>
  <c r="S318" i="1"/>
  <c r="S317" i="1"/>
  <c r="S316" i="1"/>
  <c r="S315" i="1"/>
  <c r="S314" i="1"/>
  <c r="S313" i="1"/>
  <c r="S312" i="1"/>
  <c r="S311" i="1"/>
  <c r="S310" i="1"/>
  <c r="S309" i="1"/>
  <c r="S304" i="1"/>
  <c r="S303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S299" i="1"/>
  <c r="S298" i="1"/>
  <c r="S297" i="1"/>
  <c r="S296" i="1"/>
  <c r="S295" i="1"/>
  <c r="S294" i="1"/>
  <c r="S293" i="1"/>
  <c r="S292" i="1"/>
  <c r="S291" i="1"/>
  <c r="S290" i="1"/>
  <c r="S289" i="1"/>
  <c r="S285" i="1"/>
  <c r="S284" i="1"/>
  <c r="S280" i="1"/>
  <c r="S279" i="1"/>
  <c r="S278" i="1"/>
  <c r="S277" i="1"/>
  <c r="S276" i="1"/>
  <c r="S275" i="1"/>
  <c r="S274" i="1"/>
  <c r="S273" i="1"/>
  <c r="S272" i="1"/>
  <c r="S271" i="1"/>
  <c r="S270" i="1"/>
  <c r="S281" i="1" s="1"/>
  <c r="S266" i="1"/>
  <c r="S265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S260" i="1"/>
  <c r="S259" i="1"/>
  <c r="S258" i="1"/>
  <c r="S257" i="1"/>
  <c r="S256" i="1"/>
  <c r="S255" i="1"/>
  <c r="S254" i="1"/>
  <c r="S253" i="1"/>
  <c r="S252" i="1"/>
  <c r="S251" i="1"/>
  <c r="S250" i="1"/>
  <c r="S244" i="1"/>
  <c r="S243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S239" i="1"/>
  <c r="S238" i="1"/>
  <c r="S237" i="1"/>
  <c r="S236" i="1"/>
  <c r="S235" i="1"/>
  <c r="S234" i="1"/>
  <c r="S233" i="1"/>
  <c r="S232" i="1"/>
  <c r="S231" i="1"/>
  <c r="S230" i="1"/>
  <c r="S229" i="1"/>
  <c r="S223" i="1"/>
  <c r="S222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G8" i="1" s="1"/>
  <c r="G3" i="1" s="1"/>
  <c r="S218" i="1"/>
  <c r="S217" i="1"/>
  <c r="S216" i="1"/>
  <c r="S215" i="1"/>
  <c r="S214" i="1"/>
  <c r="S213" i="1"/>
  <c r="S212" i="1"/>
  <c r="S211" i="1"/>
  <c r="S210" i="1"/>
  <c r="S209" i="1"/>
  <c r="S208" i="1"/>
  <c r="S205" i="1"/>
  <c r="S204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S200" i="1"/>
  <c r="S199" i="1"/>
  <c r="S198" i="1"/>
  <c r="S197" i="1"/>
  <c r="S196" i="1"/>
  <c r="S195" i="1"/>
  <c r="S194" i="1"/>
  <c r="S193" i="1"/>
  <c r="S192" i="1"/>
  <c r="S191" i="1"/>
  <c r="S190" i="1"/>
  <c r="S184" i="1"/>
  <c r="S183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S179" i="1"/>
  <c r="S178" i="1"/>
  <c r="S177" i="1"/>
  <c r="S176" i="1"/>
  <c r="S175" i="1"/>
  <c r="S174" i="1"/>
  <c r="S173" i="1"/>
  <c r="S172" i="1"/>
  <c r="S171" i="1"/>
  <c r="S170" i="1"/>
  <c r="S169" i="1"/>
  <c r="S165" i="1"/>
  <c r="S164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S160" i="1"/>
  <c r="S159" i="1"/>
  <c r="S158" i="1"/>
  <c r="S157" i="1"/>
  <c r="S156" i="1"/>
  <c r="S155" i="1"/>
  <c r="S154" i="1"/>
  <c r="S153" i="1"/>
  <c r="S152" i="1"/>
  <c r="S151" i="1"/>
  <c r="S150" i="1"/>
  <c r="S146" i="1"/>
  <c r="S145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S141" i="1"/>
  <c r="S140" i="1"/>
  <c r="S139" i="1"/>
  <c r="S138" i="1"/>
  <c r="S137" i="1"/>
  <c r="S136" i="1"/>
  <c r="S135" i="1"/>
  <c r="S134" i="1"/>
  <c r="S133" i="1"/>
  <c r="S132" i="1"/>
  <c r="S131" i="1"/>
  <c r="S127" i="1"/>
  <c r="S126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S122" i="1"/>
  <c r="S121" i="1"/>
  <c r="S120" i="1"/>
  <c r="S119" i="1"/>
  <c r="S118" i="1"/>
  <c r="S117" i="1"/>
  <c r="S116" i="1"/>
  <c r="S115" i="1"/>
  <c r="S114" i="1"/>
  <c r="S113" i="1"/>
  <c r="S112" i="1"/>
  <c r="S108" i="1"/>
  <c r="S107" i="1"/>
  <c r="S103" i="1"/>
  <c r="S102" i="1"/>
  <c r="S101" i="1"/>
  <c r="S100" i="1"/>
  <c r="S99" i="1"/>
  <c r="S98" i="1"/>
  <c r="S97" i="1"/>
  <c r="S96" i="1"/>
  <c r="S95" i="1"/>
  <c r="S94" i="1"/>
  <c r="S93" i="1"/>
  <c r="S89" i="1"/>
  <c r="S88" i="1"/>
  <c r="R85" i="1"/>
  <c r="Q85" i="1"/>
  <c r="P85" i="1"/>
  <c r="O85" i="1"/>
  <c r="N85" i="1"/>
  <c r="M85" i="1"/>
  <c r="L85" i="1"/>
  <c r="K85" i="1"/>
  <c r="J85" i="1"/>
  <c r="I85" i="1"/>
  <c r="H85" i="1"/>
  <c r="G85" i="1"/>
  <c r="S84" i="1"/>
  <c r="S83" i="1"/>
  <c r="S82" i="1"/>
  <c r="S81" i="1"/>
  <c r="S80" i="1"/>
  <c r="S79" i="1"/>
  <c r="S78" i="1"/>
  <c r="S77" i="1"/>
  <c r="S76" i="1"/>
  <c r="S75" i="1"/>
  <c r="S74" i="1"/>
  <c r="S70" i="1"/>
  <c r="S69" i="1"/>
  <c r="S65" i="1"/>
  <c r="S64" i="1"/>
  <c r="S63" i="1"/>
  <c r="S62" i="1"/>
  <c r="S61" i="1"/>
  <c r="S60" i="1"/>
  <c r="S58" i="1"/>
  <c r="S57" i="1"/>
  <c r="S56" i="1"/>
  <c r="S55" i="1"/>
  <c r="S51" i="1"/>
  <c r="S50" i="1"/>
  <c r="S46" i="1"/>
  <c r="S45" i="1"/>
  <c r="S44" i="1"/>
  <c r="S43" i="1"/>
  <c r="S42" i="1"/>
  <c r="S41" i="1"/>
  <c r="S40" i="1"/>
  <c r="S39" i="1"/>
  <c r="S38" i="1"/>
  <c r="S37" i="1"/>
  <c r="S36" i="1"/>
  <c r="S32" i="1"/>
  <c r="S31" i="1"/>
  <c r="S27" i="1"/>
  <c r="S26" i="1"/>
  <c r="S25" i="1"/>
  <c r="S24" i="1"/>
  <c r="S23" i="1"/>
  <c r="S22" i="1"/>
  <c r="S21" i="1"/>
  <c r="S20" i="1"/>
  <c r="S19" i="1"/>
  <c r="S18" i="1"/>
  <c r="S17" i="1"/>
  <c r="S12" i="1"/>
  <c r="S11" i="1"/>
  <c r="R7" i="1"/>
  <c r="Q7" i="1"/>
  <c r="P7" i="1"/>
  <c r="O7" i="1"/>
  <c r="N7" i="1"/>
  <c r="M7" i="1"/>
  <c r="L7" i="1"/>
  <c r="K7" i="1"/>
  <c r="J7" i="1"/>
  <c r="I7" i="1"/>
  <c r="H7" i="1"/>
  <c r="G7" i="1"/>
  <c r="R6" i="1"/>
  <c r="Q6" i="1"/>
  <c r="P6" i="1"/>
  <c r="O6" i="1"/>
  <c r="N6" i="1"/>
  <c r="M6" i="1"/>
  <c r="L6" i="1"/>
  <c r="K6" i="1"/>
  <c r="J6" i="1"/>
  <c r="I6" i="1"/>
  <c r="H6" i="1"/>
  <c r="G6" i="1"/>
  <c r="N8" i="1" l="1"/>
  <c r="O8" i="1"/>
  <c r="S240" i="1"/>
  <c r="S474" i="1"/>
  <c r="S201" i="1"/>
  <c r="S123" i="1"/>
  <c r="P8" i="1"/>
  <c r="R8" i="1"/>
  <c r="Q8" i="1"/>
  <c r="K8" i="1"/>
  <c r="L8" i="1"/>
  <c r="H8" i="1"/>
  <c r="I8" i="1"/>
  <c r="J8" i="1"/>
  <c r="M8" i="1"/>
  <c r="S261" i="1"/>
  <c r="S494" i="1"/>
  <c r="S513" i="1"/>
  <c r="S47" i="1"/>
  <c r="S300" i="1"/>
  <c r="S532" i="1"/>
  <c r="S85" i="1"/>
  <c r="S320" i="1"/>
  <c r="S550" i="1"/>
  <c r="S340" i="1"/>
  <c r="S570" i="1"/>
  <c r="S142" i="1"/>
  <c r="S359" i="1"/>
  <c r="S591" i="1"/>
  <c r="S161" i="1"/>
  <c r="S378" i="1"/>
  <c r="S609" i="1"/>
  <c r="S180" i="1"/>
  <c r="S398" i="1"/>
  <c r="S6" i="1"/>
  <c r="S7" i="1"/>
  <c r="S418" i="1"/>
  <c r="S648" i="1"/>
  <c r="S219" i="1"/>
  <c r="S437" i="1"/>
  <c r="S668" i="1"/>
  <c r="S456" i="1"/>
  <c r="S629" i="1"/>
  <c r="S686" i="1"/>
  <c r="S8" i="1" l="1"/>
</calcChain>
</file>

<file path=xl/sharedStrings.xml><?xml version="1.0" encoding="utf-8"?>
<sst xmlns="http://schemas.openxmlformats.org/spreadsheetml/2006/main" count="930" uniqueCount="133">
  <si>
    <t>Gastos Operativos SISTEMA SDE INFORMACION</t>
  </si>
  <si>
    <t># Cuenta</t>
  </si>
  <si>
    <t>Descripcion de Cuenta</t>
  </si>
  <si>
    <t>Departamento</t>
  </si>
  <si>
    <t>Detalle</t>
  </si>
  <si>
    <t>Detalle Descripción</t>
  </si>
  <si>
    <t>Total</t>
  </si>
  <si>
    <t>Cost of Cells Phones</t>
  </si>
  <si>
    <t>0230</t>
  </si>
  <si>
    <t>Plan de Reservaciones 1</t>
  </si>
  <si>
    <t>Plan de Reservaciones 2</t>
  </si>
  <si>
    <t>Plan Recepción</t>
  </si>
  <si>
    <t>Plan de Hacienda</t>
  </si>
  <si>
    <t>Plan de Ana</t>
  </si>
  <si>
    <t>equipo de telefonía celular</t>
  </si>
  <si>
    <t>Plan Nueva Directora de Ventas</t>
  </si>
  <si>
    <t>Costo de los planes de telefonía celular.</t>
  </si>
  <si>
    <t>Cost of Local Calls</t>
  </si>
  <si>
    <t>Costo de llamada telefónica local de cortesía: habitación de huéspedes</t>
  </si>
  <si>
    <t xml:space="preserve"> Costo de llamadas locales, administrador. e invitado</t>
  </si>
  <si>
    <t xml:space="preserve"> Cargos de acceso telefónico</t>
  </si>
  <si>
    <t>Tarifas de uso del teléfono</t>
  </si>
  <si>
    <t>Impuestos sobre servicios telefónicos</t>
  </si>
  <si>
    <t>Cargos de líneas troncales</t>
  </si>
  <si>
    <t>Cost of Internet Services</t>
  </si>
  <si>
    <t>Servicios Starlink Residencial</t>
  </si>
  <si>
    <t>Servicios Telecable Hacienda</t>
  </si>
  <si>
    <t>Servicios Telecable Oficinas</t>
  </si>
  <si>
    <t>Servicios RE&amp;COM Oficinas</t>
  </si>
  <si>
    <t>Costo de Internet de cortesía: sala de eventos</t>
  </si>
  <si>
    <t>Costo de Internet de cortesía: habitación de huéspedes</t>
  </si>
  <si>
    <t>cargos de acceso a internet</t>
  </si>
  <si>
    <t>Equipos de Internet no sujetos a capitalización</t>
  </si>
  <si>
    <t>Cost of Long Distance</t>
  </si>
  <si>
    <t>.CallmyWay</t>
  </si>
  <si>
    <t>Other  Cost  of Services</t>
  </si>
  <si>
    <t>.Accesorios Telénonos</t>
  </si>
  <si>
    <t>.telefonos</t>
  </si>
  <si>
    <t>.varias</t>
  </si>
  <si>
    <t>Corporate Office Reimbursables</t>
  </si>
  <si>
    <t>Dues and Subscriptions</t>
  </si>
  <si>
    <t>Entertainment—In-House</t>
  </si>
  <si>
    <t>Equipment Rental</t>
  </si>
  <si>
    <t>Miscellaneous</t>
  </si>
  <si>
    <t>Operating Supplies</t>
  </si>
  <si>
    <t>Toners</t>
  </si>
  <si>
    <t>Tinta</t>
  </si>
  <si>
    <t>Papel para impresora de computadora</t>
  </si>
  <si>
    <t>Terminal RJ45 plug Cat6</t>
  </si>
  <si>
    <t>Jack RJ45 CAT6A Hembra</t>
  </si>
  <si>
    <t>Patch cord Cat6</t>
  </si>
  <si>
    <t>Canaletas</t>
  </si>
  <si>
    <t>Cinta doble cara</t>
  </si>
  <si>
    <t>Extensiones de Corriente</t>
  </si>
  <si>
    <t>Otros</t>
  </si>
  <si>
    <t>Other Cost of Services/contract service</t>
  </si>
  <si>
    <t>Mantenimiento de hardware de información y telecomunicaciones no específico del sistema</t>
  </si>
  <si>
    <t>.Contrato Harbey</t>
  </si>
  <si>
    <t>Other Equipment</t>
  </si>
  <si>
    <t>Memorias RAM</t>
  </si>
  <si>
    <t>Disco duro o SSD</t>
  </si>
  <si>
    <t>Cambios de pantallas de laptop</t>
  </si>
  <si>
    <t>System Expenses : Administrative and General</t>
  </si>
  <si>
    <t>Licencia Suite Integrity</t>
  </si>
  <si>
    <t>Licencia Inventory Management</t>
  </si>
  <si>
    <t>Dominio GoDaddy</t>
  </si>
  <si>
    <t>Sistema de factura electronica</t>
  </si>
  <si>
    <t>System Expenses : Centralized Information System Charges</t>
  </si>
  <si>
    <t>System Expenses : Energy Management</t>
  </si>
  <si>
    <t>Hardware de gestión de energía, compras de pequeño valor.</t>
  </si>
  <si>
    <t>Licencias de software de gestión de energía, tarifas de soporte y mantenimiento</t>
  </si>
  <si>
    <t>Licencia Paneles Solares</t>
  </si>
  <si>
    <t>System Expenses : Food and Beverage</t>
  </si>
  <si>
    <t>Licencias Simphony</t>
  </si>
  <si>
    <t>System Expenses : Golf</t>
  </si>
  <si>
    <t>Licencias de software para campos de golf, tarifas de soporte y mantenimiento</t>
  </si>
  <si>
    <t>System Expenses : Hardware</t>
  </si>
  <si>
    <t>Teclados de computadora</t>
  </si>
  <si>
    <t>Monitores de computadora</t>
  </si>
  <si>
    <t>Ratón de computadora</t>
  </si>
  <si>
    <t>Computadoras de escritorio (Reparacion)</t>
  </si>
  <si>
    <t>Computadoras portátiles (Reparacion)</t>
  </si>
  <si>
    <t>UPS pequeña</t>
  </si>
  <si>
    <t>UPS grande</t>
  </si>
  <si>
    <t>Impresoras</t>
  </si>
  <si>
    <t>Headset</t>
  </si>
  <si>
    <t>System Expenses : Human Resources</t>
  </si>
  <si>
    <t>Hardware de recursos humanos, compras de pequeño valor.</t>
  </si>
  <si>
    <t>Licencias de software de recursos humanos, tarifas de soporte y mantenimiento.</t>
  </si>
  <si>
    <t>Relojes de tiempo</t>
  </si>
  <si>
    <t>Licencia Test RH</t>
  </si>
  <si>
    <t>System Expenses : Information Security</t>
  </si>
  <si>
    <t>Hardware de correo electrónico LAN/WAN, compras de pequeño valor</t>
  </si>
  <si>
    <t>.Licencias Antivirus</t>
  </si>
  <si>
    <t>.Licencias Meraki</t>
  </si>
  <si>
    <t>System Expenses : Information Systems</t>
  </si>
  <si>
    <t>Licencias de software de correo electrónico LAN/WAN, tarifas de soporte y mantenimiento</t>
  </si>
  <si>
    <t>Costos de cumplimiento de PCI</t>
  </si>
  <si>
    <t>System Expenses : Other</t>
  </si>
  <si>
    <t>System Expenses : Parking</t>
  </si>
  <si>
    <t>System Expenses : Property Operation and Maintenance</t>
  </si>
  <si>
    <t>Hardware de mantenimiento preventivo, compras de pequeño valor.</t>
  </si>
  <si>
    <t>Licencias de software de mantenimiento preventivo, soporte y tarifas de mantenimiento.</t>
  </si>
  <si>
    <t>System Expenses : Rooms</t>
  </si>
  <si>
    <t>OPERA Cloud</t>
  </si>
  <si>
    <t>Licencia Sitemainder</t>
  </si>
  <si>
    <t>Licencia Concierge</t>
  </si>
  <si>
    <t>Licencia Reservation Center</t>
  </si>
  <si>
    <t>Licencia Synxis</t>
  </si>
  <si>
    <t>Licencia 4Skill</t>
  </si>
  <si>
    <t>System Expenses : Sales and Marketing</t>
  </si>
  <si>
    <t>Licencias HubSpot</t>
  </si>
  <si>
    <t>System Expenses : Telecommunications</t>
  </si>
  <si>
    <r>
      <rPr>
        <b/>
        <sz val="11"/>
        <color theme="1"/>
        <rFont val="Arial"/>
        <family val="2"/>
      </rPr>
      <t>Router</t>
    </r>
    <r>
      <rPr>
        <sz val="11"/>
        <color theme="1"/>
        <rFont val="Arial"/>
        <family val="2"/>
      </rPr>
      <t xml:space="preserve"> (REYEE RG-EG310GH-P-E)</t>
    </r>
  </si>
  <si>
    <r>
      <rPr>
        <b/>
        <sz val="11"/>
        <color theme="1"/>
        <rFont val="Arial"/>
        <family val="2"/>
      </rPr>
      <t>Router</t>
    </r>
    <r>
      <rPr>
        <sz val="11"/>
        <color theme="1"/>
        <rFont val="Arial"/>
        <family val="2"/>
      </rPr>
      <t xml:space="preserve"> (RUIJIE RG-EG105G-P-V3)</t>
    </r>
  </si>
  <si>
    <r>
      <rPr>
        <b/>
        <sz val="11"/>
        <color theme="1"/>
        <rFont val="Arial"/>
        <family val="2"/>
      </rPr>
      <t xml:space="preserve">Switch </t>
    </r>
    <r>
      <rPr>
        <sz val="11"/>
        <color theme="1"/>
        <rFont val="Arial"/>
        <family val="2"/>
      </rPr>
      <t>(RUIJIE RG-ES210GS-P Switch)</t>
    </r>
  </si>
  <si>
    <r>
      <rPr>
        <b/>
        <sz val="11"/>
        <color theme="1"/>
        <rFont val="Arial"/>
        <family val="2"/>
      </rPr>
      <t xml:space="preserve">Switch </t>
    </r>
    <r>
      <rPr>
        <sz val="11"/>
        <color theme="1"/>
        <rFont val="Arial"/>
        <family val="2"/>
      </rPr>
      <t>(REYEE RG-ES205GC-P, Switch)</t>
    </r>
  </si>
  <si>
    <r>
      <rPr>
        <b/>
        <sz val="11"/>
        <color theme="1"/>
        <rFont val="Arial"/>
        <family val="2"/>
      </rPr>
      <t>Access Point</t>
    </r>
    <r>
      <rPr>
        <sz val="11"/>
        <color theme="1"/>
        <rFont val="Arial"/>
        <family val="2"/>
      </rPr>
      <t xml:space="preserve"> (REYEE RG-RAP2200(E))</t>
    </r>
  </si>
  <si>
    <t>Cable de Red UTP CAT6</t>
  </si>
  <si>
    <t>System Storage and Optimization</t>
  </si>
  <si>
    <t>System Expenses : Health Club/Spa</t>
  </si>
  <si>
    <t>Hardware para gimnasio/spa, compras de pequeño valor</t>
  </si>
  <si>
    <t>Licencias de software para gimnasios/spa, tarifas de soporte y mantenimiento</t>
  </si>
  <si>
    <t>Training</t>
  </si>
  <si>
    <t>Travel—Meals and Entertainment</t>
  </si>
  <si>
    <t>Travel—Other</t>
  </si>
  <si>
    <t>Uniform Costs</t>
  </si>
  <si>
    <t>Uniform Laundry</t>
  </si>
  <si>
    <t>Other Cost of Services</t>
  </si>
  <si>
    <t>Licencias HubSpot Implemen</t>
  </si>
  <si>
    <t>Inventory Management</t>
  </si>
  <si>
    <t>Soporte Integrity</t>
  </si>
  <si>
    <t>Soporte Concierge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</si>
</sst>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5C]#,##0.00;[Red]\-[$$-45C]#,##0.00"/>
    <numFmt numFmtId="165" formatCode="_-* #,##0.00_-;\-* #,##0.00_-;_-* &quot;-&quot;??_-;_-@"/>
    <numFmt numFmtId="166" formatCode="[$$-45C]#,##0.00"/>
  </numFmts>
  <fonts count="17" x14ac:knownFonts="1">
    <font>
      <sz val="11"/>
      <color theme="1"/>
      <name val="Aptos Narrow"/>
      <scheme val="minor"/>
    </font>
    <font>
      <sz val="12"/>
      <color rgb="FF000080"/>
      <name val="Tahoma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rgb="FFFF0000"/>
      <name val="Aptos Narrow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ptos Narrow"/>
      <family val="2"/>
    </font>
    <font>
      <sz val="11"/>
      <color rgb="FFFF0000"/>
      <name val="Aptos Narrow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1F0C8"/>
        <bgColor rgb="FFC1F0C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7" fontId="2" fillId="4" borderId="2" xfId="0" applyNumberFormat="1" applyFont="1" applyFill="1" applyBorder="1"/>
    <xf numFmtId="0" fontId="4" fillId="0" borderId="0" xfId="0" applyFont="1"/>
    <xf numFmtId="0" fontId="5" fillId="2" borderId="1" xfId="0" quotePrefix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8" fillId="2" borderId="2" xfId="0" applyNumberFormat="1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9" fillId="2" borderId="2" xfId="0" applyNumberFormat="1" applyFont="1" applyFill="1" applyBorder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left"/>
    </xf>
    <xf numFmtId="165" fontId="9" fillId="5" borderId="3" xfId="0" applyNumberFormat="1" applyFont="1" applyFill="1" applyBorder="1" applyAlignment="1">
      <alignment horizontal="center"/>
    </xf>
    <xf numFmtId="49" fontId="9" fillId="5" borderId="3" xfId="0" applyNumberFormat="1" applyFont="1" applyFill="1" applyBorder="1" applyAlignment="1">
      <alignment horizontal="center"/>
    </xf>
    <xf numFmtId="49" fontId="9" fillId="5" borderId="4" xfId="0" applyNumberFormat="1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left"/>
    </xf>
    <xf numFmtId="49" fontId="6" fillId="0" borderId="0" xfId="0" applyNumberFormat="1" applyFont="1"/>
    <xf numFmtId="0" fontId="4" fillId="6" borderId="1" xfId="0" applyFont="1" applyFill="1" applyBorder="1"/>
    <xf numFmtId="49" fontId="9" fillId="2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9" fillId="2" borderId="5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5" fontId="8" fillId="7" borderId="0" xfId="0" applyNumberFormat="1" applyFont="1" applyFill="1" applyAlignment="1">
      <alignment horizontal="center"/>
    </xf>
    <xf numFmtId="49" fontId="9" fillId="2" borderId="7" xfId="0" applyNumberFormat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165" fontId="8" fillId="7" borderId="2" xfId="0" applyNumberFormat="1" applyFont="1" applyFill="1" applyBorder="1" applyAlignment="1">
      <alignment horizontal="center"/>
    </xf>
    <xf numFmtId="49" fontId="4" fillId="2" borderId="1" xfId="0" applyNumberFormat="1" applyFont="1" applyFill="1" applyBorder="1"/>
    <xf numFmtId="0" fontId="2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49" fontId="9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/>
    <xf numFmtId="164" fontId="2" fillId="8" borderId="1" xfId="0" applyNumberFormat="1" applyFont="1" applyFill="1" applyBorder="1"/>
    <xf numFmtId="165" fontId="9" fillId="7" borderId="2" xfId="0" applyNumberFormat="1" applyFont="1" applyFill="1" applyBorder="1" applyAlignment="1">
      <alignment horizontal="center"/>
    </xf>
    <xf numFmtId="0" fontId="11" fillId="0" borderId="0" xfId="0" applyFont="1"/>
    <xf numFmtId="0" fontId="12" fillId="2" borderId="1" xfId="0" quotePrefix="1" applyFont="1" applyFill="1" applyBorder="1" applyAlignment="1">
      <alignment horizontal="left"/>
    </xf>
    <xf numFmtId="49" fontId="9" fillId="5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/>
    <xf numFmtId="0" fontId="15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5" fillId="2" borderId="7" xfId="0" applyFont="1" applyFill="1" applyBorder="1" applyAlignment="1">
      <alignment horizontal="left"/>
    </xf>
    <xf numFmtId="0" fontId="2" fillId="3" borderId="7" xfId="0" applyFont="1" applyFill="1" applyBorder="1"/>
    <xf numFmtId="164" fontId="0" fillId="0" borderId="0" xfId="0" applyNumberFormat="1"/>
  </cellXfs>
  <cellStyles count="1">
    <cellStyle name="Normal" xfId="0" builtinId="0"/>
  </cellStyles>
  <dxfs count="28"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180975</xdr:colOff>
      <xdr:row>34</xdr:row>
      <xdr:rowOff>133350</xdr:rowOff>
    </xdr:from>
    <xdr:ext cx="7448550" cy="7620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</xdr:colOff>
      <xdr:row>54</xdr:row>
      <xdr:rowOff>161925</xdr:rowOff>
    </xdr:from>
    <xdr:ext cx="7743825" cy="657225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93</xdr:row>
      <xdr:rowOff>0</xdr:rowOff>
    </xdr:from>
    <xdr:ext cx="8429625" cy="657225"/>
    <xdr:pic>
      <xdr:nvPicPr>
        <xdr:cNvPr id="4" name="image1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270</xdr:row>
      <xdr:rowOff>0</xdr:rowOff>
    </xdr:from>
    <xdr:ext cx="7820025" cy="476250"/>
    <xdr:pic>
      <xdr:nvPicPr>
        <xdr:cNvPr id="5" name="image19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288</xdr:row>
      <xdr:rowOff>0</xdr:rowOff>
    </xdr:from>
    <xdr:ext cx="7553325" cy="476250"/>
    <xdr:pic>
      <xdr:nvPicPr>
        <xdr:cNvPr id="6" name="image2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308</xdr:row>
      <xdr:rowOff>0</xdr:rowOff>
    </xdr:from>
    <xdr:ext cx="7515225" cy="457200"/>
    <xdr:pic>
      <xdr:nvPicPr>
        <xdr:cNvPr id="7" name="image2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329</xdr:row>
      <xdr:rowOff>0</xdr:rowOff>
    </xdr:from>
    <xdr:ext cx="7686675" cy="68580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348</xdr:row>
      <xdr:rowOff>0</xdr:rowOff>
    </xdr:from>
    <xdr:ext cx="7553325" cy="695325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368</xdr:row>
      <xdr:rowOff>0</xdr:rowOff>
    </xdr:from>
    <xdr:ext cx="7667625" cy="4762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386</xdr:row>
      <xdr:rowOff>0</xdr:rowOff>
    </xdr:from>
    <xdr:ext cx="7800975" cy="657225"/>
    <xdr:pic>
      <xdr:nvPicPr>
        <xdr:cNvPr id="11" name="image2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405</xdr:row>
      <xdr:rowOff>0</xdr:rowOff>
    </xdr:from>
    <xdr:ext cx="7448550" cy="685800"/>
    <xdr:pic>
      <xdr:nvPicPr>
        <xdr:cNvPr id="12" name="image1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425</xdr:row>
      <xdr:rowOff>0</xdr:rowOff>
    </xdr:from>
    <xdr:ext cx="7562850" cy="47625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444</xdr:row>
      <xdr:rowOff>0</xdr:rowOff>
    </xdr:from>
    <xdr:ext cx="7534275" cy="657225"/>
    <xdr:pic>
      <xdr:nvPicPr>
        <xdr:cNvPr id="14" name="image6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462</xdr:row>
      <xdr:rowOff>0</xdr:rowOff>
    </xdr:from>
    <xdr:ext cx="7896225" cy="476250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484</xdr:row>
      <xdr:rowOff>0</xdr:rowOff>
    </xdr:from>
    <xdr:ext cx="7848600" cy="638175"/>
    <xdr:pic>
      <xdr:nvPicPr>
        <xdr:cNvPr id="16" name="image1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502</xdr:row>
      <xdr:rowOff>0</xdr:rowOff>
    </xdr:from>
    <xdr:ext cx="7848600" cy="40005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521</xdr:row>
      <xdr:rowOff>0</xdr:rowOff>
    </xdr:from>
    <xdr:ext cx="7486650" cy="400050"/>
    <xdr:pic>
      <xdr:nvPicPr>
        <xdr:cNvPr id="18" name="image2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539</xdr:row>
      <xdr:rowOff>0</xdr:rowOff>
    </xdr:from>
    <xdr:ext cx="7324725" cy="495300"/>
    <xdr:pic>
      <xdr:nvPicPr>
        <xdr:cNvPr id="19" name="image9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559</xdr:row>
      <xdr:rowOff>0</xdr:rowOff>
    </xdr:from>
    <xdr:ext cx="7667625" cy="447675"/>
    <xdr:pic>
      <xdr:nvPicPr>
        <xdr:cNvPr id="20" name="image15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580</xdr:row>
      <xdr:rowOff>47625</xdr:rowOff>
    </xdr:from>
    <xdr:ext cx="7562850" cy="666750"/>
    <xdr:pic>
      <xdr:nvPicPr>
        <xdr:cNvPr id="21" name="image17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111</xdr:row>
      <xdr:rowOff>0</xdr:rowOff>
    </xdr:from>
    <xdr:ext cx="7639050" cy="723900"/>
    <xdr:pic>
      <xdr:nvPicPr>
        <xdr:cNvPr id="22" name="image8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116</xdr:row>
      <xdr:rowOff>0</xdr:rowOff>
    </xdr:from>
    <xdr:ext cx="7496175" cy="1304925"/>
    <xdr:pic>
      <xdr:nvPicPr>
        <xdr:cNvPr id="23" name="image20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130</xdr:row>
      <xdr:rowOff>0</xdr:rowOff>
    </xdr:from>
    <xdr:ext cx="7639050" cy="1314450"/>
    <xdr:pic>
      <xdr:nvPicPr>
        <xdr:cNvPr id="24" name="image2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149</xdr:row>
      <xdr:rowOff>0</xdr:rowOff>
    </xdr:from>
    <xdr:ext cx="7591425" cy="695325"/>
    <xdr:pic>
      <xdr:nvPicPr>
        <xdr:cNvPr id="25" name="image10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168</xdr:row>
      <xdr:rowOff>0</xdr:rowOff>
    </xdr:from>
    <xdr:ext cx="7343775" cy="1295400"/>
    <xdr:pic>
      <xdr:nvPicPr>
        <xdr:cNvPr id="26" name="image18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190</xdr:row>
      <xdr:rowOff>0</xdr:rowOff>
    </xdr:from>
    <xdr:ext cx="7486650" cy="609600"/>
    <xdr:pic>
      <xdr:nvPicPr>
        <xdr:cNvPr id="27" name="image27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207</xdr:row>
      <xdr:rowOff>0</xdr:rowOff>
    </xdr:from>
    <xdr:ext cx="7924800" cy="819150"/>
    <xdr:pic>
      <xdr:nvPicPr>
        <xdr:cNvPr id="28" name="image28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229</xdr:row>
      <xdr:rowOff>0</xdr:rowOff>
    </xdr:from>
    <xdr:ext cx="7848600" cy="1409700"/>
    <xdr:pic>
      <xdr:nvPicPr>
        <xdr:cNvPr id="29" name="image26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250</xdr:row>
      <xdr:rowOff>0</xdr:rowOff>
    </xdr:from>
    <xdr:ext cx="8086725" cy="695325"/>
    <xdr:pic>
      <xdr:nvPicPr>
        <xdr:cNvPr id="30" name="image30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598</xdr:row>
      <xdr:rowOff>0</xdr:rowOff>
    </xdr:from>
    <xdr:ext cx="7810500" cy="1019175"/>
    <xdr:pic>
      <xdr:nvPicPr>
        <xdr:cNvPr id="31" name="image3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619</xdr:row>
      <xdr:rowOff>0</xdr:rowOff>
    </xdr:from>
    <xdr:ext cx="7486650" cy="695325"/>
    <xdr:pic>
      <xdr:nvPicPr>
        <xdr:cNvPr id="32" name="image34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635</xdr:row>
      <xdr:rowOff>0</xdr:rowOff>
    </xdr:from>
    <xdr:ext cx="8105775" cy="485775"/>
    <xdr:pic>
      <xdr:nvPicPr>
        <xdr:cNvPr id="33" name="image33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639</xdr:row>
      <xdr:rowOff>0</xdr:rowOff>
    </xdr:from>
    <xdr:ext cx="7372350" cy="752475"/>
    <xdr:pic>
      <xdr:nvPicPr>
        <xdr:cNvPr id="34" name="image3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658</xdr:row>
      <xdr:rowOff>0</xdr:rowOff>
    </xdr:from>
    <xdr:ext cx="8124825" cy="762000"/>
    <xdr:pic>
      <xdr:nvPicPr>
        <xdr:cNvPr id="35" name="image35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675</xdr:row>
      <xdr:rowOff>0</xdr:rowOff>
    </xdr:from>
    <xdr:ext cx="7439025" cy="733425"/>
    <xdr:pic>
      <xdr:nvPicPr>
        <xdr:cNvPr id="36" name="image29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16</xdr:row>
      <xdr:rowOff>0</xdr:rowOff>
    </xdr:from>
    <xdr:ext cx="6648450" cy="647700"/>
    <xdr:pic>
      <xdr:nvPicPr>
        <xdr:cNvPr id="37" name="image32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</xdr:colOff>
      <xdr:row>73</xdr:row>
      <xdr:rowOff>161925</xdr:rowOff>
    </xdr:from>
    <xdr:ext cx="7048500" cy="647700"/>
    <xdr:pic>
      <xdr:nvPicPr>
        <xdr:cNvPr id="38" name="image16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86"/>
  <sheetViews>
    <sheetView tabSelected="1" workbookViewId="0">
      <pane xSplit="5" ySplit="9" topLeftCell="F206" activePane="bottomRight" state="frozen"/>
      <selection pane="topRight" activeCell="F1" sqref="F1"/>
      <selection pane="bottomLeft" activeCell="A10" sqref="A10"/>
      <selection pane="bottomRight" activeCell="G219" sqref="G219:R219"/>
    </sheetView>
  </sheetViews>
  <sheetFormatPr defaultColWidth="12.5703125" defaultRowHeight="15" customHeight="1" x14ac:dyDescent="0.25"/>
  <cols>
    <col min="1" max="2" width="11.42578125" customWidth="1"/>
    <col min="3" max="3" width="25.85546875" customWidth="1"/>
    <col min="4" max="4" width="11.42578125" customWidth="1"/>
    <col min="5" max="5" width="7.85546875" customWidth="1"/>
    <col min="6" max="6" width="31.42578125" customWidth="1"/>
    <col min="7" max="9" width="11.5703125" customWidth="1"/>
    <col min="10" max="10" width="11.140625" customWidth="1"/>
    <col min="11" max="11" width="11.42578125" customWidth="1"/>
    <col min="12" max="18" width="11.5703125" customWidth="1"/>
    <col min="19" max="19" width="17" customWidth="1"/>
    <col min="20" max="23" width="11.5703125" customWidth="1"/>
    <col min="24" max="34" width="11.42578125" customWidth="1"/>
  </cols>
  <sheetData>
    <row r="1" spans="2:23" ht="15.75" x14ac:dyDescent="0.25">
      <c r="B1" s="1" t="s">
        <v>0</v>
      </c>
      <c r="W1" s="2"/>
    </row>
    <row r="2" spans="2:23" ht="15.75" x14ac:dyDescent="0.25">
      <c r="B2" s="1"/>
      <c r="G2">
        <v>2022.97</v>
      </c>
      <c r="W2" s="2"/>
    </row>
    <row r="3" spans="2:23" ht="15.75" x14ac:dyDescent="0.25">
      <c r="B3" s="1"/>
      <c r="G3" s="56">
        <f>+G2-G8</f>
        <v>-1186.4222222222218</v>
      </c>
      <c r="W3" s="2"/>
    </row>
    <row r="4" spans="2:23" ht="15.75" x14ac:dyDescent="0.25">
      <c r="B4" s="1"/>
      <c r="W4" s="2"/>
    </row>
    <row r="5" spans="2:23" ht="15.75" x14ac:dyDescent="0.25">
      <c r="B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W5" s="2"/>
    </row>
    <row r="6" spans="2:23" ht="15.75" x14ac:dyDescent="0.25">
      <c r="B6" s="1"/>
      <c r="F6" s="4">
        <v>2024</v>
      </c>
      <c r="G6" s="3">
        <f t="shared" ref="G6:R6" si="0">+G11+G31+G50+G88+G107+G126+G145+G164+G183+G204+G222+G243+G265+G284+G303+G323+G343+G362+G381+G402+G421+G440+G459+G477+G497+G516+G535+G553+G573+G594+G613+G633+G652+G671+G69</f>
        <v>615.64199546659495</v>
      </c>
      <c r="H6" s="3">
        <f t="shared" si="0"/>
        <v>2034.0984543722211</v>
      </c>
      <c r="I6" s="3">
        <f t="shared" si="0"/>
        <v>890.87840141052015</v>
      </c>
      <c r="J6" s="3">
        <f t="shared" si="0"/>
        <v>755.6397504456329</v>
      </c>
      <c r="K6" s="3">
        <f t="shared" si="0"/>
        <v>501.79369007716895</v>
      </c>
      <c r="L6" s="3">
        <f t="shared" si="0"/>
        <v>1433.6964582703356</v>
      </c>
      <c r="M6" s="3">
        <f t="shared" si="0"/>
        <v>128.78111043827113</v>
      </c>
      <c r="N6" s="3">
        <f t="shared" si="0"/>
        <v>510.03390793710935</v>
      </c>
      <c r="O6" s="3">
        <f t="shared" si="0"/>
        <v>907.47339684236658</v>
      </c>
      <c r="P6" s="3">
        <f t="shared" si="0"/>
        <v>512.89856137365609</v>
      </c>
      <c r="Q6" s="3">
        <f t="shared" si="0"/>
        <v>1067.2013620044188</v>
      </c>
      <c r="R6" s="3">
        <f t="shared" si="0"/>
        <v>1318.5714886214928</v>
      </c>
      <c r="S6" s="3">
        <f t="shared" ref="S6:S7" si="1">SUM(G6:R6)</f>
        <v>10676.708577259789</v>
      </c>
      <c r="W6" s="2"/>
    </row>
    <row r="7" spans="2:23" ht="15.75" x14ac:dyDescent="0.25">
      <c r="B7" s="1"/>
      <c r="F7" s="4">
        <v>2025</v>
      </c>
      <c r="G7" s="3">
        <f t="shared" ref="G7:R7" si="2">+G12+G32+G51+G89+G108+G127+G146+G165+G184+G205+G223+G244+G266+G285+G304+G324+G344+G363+G382+G403+G422+G441+G460+G478+G498+G517+G536+G554+G574+G595+G614+G634+G653+G672+G70</f>
        <v>2991.9002075745111</v>
      </c>
      <c r="H7" s="3">
        <f t="shared" si="2"/>
        <v>1104.2940320805158</v>
      </c>
      <c r="I7" s="3">
        <f t="shared" si="2"/>
        <v>1221.9319132900973</v>
      </c>
      <c r="J7" s="3">
        <f t="shared" si="2"/>
        <v>4227.1332677165337</v>
      </c>
      <c r="K7" s="3">
        <f t="shared" si="2"/>
        <v>1194.8520218064871</v>
      </c>
      <c r="L7" s="3">
        <f t="shared" si="2"/>
        <v>844.16075785000385</v>
      </c>
      <c r="M7" s="3">
        <f t="shared" si="2"/>
        <v>1320.7516868299399</v>
      </c>
      <c r="N7" s="3">
        <f t="shared" si="2"/>
        <v>2369.7257339224352</v>
      </c>
      <c r="O7" s="3">
        <f t="shared" si="2"/>
        <v>2273.0592429138514</v>
      </c>
      <c r="P7" s="3">
        <f t="shared" si="2"/>
        <v>2273.2158494084688</v>
      </c>
      <c r="Q7" s="3">
        <f t="shared" si="2"/>
        <v>2272.8002992400325</v>
      </c>
      <c r="R7" s="3">
        <f t="shared" si="2"/>
        <v>2272.9355446928553</v>
      </c>
      <c r="S7" s="3">
        <f t="shared" si="1"/>
        <v>24366.760557325735</v>
      </c>
      <c r="W7" s="2"/>
    </row>
    <row r="8" spans="2:23" ht="15.75" x14ac:dyDescent="0.25">
      <c r="B8" s="1"/>
      <c r="F8" s="4">
        <v>2026</v>
      </c>
      <c r="G8" s="3">
        <f>+G28+G47+G66+G85+G104+G123+G142+G161+G180+G201+G219+G240+G261+G281+G300+G320+G340+G359+G378+G398+G418+G437+G456+G474+G494+G513+G532+G550+G570+G591+G609+G629+G648+G668+G686</f>
        <v>3209.3922222222218</v>
      </c>
      <c r="H8" s="3">
        <f t="shared" ref="H8:S8" si="3">+H28+H47+H66+H85+H104+H123+H142+H161+H180+H201+H219+H240+H261+H281+H300+H320+H340+H359+H378+H398+H418+H437+H456+H474+H494+H513+H532+H550+H570+H591+H609+H629+H648+H668+H686</f>
        <v>3726.0922222222216</v>
      </c>
      <c r="I8" s="3">
        <f t="shared" si="3"/>
        <v>4656.1822222222218</v>
      </c>
      <c r="J8" s="3">
        <f t="shared" si="3"/>
        <v>4393.3922222222218</v>
      </c>
      <c r="K8" s="3">
        <f t="shared" si="3"/>
        <v>3801.0922222222216</v>
      </c>
      <c r="L8" s="3">
        <f t="shared" si="3"/>
        <v>3156.1822222222218</v>
      </c>
      <c r="M8" s="3">
        <f t="shared" si="3"/>
        <v>3134.3922222222218</v>
      </c>
      <c r="N8" s="3">
        <f t="shared" si="3"/>
        <v>4145.3922222222218</v>
      </c>
      <c r="O8" s="3">
        <f t="shared" si="3"/>
        <v>3801.0922222222216</v>
      </c>
      <c r="P8" s="3">
        <f t="shared" si="3"/>
        <v>3404.1822222222218</v>
      </c>
      <c r="Q8" s="3">
        <f t="shared" si="3"/>
        <v>4145.3922222222218</v>
      </c>
      <c r="R8" s="3">
        <f t="shared" si="3"/>
        <v>3801.0922222222216</v>
      </c>
      <c r="S8" s="3">
        <f t="shared" si="3"/>
        <v>45373.876666666671</v>
      </c>
      <c r="W8" s="2"/>
    </row>
    <row r="9" spans="2:23" ht="15.75" x14ac:dyDescent="0.25">
      <c r="B9" s="1"/>
      <c r="W9" s="2"/>
    </row>
    <row r="10" spans="2:23" ht="15.75" x14ac:dyDescent="0.25">
      <c r="B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W10" s="2"/>
    </row>
    <row r="11" spans="2:23" ht="15.75" x14ac:dyDescent="0.25">
      <c r="B11" s="1"/>
      <c r="F11" s="4">
        <v>2024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f t="shared" ref="S11:S12" si="4">SUM(G11:R11)</f>
        <v>0</v>
      </c>
      <c r="W11" s="2"/>
    </row>
    <row r="12" spans="2:23" ht="15.75" x14ac:dyDescent="0.25">
      <c r="B12" s="1"/>
      <c r="F12" s="4">
        <v>2025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f t="shared" si="4"/>
        <v>0</v>
      </c>
      <c r="W12" s="2"/>
    </row>
    <row r="13" spans="2:23" ht="15.75" x14ac:dyDescent="0.25">
      <c r="B13" s="1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W13" s="2"/>
    </row>
    <row r="14" spans="2:23" ht="15.75" x14ac:dyDescent="0.25">
      <c r="B14" s="1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W14" s="2"/>
    </row>
    <row r="15" spans="2:23" ht="15.75" x14ac:dyDescent="0.25">
      <c r="B15" s="1" t="s">
        <v>1</v>
      </c>
      <c r="C15" s="1" t="s">
        <v>2</v>
      </c>
      <c r="D15" s="4" t="s">
        <v>3</v>
      </c>
      <c r="E15" s="4" t="s">
        <v>4</v>
      </c>
      <c r="F15" s="4" t="s">
        <v>5</v>
      </c>
      <c r="W15" s="2"/>
    </row>
    <row r="16" spans="2:23" ht="15.75" x14ac:dyDescent="0.25">
      <c r="B16" s="1"/>
      <c r="G16" s="7">
        <v>46023</v>
      </c>
      <c r="H16" s="7">
        <v>46054</v>
      </c>
      <c r="I16" s="7">
        <v>46082</v>
      </c>
      <c r="J16" s="7">
        <v>46113</v>
      </c>
      <c r="K16" s="7">
        <v>46143</v>
      </c>
      <c r="L16" s="7">
        <v>46174</v>
      </c>
      <c r="M16" s="7">
        <v>46204</v>
      </c>
      <c r="N16" s="7">
        <v>46235</v>
      </c>
      <c r="O16" s="7">
        <v>46266</v>
      </c>
      <c r="P16" s="7">
        <v>46296</v>
      </c>
      <c r="Q16" s="7">
        <v>46327</v>
      </c>
      <c r="R16" s="7">
        <v>46357</v>
      </c>
      <c r="S16" s="7" t="s">
        <v>6</v>
      </c>
      <c r="W16" s="2"/>
    </row>
    <row r="17" spans="2:24" ht="15.75" x14ac:dyDescent="0.25">
      <c r="B17" s="8"/>
      <c r="C17" s="4" t="s">
        <v>7</v>
      </c>
      <c r="D17" s="9" t="s">
        <v>8</v>
      </c>
      <c r="E17" s="10">
        <v>800</v>
      </c>
      <c r="F17" s="11" t="s">
        <v>9</v>
      </c>
      <c r="G17" s="12">
        <v>73.95</v>
      </c>
      <c r="H17" s="12">
        <v>73.95</v>
      </c>
      <c r="I17" s="12">
        <v>73.95</v>
      </c>
      <c r="J17" s="12">
        <v>73.95</v>
      </c>
      <c r="K17" s="12">
        <v>73.95</v>
      </c>
      <c r="L17" s="12">
        <v>73.95</v>
      </c>
      <c r="M17" s="12">
        <v>73.95</v>
      </c>
      <c r="N17" s="12">
        <v>73.95</v>
      </c>
      <c r="O17" s="12">
        <v>73.95</v>
      </c>
      <c r="P17" s="12">
        <v>73.95</v>
      </c>
      <c r="Q17" s="12">
        <v>73.95</v>
      </c>
      <c r="R17" s="12">
        <v>73.95</v>
      </c>
      <c r="S17" s="13">
        <f t="shared" ref="S17:S27" si="5">SUM(G17:R17)</f>
        <v>887.4000000000002</v>
      </c>
      <c r="W17" s="2"/>
    </row>
    <row r="18" spans="2:24" ht="15.75" x14ac:dyDescent="0.25">
      <c r="B18" s="8"/>
      <c r="C18" s="4" t="s">
        <v>7</v>
      </c>
      <c r="D18" s="9" t="s">
        <v>8</v>
      </c>
      <c r="E18" s="10">
        <v>801</v>
      </c>
      <c r="F18" s="11" t="s">
        <v>10</v>
      </c>
      <c r="G18" s="12">
        <v>18.309999999999999</v>
      </c>
      <c r="H18" s="12">
        <v>18.309999999999999</v>
      </c>
      <c r="I18" s="12">
        <v>18.309999999999999</v>
      </c>
      <c r="J18" s="12">
        <v>18.309999999999999</v>
      </c>
      <c r="K18" s="12">
        <v>18.309999999999999</v>
      </c>
      <c r="L18" s="12">
        <v>18.309999999999999</v>
      </c>
      <c r="M18" s="12">
        <v>18.309999999999999</v>
      </c>
      <c r="N18" s="12">
        <v>18.309999999999999</v>
      </c>
      <c r="O18" s="12">
        <v>18.309999999999999</v>
      </c>
      <c r="P18" s="12">
        <v>18.309999999999999</v>
      </c>
      <c r="Q18" s="12">
        <v>18.309999999999999</v>
      </c>
      <c r="R18" s="12">
        <v>18.309999999999999</v>
      </c>
      <c r="S18" s="13">
        <f t="shared" si="5"/>
        <v>219.72</v>
      </c>
      <c r="W18" s="2"/>
    </row>
    <row r="19" spans="2:24" ht="15.75" x14ac:dyDescent="0.25">
      <c r="B19" s="8"/>
      <c r="C19" s="4" t="s">
        <v>7</v>
      </c>
      <c r="D19" s="9" t="s">
        <v>8</v>
      </c>
      <c r="E19" s="10">
        <v>802</v>
      </c>
      <c r="F19" s="11" t="s">
        <v>11</v>
      </c>
      <c r="G19" s="12">
        <v>18.309999999999999</v>
      </c>
      <c r="H19" s="12">
        <v>18.309999999999999</v>
      </c>
      <c r="I19" s="12">
        <v>18.309999999999999</v>
      </c>
      <c r="J19" s="12">
        <v>18.309999999999999</v>
      </c>
      <c r="K19" s="12">
        <v>18.309999999999999</v>
      </c>
      <c r="L19" s="12">
        <v>18.309999999999999</v>
      </c>
      <c r="M19" s="12">
        <v>18.309999999999999</v>
      </c>
      <c r="N19" s="12">
        <v>18.309999999999999</v>
      </c>
      <c r="O19" s="12">
        <v>18.309999999999999</v>
      </c>
      <c r="P19" s="12">
        <v>18.309999999999999</v>
      </c>
      <c r="Q19" s="12">
        <v>18.309999999999999</v>
      </c>
      <c r="R19" s="12">
        <v>18.309999999999999</v>
      </c>
      <c r="S19" s="13">
        <f t="shared" si="5"/>
        <v>219.72</v>
      </c>
      <c r="W19" s="2"/>
    </row>
    <row r="20" spans="2:24" ht="15.75" x14ac:dyDescent="0.25">
      <c r="B20" s="8"/>
      <c r="C20" s="4" t="s">
        <v>7</v>
      </c>
      <c r="D20" s="9" t="s">
        <v>8</v>
      </c>
      <c r="E20" s="10">
        <v>803</v>
      </c>
      <c r="F20" s="11" t="s">
        <v>12</v>
      </c>
      <c r="G20" s="12">
        <v>18.309999999999999</v>
      </c>
      <c r="H20" s="12">
        <v>18.309999999999999</v>
      </c>
      <c r="I20" s="12">
        <v>18.309999999999999</v>
      </c>
      <c r="J20" s="12">
        <v>18.309999999999999</v>
      </c>
      <c r="K20" s="12">
        <v>18.309999999999999</v>
      </c>
      <c r="L20" s="12">
        <v>18.309999999999999</v>
      </c>
      <c r="M20" s="12">
        <v>18.309999999999999</v>
      </c>
      <c r="N20" s="12">
        <v>18.309999999999999</v>
      </c>
      <c r="O20" s="12">
        <v>18.309999999999999</v>
      </c>
      <c r="P20" s="12">
        <v>18.309999999999999</v>
      </c>
      <c r="Q20" s="12">
        <v>18.309999999999999</v>
      </c>
      <c r="R20" s="12">
        <v>18.309999999999999</v>
      </c>
      <c r="S20" s="13">
        <f t="shared" si="5"/>
        <v>219.72</v>
      </c>
      <c r="W20" s="2"/>
    </row>
    <row r="21" spans="2:24" ht="15.75" customHeight="1" x14ac:dyDescent="0.25">
      <c r="B21" s="8"/>
      <c r="C21" s="4" t="s">
        <v>7</v>
      </c>
      <c r="D21" s="9" t="s">
        <v>8</v>
      </c>
      <c r="E21" s="10">
        <v>804</v>
      </c>
      <c r="F21" s="11" t="s">
        <v>13</v>
      </c>
      <c r="G21" s="12">
        <v>18.309999999999999</v>
      </c>
      <c r="H21" s="12">
        <v>18.309999999999999</v>
      </c>
      <c r="I21" s="12">
        <v>18.309999999999999</v>
      </c>
      <c r="J21" s="12">
        <v>18.309999999999999</v>
      </c>
      <c r="K21" s="12">
        <v>18.309999999999999</v>
      </c>
      <c r="L21" s="12">
        <v>18.309999999999999</v>
      </c>
      <c r="M21" s="12">
        <v>18.309999999999999</v>
      </c>
      <c r="N21" s="12">
        <v>18.309999999999999</v>
      </c>
      <c r="O21" s="12">
        <v>18.309999999999999</v>
      </c>
      <c r="P21" s="12">
        <v>18.309999999999999</v>
      </c>
      <c r="Q21" s="12">
        <v>18.309999999999999</v>
      </c>
      <c r="R21" s="12">
        <v>18.309999999999999</v>
      </c>
      <c r="S21" s="13">
        <f t="shared" si="5"/>
        <v>219.72</v>
      </c>
      <c r="W21" s="2"/>
      <c r="X21" s="4" t="s">
        <v>14</v>
      </c>
    </row>
    <row r="22" spans="2:24" ht="15.75" customHeight="1" x14ac:dyDescent="0.25">
      <c r="B22" s="8"/>
      <c r="C22" s="4" t="s">
        <v>7</v>
      </c>
      <c r="D22" s="9" t="s">
        <v>8</v>
      </c>
      <c r="E22" s="10">
        <v>805</v>
      </c>
      <c r="F22" s="11" t="s">
        <v>15</v>
      </c>
      <c r="G22" s="12">
        <v>18.309999999999999</v>
      </c>
      <c r="H22" s="12">
        <v>18.309999999999999</v>
      </c>
      <c r="I22" s="12">
        <v>18.309999999999999</v>
      </c>
      <c r="J22" s="12">
        <v>18.309999999999999</v>
      </c>
      <c r="K22" s="12">
        <v>18.309999999999999</v>
      </c>
      <c r="L22" s="12">
        <v>18.309999999999999</v>
      </c>
      <c r="M22" s="12">
        <v>18.309999999999999</v>
      </c>
      <c r="N22" s="12">
        <v>18.309999999999999</v>
      </c>
      <c r="O22" s="12">
        <v>18.309999999999999</v>
      </c>
      <c r="P22" s="12">
        <v>18.309999999999999</v>
      </c>
      <c r="Q22" s="12">
        <v>18.309999999999999</v>
      </c>
      <c r="R22" s="12">
        <v>18.309999999999999</v>
      </c>
      <c r="S22" s="13">
        <f t="shared" si="5"/>
        <v>219.72</v>
      </c>
      <c r="W22" s="2"/>
      <c r="X22" s="4" t="s">
        <v>16</v>
      </c>
    </row>
    <row r="23" spans="2:24" ht="15.75" customHeight="1" x14ac:dyDescent="0.25">
      <c r="B23" s="8"/>
      <c r="C23" s="4" t="s">
        <v>7</v>
      </c>
      <c r="D23" s="9" t="s">
        <v>8</v>
      </c>
      <c r="E23" s="10">
        <v>806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3">
        <f t="shared" si="5"/>
        <v>0</v>
      </c>
      <c r="W23" s="2"/>
    </row>
    <row r="24" spans="2:24" ht="15.75" customHeight="1" x14ac:dyDescent="0.25">
      <c r="B24" s="8"/>
      <c r="C24" s="4" t="s">
        <v>7</v>
      </c>
      <c r="D24" s="9" t="s">
        <v>8</v>
      </c>
      <c r="E24" s="10">
        <v>807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3">
        <f t="shared" si="5"/>
        <v>0</v>
      </c>
      <c r="W24" s="2"/>
    </row>
    <row r="25" spans="2:24" ht="15.75" customHeight="1" x14ac:dyDescent="0.25">
      <c r="B25" s="8"/>
      <c r="C25" s="4" t="s">
        <v>7</v>
      </c>
      <c r="D25" s="9" t="s">
        <v>8</v>
      </c>
      <c r="E25" s="10">
        <v>808</v>
      </c>
      <c r="F25" s="10"/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3">
        <f t="shared" si="5"/>
        <v>0</v>
      </c>
      <c r="W25" s="2"/>
    </row>
    <row r="26" spans="2:24" ht="15.75" customHeight="1" x14ac:dyDescent="0.25">
      <c r="B26" s="8"/>
      <c r="C26" s="4" t="s">
        <v>7</v>
      </c>
      <c r="D26" s="9" t="s">
        <v>8</v>
      </c>
      <c r="E26" s="10">
        <v>809</v>
      </c>
      <c r="F26" s="10"/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3">
        <f t="shared" si="5"/>
        <v>0</v>
      </c>
      <c r="W26" s="2"/>
    </row>
    <row r="27" spans="2:24" ht="15.75" customHeight="1" x14ac:dyDescent="0.25">
      <c r="B27" s="8"/>
      <c r="C27" s="4" t="s">
        <v>7</v>
      </c>
      <c r="D27" s="9" t="s">
        <v>8</v>
      </c>
      <c r="E27" s="10">
        <v>810</v>
      </c>
      <c r="F27" s="10"/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3">
        <f t="shared" si="5"/>
        <v>0</v>
      </c>
      <c r="W27" s="2"/>
    </row>
    <row r="28" spans="2:24" ht="15.75" customHeight="1" x14ac:dyDescent="0.25">
      <c r="B28" s="10"/>
      <c r="C28" s="15"/>
      <c r="D28" s="16"/>
      <c r="E28" s="10"/>
      <c r="F28" s="10"/>
      <c r="G28" s="12">
        <f>SUM(G17:G27)</f>
        <v>165.5</v>
      </c>
      <c r="H28" s="12">
        <f t="shared" ref="H28:S28" si="6">SUM(H17:H27)</f>
        <v>165.5</v>
      </c>
      <c r="I28" s="12">
        <f t="shared" si="6"/>
        <v>165.5</v>
      </c>
      <c r="J28" s="12">
        <f t="shared" si="6"/>
        <v>165.5</v>
      </c>
      <c r="K28" s="12">
        <f t="shared" si="6"/>
        <v>165.5</v>
      </c>
      <c r="L28" s="12">
        <f t="shared" si="6"/>
        <v>165.5</v>
      </c>
      <c r="M28" s="12">
        <f t="shared" si="6"/>
        <v>165.5</v>
      </c>
      <c r="N28" s="12">
        <f t="shared" si="6"/>
        <v>165.5</v>
      </c>
      <c r="O28" s="12">
        <f t="shared" si="6"/>
        <v>165.5</v>
      </c>
      <c r="P28" s="12">
        <f t="shared" si="6"/>
        <v>165.5</v>
      </c>
      <c r="Q28" s="12">
        <f t="shared" si="6"/>
        <v>165.5</v>
      </c>
      <c r="R28" s="12">
        <f t="shared" si="6"/>
        <v>165.5</v>
      </c>
      <c r="S28" s="12">
        <f t="shared" si="6"/>
        <v>1986.0000000000002</v>
      </c>
      <c r="W28" s="2"/>
    </row>
    <row r="29" spans="2:24" ht="15.75" customHeight="1" x14ac:dyDescent="0.25">
      <c r="B29" s="10"/>
      <c r="C29" s="15"/>
      <c r="D29" s="16"/>
      <c r="E29" s="10"/>
      <c r="F29" s="10"/>
      <c r="G29" s="20"/>
      <c r="H29" s="20"/>
      <c r="I29" s="20"/>
      <c r="J29" s="20"/>
      <c r="K29" s="15"/>
      <c r="L29" s="1"/>
      <c r="M29" s="21"/>
      <c r="W29" s="2"/>
    </row>
    <row r="30" spans="2:24" ht="15.75" customHeight="1" x14ac:dyDescent="0.25">
      <c r="B30" s="10"/>
      <c r="C30" s="15"/>
      <c r="D30" s="16"/>
      <c r="E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W30" s="2"/>
    </row>
    <row r="31" spans="2:24" ht="15.75" customHeight="1" x14ac:dyDescent="0.25">
      <c r="B31" s="10"/>
      <c r="C31" s="15"/>
      <c r="D31" s="16"/>
      <c r="E31" s="10"/>
      <c r="F31" s="4">
        <v>2024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f t="shared" ref="S31:S32" si="7">SUM(G31:R31)</f>
        <v>0</v>
      </c>
      <c r="W31" s="2"/>
    </row>
    <row r="32" spans="2:24" ht="15.75" customHeight="1" x14ac:dyDescent="0.25">
      <c r="B32" s="10"/>
      <c r="C32" s="15"/>
      <c r="D32" s="16"/>
      <c r="E32" s="10"/>
      <c r="F32" s="4">
        <v>2025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f t="shared" si="7"/>
        <v>0</v>
      </c>
      <c r="W32" s="2"/>
    </row>
    <row r="33" spans="2:23" ht="15.75" customHeight="1" x14ac:dyDescent="0.25">
      <c r="B33" s="10"/>
      <c r="C33" s="15"/>
      <c r="D33" s="16"/>
      <c r="E33" s="10"/>
      <c r="F33" s="10"/>
      <c r="G33" s="20"/>
      <c r="H33" s="20"/>
      <c r="I33" s="20"/>
      <c r="J33" s="20"/>
      <c r="K33" s="15"/>
      <c r="L33" s="1"/>
      <c r="M33" s="21"/>
      <c r="W33" s="2"/>
    </row>
    <row r="34" spans="2:23" ht="15.75" customHeight="1" x14ac:dyDescent="0.25">
      <c r="B34" s="10"/>
      <c r="C34" s="15"/>
      <c r="D34" s="16"/>
      <c r="E34" s="10"/>
      <c r="F34" s="10"/>
      <c r="G34" s="20"/>
      <c r="H34" s="20"/>
      <c r="I34" s="20"/>
      <c r="J34" s="20"/>
      <c r="K34" s="15"/>
      <c r="L34" s="1"/>
      <c r="M34" s="21"/>
      <c r="W34" s="2"/>
    </row>
    <row r="35" spans="2:23" ht="15.75" customHeight="1" x14ac:dyDescent="0.25">
      <c r="B35" s="10"/>
      <c r="C35" s="15"/>
      <c r="D35" s="16"/>
      <c r="E35" s="10"/>
      <c r="F35" s="10"/>
      <c r="G35" s="7">
        <v>46023</v>
      </c>
      <c r="H35" s="7">
        <v>46054</v>
      </c>
      <c r="I35" s="7">
        <v>46082</v>
      </c>
      <c r="J35" s="7">
        <v>46113</v>
      </c>
      <c r="K35" s="7">
        <v>46143</v>
      </c>
      <c r="L35" s="7">
        <v>46174</v>
      </c>
      <c r="M35" s="7">
        <v>46204</v>
      </c>
      <c r="N35" s="7">
        <v>46235</v>
      </c>
      <c r="O35" s="7">
        <v>46266</v>
      </c>
      <c r="P35" s="7">
        <v>46296</v>
      </c>
      <c r="Q35" s="7">
        <v>46327</v>
      </c>
      <c r="R35" s="7">
        <v>46357</v>
      </c>
      <c r="S35" s="7" t="s">
        <v>6</v>
      </c>
      <c r="W35" s="2"/>
    </row>
    <row r="36" spans="2:23" ht="15.75" customHeight="1" x14ac:dyDescent="0.25">
      <c r="B36" s="22"/>
      <c r="C36" s="4" t="s">
        <v>17</v>
      </c>
      <c r="D36" s="9" t="s">
        <v>8</v>
      </c>
      <c r="E36" s="10">
        <v>800</v>
      </c>
      <c r="F36" s="4" t="s">
        <v>18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3">
        <f t="shared" ref="S36:S46" si="8">SUM(G36:R36)</f>
        <v>0</v>
      </c>
      <c r="W36" s="2"/>
    </row>
    <row r="37" spans="2:23" ht="15.75" customHeight="1" x14ac:dyDescent="0.25">
      <c r="B37" s="22"/>
      <c r="C37" s="4" t="s">
        <v>17</v>
      </c>
      <c r="D37" s="9" t="s">
        <v>8</v>
      </c>
      <c r="E37" s="10">
        <v>801</v>
      </c>
      <c r="F37" s="4" t="s">
        <v>19</v>
      </c>
      <c r="G37" s="23"/>
      <c r="H37" s="23"/>
      <c r="I37" s="23"/>
      <c r="J37" s="24"/>
      <c r="K37" s="25"/>
      <c r="L37" s="26"/>
      <c r="M37" s="27"/>
      <c r="N37" s="27"/>
      <c r="O37" s="27"/>
      <c r="P37" s="27"/>
      <c r="Q37" s="27"/>
      <c r="R37" s="27"/>
      <c r="S37" s="13">
        <f t="shared" si="8"/>
        <v>0</v>
      </c>
      <c r="W37" s="2"/>
    </row>
    <row r="38" spans="2:23" ht="15.75" customHeight="1" x14ac:dyDescent="0.25">
      <c r="B38" s="22"/>
      <c r="C38" s="4" t="s">
        <v>17</v>
      </c>
      <c r="D38" s="9" t="s">
        <v>8</v>
      </c>
      <c r="E38" s="10">
        <v>802</v>
      </c>
      <c r="F38" s="4" t="s">
        <v>20</v>
      </c>
      <c r="G38" s="23"/>
      <c r="H38" s="23"/>
      <c r="I38" s="23"/>
      <c r="J38" s="24"/>
      <c r="K38" s="25"/>
      <c r="L38" s="26"/>
      <c r="M38" s="27"/>
      <c r="N38" s="27"/>
      <c r="O38" s="27"/>
      <c r="P38" s="27"/>
      <c r="Q38" s="27"/>
      <c r="R38" s="27"/>
      <c r="S38" s="13">
        <f t="shared" si="8"/>
        <v>0</v>
      </c>
      <c r="W38" s="2"/>
    </row>
    <row r="39" spans="2:23" ht="15.75" customHeight="1" x14ac:dyDescent="0.25">
      <c r="B39" s="22"/>
      <c r="C39" s="4" t="s">
        <v>17</v>
      </c>
      <c r="D39" s="9" t="s">
        <v>8</v>
      </c>
      <c r="E39" s="10">
        <v>803</v>
      </c>
      <c r="F39" s="4" t="s">
        <v>21</v>
      </c>
      <c r="G39" s="23"/>
      <c r="H39" s="23"/>
      <c r="I39" s="23"/>
      <c r="J39" s="24"/>
      <c r="K39" s="25"/>
      <c r="L39" s="26"/>
      <c r="M39" s="27"/>
      <c r="N39" s="27"/>
      <c r="O39" s="27"/>
      <c r="P39" s="27"/>
      <c r="Q39" s="27"/>
      <c r="R39" s="27"/>
      <c r="S39" s="13">
        <f t="shared" si="8"/>
        <v>0</v>
      </c>
      <c r="W39" s="2"/>
    </row>
    <row r="40" spans="2:23" ht="15.75" customHeight="1" x14ac:dyDescent="0.25">
      <c r="B40" s="22"/>
      <c r="C40" s="4" t="s">
        <v>17</v>
      </c>
      <c r="D40" s="9" t="s">
        <v>8</v>
      </c>
      <c r="E40" s="10">
        <v>804</v>
      </c>
      <c r="F40" s="4" t="s">
        <v>22</v>
      </c>
      <c r="G40" s="23"/>
      <c r="H40" s="23"/>
      <c r="I40" s="23"/>
      <c r="J40" s="24"/>
      <c r="K40" s="25"/>
      <c r="L40" s="26"/>
      <c r="M40" s="27"/>
      <c r="N40" s="27"/>
      <c r="O40" s="27"/>
      <c r="P40" s="27"/>
      <c r="Q40" s="27"/>
      <c r="R40" s="27"/>
      <c r="S40" s="13">
        <f t="shared" si="8"/>
        <v>0</v>
      </c>
      <c r="W40" s="2"/>
    </row>
    <row r="41" spans="2:23" ht="15.75" customHeight="1" x14ac:dyDescent="0.25">
      <c r="B41" s="22"/>
      <c r="C41" s="4" t="s">
        <v>17</v>
      </c>
      <c r="D41" s="9" t="s">
        <v>8</v>
      </c>
      <c r="E41" s="10">
        <v>805</v>
      </c>
      <c r="F41" s="4" t="s">
        <v>23</v>
      </c>
      <c r="G41" s="23"/>
      <c r="H41" s="23"/>
      <c r="I41" s="23"/>
      <c r="J41" s="24"/>
      <c r="K41" s="25"/>
      <c r="L41" s="26"/>
      <c r="M41" s="27"/>
      <c r="N41" s="27"/>
      <c r="O41" s="27"/>
      <c r="P41" s="27"/>
      <c r="Q41" s="27"/>
      <c r="R41" s="27"/>
      <c r="S41" s="13">
        <f t="shared" si="8"/>
        <v>0</v>
      </c>
      <c r="W41" s="2"/>
    </row>
    <row r="42" spans="2:23" ht="15.75" customHeight="1" x14ac:dyDescent="0.25">
      <c r="B42" s="22"/>
      <c r="C42" s="4" t="s">
        <v>17</v>
      </c>
      <c r="D42" s="9" t="s">
        <v>8</v>
      </c>
      <c r="E42" s="10">
        <v>806</v>
      </c>
      <c r="F42" s="10"/>
      <c r="G42" s="23"/>
      <c r="H42" s="23"/>
      <c r="I42" s="23"/>
      <c r="J42" s="24"/>
      <c r="K42" s="25"/>
      <c r="L42" s="26"/>
      <c r="M42" s="27"/>
      <c r="N42" s="27"/>
      <c r="O42" s="27"/>
      <c r="P42" s="27"/>
      <c r="Q42" s="27"/>
      <c r="R42" s="27"/>
      <c r="S42" s="13">
        <f t="shared" si="8"/>
        <v>0</v>
      </c>
      <c r="W42" s="2"/>
    </row>
    <row r="43" spans="2:23" ht="15.75" customHeight="1" x14ac:dyDescent="0.25">
      <c r="B43" s="22"/>
      <c r="C43" s="4" t="s">
        <v>17</v>
      </c>
      <c r="D43" s="9" t="s">
        <v>8</v>
      </c>
      <c r="E43" s="10">
        <v>807</v>
      </c>
      <c r="F43" s="10"/>
      <c r="G43" s="23"/>
      <c r="H43" s="23"/>
      <c r="I43" s="23"/>
      <c r="J43" s="24"/>
      <c r="K43" s="25"/>
      <c r="L43" s="26"/>
      <c r="M43" s="27"/>
      <c r="N43" s="27"/>
      <c r="O43" s="27"/>
      <c r="P43" s="27"/>
      <c r="Q43" s="27"/>
      <c r="R43" s="27"/>
      <c r="S43" s="13">
        <f t="shared" si="8"/>
        <v>0</v>
      </c>
      <c r="W43" s="2"/>
    </row>
    <row r="44" spans="2:23" ht="15.75" customHeight="1" x14ac:dyDescent="0.25">
      <c r="B44" s="22"/>
      <c r="C44" s="4" t="s">
        <v>17</v>
      </c>
      <c r="D44" s="9" t="s">
        <v>8</v>
      </c>
      <c r="E44" s="10">
        <v>808</v>
      </c>
      <c r="F44" s="10"/>
      <c r="G44" s="23"/>
      <c r="H44" s="23"/>
      <c r="I44" s="23"/>
      <c r="J44" s="24"/>
      <c r="K44" s="25"/>
      <c r="L44" s="26"/>
      <c r="M44" s="27"/>
      <c r="N44" s="27"/>
      <c r="O44" s="27"/>
      <c r="P44" s="27"/>
      <c r="Q44" s="27"/>
      <c r="R44" s="27"/>
      <c r="S44" s="13">
        <f t="shared" si="8"/>
        <v>0</v>
      </c>
      <c r="W44" s="2"/>
    </row>
    <row r="45" spans="2:23" ht="15.75" customHeight="1" x14ac:dyDescent="0.25">
      <c r="B45" s="22"/>
      <c r="C45" s="4" t="s">
        <v>17</v>
      </c>
      <c r="D45" s="9" t="s">
        <v>8</v>
      </c>
      <c r="E45" s="10">
        <v>809</v>
      </c>
      <c r="F45" s="10"/>
      <c r="G45" s="23"/>
      <c r="H45" s="23"/>
      <c r="I45" s="23"/>
      <c r="J45" s="24"/>
      <c r="K45" s="25"/>
      <c r="L45" s="26"/>
      <c r="M45" s="27"/>
      <c r="N45" s="27"/>
      <c r="O45" s="27"/>
      <c r="P45" s="27"/>
      <c r="Q45" s="27"/>
      <c r="R45" s="27"/>
      <c r="S45" s="13">
        <f t="shared" si="8"/>
        <v>0</v>
      </c>
      <c r="W45" s="2"/>
    </row>
    <row r="46" spans="2:23" ht="15.75" customHeight="1" thickBot="1" x14ac:dyDescent="0.3">
      <c r="B46" s="22"/>
      <c r="C46" s="4" t="s">
        <v>17</v>
      </c>
      <c r="D46" s="9" t="s">
        <v>8</v>
      </c>
      <c r="E46" s="10">
        <v>810</v>
      </c>
      <c r="F46" s="10"/>
      <c r="G46" s="28"/>
      <c r="H46" s="28"/>
      <c r="I46" s="28"/>
      <c r="J46" s="29"/>
      <c r="K46" s="30"/>
      <c r="L46" s="31"/>
      <c r="M46" s="32"/>
      <c r="N46" s="32"/>
      <c r="O46" s="32"/>
      <c r="P46" s="32"/>
      <c r="Q46" s="32"/>
      <c r="R46" s="32"/>
      <c r="S46" s="13">
        <f t="shared" si="8"/>
        <v>0</v>
      </c>
      <c r="W46" s="2"/>
    </row>
    <row r="47" spans="2:23" ht="15.75" customHeight="1" thickBot="1" x14ac:dyDescent="0.3">
      <c r="B47" s="10"/>
      <c r="C47" s="15"/>
      <c r="D47" s="16"/>
      <c r="E47" s="10"/>
      <c r="F47" s="10"/>
      <c r="G47" s="12">
        <f t="shared" ref="G47" si="9">SUM(G36:G46)</f>
        <v>0</v>
      </c>
      <c r="H47" s="12">
        <f t="shared" ref="H47" si="10">SUM(H36:H46)</f>
        <v>0</v>
      </c>
      <c r="I47" s="12">
        <f t="shared" ref="I47" si="11">SUM(I36:I46)</f>
        <v>0</v>
      </c>
      <c r="J47" s="12">
        <f t="shared" ref="J47" si="12">SUM(J36:J46)</f>
        <v>0</v>
      </c>
      <c r="K47" s="12">
        <f t="shared" ref="K47" si="13">SUM(K36:K46)</f>
        <v>0</v>
      </c>
      <c r="L47" s="12">
        <f t="shared" ref="L47" si="14">SUM(L36:L46)</f>
        <v>0</v>
      </c>
      <c r="M47" s="12">
        <f t="shared" ref="M47" si="15">SUM(M36:M46)</f>
        <v>0</v>
      </c>
      <c r="N47" s="12">
        <f t="shared" ref="N47" si="16">SUM(N36:N46)</f>
        <v>0</v>
      </c>
      <c r="O47" s="12">
        <f t="shared" ref="O47" si="17">SUM(O36:O46)</f>
        <v>0</v>
      </c>
      <c r="P47" s="12">
        <f t="shared" ref="P47" si="18">SUM(P36:P46)</f>
        <v>0</v>
      </c>
      <c r="Q47" s="12">
        <f t="shared" ref="Q47" si="19">SUM(Q36:Q46)</f>
        <v>0</v>
      </c>
      <c r="R47" s="12">
        <f t="shared" ref="R47" si="20">SUM(R36:R46)</f>
        <v>0</v>
      </c>
      <c r="S47" s="19">
        <f t="shared" ref="S47" si="21">SUM(S36:S46)</f>
        <v>0</v>
      </c>
      <c r="W47" s="2"/>
    </row>
    <row r="48" spans="2:23" ht="15.75" customHeight="1" x14ac:dyDescent="0.25">
      <c r="B48" s="10"/>
      <c r="C48" s="15"/>
      <c r="D48" s="16"/>
      <c r="E48" s="10"/>
      <c r="F48" s="10"/>
      <c r="G48" s="20"/>
      <c r="H48" s="20"/>
      <c r="I48" s="20"/>
      <c r="J48" s="20"/>
      <c r="K48" s="15"/>
      <c r="L48" s="1"/>
      <c r="M48" s="21"/>
      <c r="W48" s="2"/>
    </row>
    <row r="49" spans="2:25" ht="15.75" customHeight="1" x14ac:dyDescent="0.25">
      <c r="B49" s="10"/>
      <c r="C49" s="15"/>
      <c r="D49" s="16"/>
      <c r="E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W49" s="2"/>
    </row>
    <row r="50" spans="2:25" ht="15.75" customHeight="1" x14ac:dyDescent="0.25">
      <c r="B50" s="10"/>
      <c r="C50" s="15"/>
      <c r="D50" s="16"/>
      <c r="E50" s="10"/>
      <c r="F50" s="4">
        <v>2024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f t="shared" ref="S50:S51" si="22">SUM(G50:R50)</f>
        <v>0</v>
      </c>
      <c r="W50" s="2"/>
    </row>
    <row r="51" spans="2:25" ht="15.75" customHeight="1" x14ac:dyDescent="0.25">
      <c r="B51" s="10"/>
      <c r="C51" s="15"/>
      <c r="D51" s="16"/>
      <c r="E51" s="10"/>
      <c r="F51" s="4">
        <v>2025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f t="shared" si="22"/>
        <v>0</v>
      </c>
      <c r="W51" s="2"/>
    </row>
    <row r="52" spans="2:25" ht="15.75" customHeight="1" x14ac:dyDescent="0.25">
      <c r="B52" s="10"/>
      <c r="C52" s="15"/>
      <c r="D52" s="16"/>
      <c r="E52" s="10"/>
      <c r="F52" s="33"/>
      <c r="G52" s="34"/>
      <c r="H52" s="20"/>
      <c r="I52" s="20"/>
      <c r="J52" s="20"/>
      <c r="K52" s="15"/>
      <c r="L52" s="1"/>
      <c r="M52" s="21"/>
      <c r="W52" s="2"/>
    </row>
    <row r="53" spans="2:25" ht="15.75" customHeight="1" x14ac:dyDescent="0.25">
      <c r="B53" s="10"/>
      <c r="C53" s="15"/>
      <c r="D53" s="16"/>
      <c r="E53" s="10"/>
      <c r="F53" s="33"/>
      <c r="G53" s="34"/>
      <c r="H53" s="20"/>
      <c r="I53" s="20"/>
      <c r="J53" s="20"/>
      <c r="K53" s="15"/>
      <c r="L53" s="1"/>
      <c r="M53" s="21"/>
      <c r="W53" s="2"/>
    </row>
    <row r="54" spans="2:25" ht="15.75" customHeight="1" x14ac:dyDescent="0.25">
      <c r="B54" s="10"/>
      <c r="C54" s="15"/>
      <c r="D54" s="16"/>
      <c r="E54" s="10"/>
      <c r="F54" s="10"/>
      <c r="G54" s="7">
        <v>46023</v>
      </c>
      <c r="H54" s="7">
        <v>46054</v>
      </c>
      <c r="I54" s="7">
        <v>46082</v>
      </c>
      <c r="J54" s="7">
        <v>46113</v>
      </c>
      <c r="K54" s="7">
        <v>46143</v>
      </c>
      <c r="L54" s="7">
        <v>46174</v>
      </c>
      <c r="M54" s="7">
        <v>46204</v>
      </c>
      <c r="N54" s="7">
        <v>46235</v>
      </c>
      <c r="O54" s="7">
        <v>46266</v>
      </c>
      <c r="P54" s="7">
        <v>46296</v>
      </c>
      <c r="Q54" s="7">
        <v>46327</v>
      </c>
      <c r="R54" s="7">
        <v>46357</v>
      </c>
      <c r="S54" s="7" t="s">
        <v>6</v>
      </c>
      <c r="W54" s="2"/>
    </row>
    <row r="55" spans="2:25" ht="15.75" customHeight="1" x14ac:dyDescent="0.25">
      <c r="B55" s="22"/>
      <c r="C55" s="4" t="s">
        <v>24</v>
      </c>
      <c r="D55" s="9" t="s">
        <v>8</v>
      </c>
      <c r="E55" s="10">
        <v>800</v>
      </c>
      <c r="F55" s="35" t="s">
        <v>25</v>
      </c>
      <c r="G55" s="36">
        <v>275.92</v>
      </c>
      <c r="H55" s="36">
        <v>275.92</v>
      </c>
      <c r="I55" s="36">
        <v>275.92</v>
      </c>
      <c r="J55" s="36">
        <v>275.92</v>
      </c>
      <c r="K55" s="36">
        <v>275.92</v>
      </c>
      <c r="L55" s="36">
        <v>275.92</v>
      </c>
      <c r="M55" s="36">
        <v>275.92</v>
      </c>
      <c r="N55" s="36">
        <v>275.92</v>
      </c>
      <c r="O55" s="36">
        <v>275.92</v>
      </c>
      <c r="P55" s="36">
        <v>275.92</v>
      </c>
      <c r="Q55" s="36">
        <v>275.92</v>
      </c>
      <c r="R55" s="36">
        <v>275.92</v>
      </c>
      <c r="S55" s="13">
        <f t="shared" ref="S55:S58" si="23">SUM(G55:R55)</f>
        <v>3311.0400000000004</v>
      </c>
      <c r="W55" s="2"/>
    </row>
    <row r="56" spans="2:25" ht="15.75" customHeight="1" x14ac:dyDescent="0.25">
      <c r="B56" s="22"/>
      <c r="C56" s="4" t="s">
        <v>24</v>
      </c>
      <c r="D56" s="9" t="s">
        <v>8</v>
      </c>
      <c r="E56" s="10">
        <v>801</v>
      </c>
      <c r="F56" s="11" t="s">
        <v>26</v>
      </c>
      <c r="G56" s="12">
        <v>40</v>
      </c>
      <c r="H56" s="12">
        <v>40</v>
      </c>
      <c r="I56" s="12">
        <v>40</v>
      </c>
      <c r="J56" s="12">
        <v>40</v>
      </c>
      <c r="K56" s="12">
        <v>40</v>
      </c>
      <c r="L56" s="12">
        <v>40</v>
      </c>
      <c r="M56" s="12">
        <v>40</v>
      </c>
      <c r="N56" s="12">
        <v>40</v>
      </c>
      <c r="O56" s="12">
        <v>40</v>
      </c>
      <c r="P56" s="12">
        <v>40</v>
      </c>
      <c r="Q56" s="12">
        <v>40</v>
      </c>
      <c r="R56" s="12">
        <v>40</v>
      </c>
      <c r="S56" s="13">
        <f t="shared" si="23"/>
        <v>480</v>
      </c>
      <c r="W56" s="2"/>
    </row>
    <row r="57" spans="2:25" ht="15.75" customHeight="1" x14ac:dyDescent="0.25">
      <c r="B57" s="22"/>
      <c r="C57" s="4" t="s">
        <v>24</v>
      </c>
      <c r="D57" s="9" t="s">
        <v>8</v>
      </c>
      <c r="E57" s="10">
        <v>802</v>
      </c>
      <c r="F57" s="11" t="s">
        <v>27</v>
      </c>
      <c r="G57" s="12">
        <v>25</v>
      </c>
      <c r="H57" s="12">
        <v>25</v>
      </c>
      <c r="I57" s="12">
        <v>25</v>
      </c>
      <c r="J57" s="12">
        <v>25</v>
      </c>
      <c r="K57" s="12">
        <v>25</v>
      </c>
      <c r="L57" s="12">
        <v>25</v>
      </c>
      <c r="M57" s="12">
        <v>25</v>
      </c>
      <c r="N57" s="12">
        <v>25</v>
      </c>
      <c r="O57" s="12">
        <v>25</v>
      </c>
      <c r="P57" s="12">
        <v>25</v>
      </c>
      <c r="Q57" s="12">
        <v>25</v>
      </c>
      <c r="R57" s="12">
        <v>25</v>
      </c>
      <c r="S57" s="13">
        <f t="shared" si="23"/>
        <v>300</v>
      </c>
      <c r="W57" s="2"/>
    </row>
    <row r="58" spans="2:25" ht="15.75" customHeight="1" x14ac:dyDescent="0.25">
      <c r="B58" s="22"/>
      <c r="C58" s="4" t="s">
        <v>24</v>
      </c>
      <c r="D58" s="9" t="s">
        <v>8</v>
      </c>
      <c r="E58" s="10">
        <v>803</v>
      </c>
      <c r="F58" s="11" t="s">
        <v>28</v>
      </c>
      <c r="G58" s="12">
        <v>25</v>
      </c>
      <c r="H58" s="12">
        <v>25</v>
      </c>
      <c r="I58" s="12">
        <v>25</v>
      </c>
      <c r="J58" s="12">
        <v>25</v>
      </c>
      <c r="K58" s="12">
        <v>25</v>
      </c>
      <c r="L58" s="12">
        <v>25</v>
      </c>
      <c r="M58" s="12">
        <v>25</v>
      </c>
      <c r="N58" s="12">
        <v>25</v>
      </c>
      <c r="O58" s="12">
        <v>25</v>
      </c>
      <c r="P58" s="12">
        <v>25</v>
      </c>
      <c r="Q58" s="12">
        <v>25</v>
      </c>
      <c r="R58" s="12">
        <v>25</v>
      </c>
      <c r="S58" s="13">
        <f t="shared" si="23"/>
        <v>300</v>
      </c>
      <c r="W58" s="2"/>
    </row>
    <row r="59" spans="2:25" ht="15.75" customHeight="1" x14ac:dyDescent="0.25">
      <c r="B59" s="22"/>
      <c r="C59" s="4" t="s">
        <v>24</v>
      </c>
      <c r="D59" s="9" t="s">
        <v>8</v>
      </c>
      <c r="E59" s="10">
        <v>804</v>
      </c>
      <c r="F59" s="11"/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3"/>
      <c r="W59" s="2"/>
    </row>
    <row r="60" spans="2:25" ht="15.75" customHeight="1" x14ac:dyDescent="0.25">
      <c r="B60" s="22"/>
      <c r="C60" s="4" t="s">
        <v>24</v>
      </c>
      <c r="D60" s="9" t="s">
        <v>8</v>
      </c>
      <c r="E60" s="10">
        <v>805</v>
      </c>
      <c r="F60" s="10"/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3">
        <f t="shared" ref="S60:S65" si="24">SUM(G60:R60)</f>
        <v>0</v>
      </c>
      <c r="W60" s="2"/>
    </row>
    <row r="61" spans="2:25" ht="15.75" customHeight="1" x14ac:dyDescent="0.25">
      <c r="B61" s="22"/>
      <c r="C61" s="4" t="s">
        <v>24</v>
      </c>
      <c r="D61" s="9" t="s">
        <v>8</v>
      </c>
      <c r="E61" s="10">
        <v>806</v>
      </c>
      <c r="F61" s="10"/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3">
        <f t="shared" si="24"/>
        <v>0</v>
      </c>
      <c r="W61" s="2"/>
      <c r="Y61" s="4" t="s">
        <v>29</v>
      </c>
    </row>
    <row r="62" spans="2:25" ht="15.75" customHeight="1" x14ac:dyDescent="0.25">
      <c r="B62" s="22"/>
      <c r="C62" s="4" t="s">
        <v>24</v>
      </c>
      <c r="D62" s="9" t="s">
        <v>8</v>
      </c>
      <c r="E62" s="10">
        <v>807</v>
      </c>
      <c r="F62" s="10"/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3">
        <f t="shared" si="24"/>
        <v>0</v>
      </c>
      <c r="W62" s="2"/>
      <c r="Y62" s="4" t="s">
        <v>30</v>
      </c>
    </row>
    <row r="63" spans="2:25" ht="15.75" customHeight="1" x14ac:dyDescent="0.25">
      <c r="B63" s="22"/>
      <c r="C63" s="4" t="s">
        <v>24</v>
      </c>
      <c r="D63" s="9" t="s">
        <v>8</v>
      </c>
      <c r="E63" s="10">
        <v>808</v>
      </c>
      <c r="F63" s="10"/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3">
        <f t="shared" si="24"/>
        <v>0</v>
      </c>
      <c r="W63" s="2"/>
      <c r="Y63" s="4" t="s">
        <v>31</v>
      </c>
    </row>
    <row r="64" spans="2:25" ht="15.75" customHeight="1" x14ac:dyDescent="0.25">
      <c r="B64" s="22"/>
      <c r="C64" s="4" t="s">
        <v>24</v>
      </c>
      <c r="D64" s="9" t="s">
        <v>8</v>
      </c>
      <c r="E64" s="10">
        <v>809</v>
      </c>
      <c r="F64" s="10"/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3">
        <f t="shared" si="24"/>
        <v>0</v>
      </c>
      <c r="W64" s="2"/>
      <c r="Y64" s="4" t="s">
        <v>32</v>
      </c>
    </row>
    <row r="65" spans="2:23" ht="15.75" customHeight="1" x14ac:dyDescent="0.25">
      <c r="B65" s="22"/>
      <c r="C65" s="4" t="s">
        <v>24</v>
      </c>
      <c r="D65" s="9" t="s">
        <v>8</v>
      </c>
      <c r="E65" s="10">
        <v>810</v>
      </c>
      <c r="F65" s="10"/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3">
        <f t="shared" si="24"/>
        <v>0</v>
      </c>
      <c r="W65" s="2"/>
    </row>
    <row r="66" spans="2:23" ht="15.75" customHeight="1" x14ac:dyDescent="0.25">
      <c r="B66" s="10"/>
      <c r="C66" s="15"/>
      <c r="D66" s="16"/>
      <c r="E66" s="10"/>
      <c r="F66" s="10"/>
      <c r="G66" s="12">
        <f t="shared" ref="G66" si="25">SUM(G55:G65)</f>
        <v>365.92</v>
      </c>
      <c r="H66" s="12">
        <f t="shared" ref="H66" si="26">SUM(H55:H65)</f>
        <v>365.92</v>
      </c>
      <c r="I66" s="12">
        <f t="shared" ref="I66" si="27">SUM(I55:I65)</f>
        <v>365.92</v>
      </c>
      <c r="J66" s="12">
        <f t="shared" ref="J66" si="28">SUM(J55:J65)</f>
        <v>365.92</v>
      </c>
      <c r="K66" s="12">
        <f t="shared" ref="K66" si="29">SUM(K55:K65)</f>
        <v>365.92</v>
      </c>
      <c r="L66" s="12">
        <f t="shared" ref="L66" si="30">SUM(L55:L65)</f>
        <v>365.92</v>
      </c>
      <c r="M66" s="12">
        <f t="shared" ref="M66" si="31">SUM(M55:M65)</f>
        <v>365.92</v>
      </c>
      <c r="N66" s="12">
        <f t="shared" ref="N66" si="32">SUM(N55:N65)</f>
        <v>365.92</v>
      </c>
      <c r="O66" s="12">
        <f t="shared" ref="O66" si="33">SUM(O55:O65)</f>
        <v>365.92</v>
      </c>
      <c r="P66" s="12">
        <f t="shared" ref="P66" si="34">SUM(P55:P65)</f>
        <v>365.92</v>
      </c>
      <c r="Q66" s="12">
        <f t="shared" ref="Q66" si="35">SUM(Q55:Q65)</f>
        <v>365.92</v>
      </c>
      <c r="R66" s="12">
        <f t="shared" ref="R66:S66" si="36">SUM(R55:R65)</f>
        <v>365.92</v>
      </c>
      <c r="S66" s="12">
        <f t="shared" si="36"/>
        <v>4391.0400000000009</v>
      </c>
      <c r="W66" s="2"/>
    </row>
    <row r="67" spans="2:23" ht="15.75" customHeight="1" x14ac:dyDescent="0.25">
      <c r="B67" s="10"/>
      <c r="C67" s="15"/>
      <c r="D67" s="16"/>
      <c r="E67" s="10"/>
      <c r="F67" s="10"/>
      <c r="G67" s="20"/>
      <c r="H67" s="20"/>
      <c r="I67" s="20"/>
      <c r="J67" s="20"/>
      <c r="K67" s="15"/>
      <c r="L67" s="1"/>
      <c r="M67" s="21"/>
      <c r="W67" s="2"/>
    </row>
    <row r="68" spans="2:23" ht="15.75" customHeight="1" x14ac:dyDescent="0.25">
      <c r="B68" s="10"/>
      <c r="C68" s="15"/>
      <c r="D68" s="16"/>
      <c r="E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W68" s="2"/>
    </row>
    <row r="69" spans="2:23" ht="15.75" customHeight="1" x14ac:dyDescent="0.25">
      <c r="B69" s="10"/>
      <c r="C69" s="15"/>
      <c r="D69" s="16"/>
      <c r="E69" s="10"/>
      <c r="F69" s="4">
        <v>2024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f t="shared" ref="S69:S70" si="37">SUM(G69:R69)</f>
        <v>0</v>
      </c>
      <c r="W69" s="2"/>
    </row>
    <row r="70" spans="2:23" ht="15.75" customHeight="1" x14ac:dyDescent="0.25">
      <c r="B70" s="10"/>
      <c r="C70" s="15"/>
      <c r="D70" s="16"/>
      <c r="E70" s="10"/>
      <c r="F70" s="4">
        <v>2025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f t="shared" si="37"/>
        <v>0</v>
      </c>
      <c r="W70" s="2"/>
    </row>
    <row r="71" spans="2:23" ht="15.75" customHeight="1" x14ac:dyDescent="0.25">
      <c r="B71" s="10"/>
      <c r="C71" s="15"/>
      <c r="D71" s="16"/>
      <c r="E71" s="10"/>
      <c r="F71" s="10"/>
      <c r="G71" s="20"/>
      <c r="H71" s="20"/>
      <c r="I71" s="20"/>
      <c r="J71" s="20"/>
      <c r="K71" s="15"/>
      <c r="L71" s="1"/>
      <c r="M71" s="21"/>
      <c r="W71" s="2"/>
    </row>
    <row r="72" spans="2:23" ht="15.75" customHeight="1" x14ac:dyDescent="0.25">
      <c r="B72" s="10"/>
      <c r="C72" s="15"/>
      <c r="D72" s="16"/>
      <c r="E72" s="10"/>
      <c r="F72" s="10"/>
      <c r="G72" s="20"/>
      <c r="H72" s="20"/>
      <c r="I72" s="20"/>
      <c r="J72" s="20"/>
      <c r="K72" s="15"/>
      <c r="L72" s="1"/>
      <c r="M72" s="21"/>
      <c r="W72" s="2"/>
    </row>
    <row r="73" spans="2:23" ht="15.75" customHeight="1" x14ac:dyDescent="0.25">
      <c r="B73" s="10"/>
      <c r="C73" s="15"/>
      <c r="D73" s="16"/>
      <c r="E73" s="10"/>
      <c r="F73" s="10"/>
      <c r="G73" s="7">
        <v>46023</v>
      </c>
      <c r="H73" s="7">
        <v>46054</v>
      </c>
      <c r="I73" s="7">
        <v>46082</v>
      </c>
      <c r="J73" s="7">
        <v>46113</v>
      </c>
      <c r="K73" s="7">
        <v>46143</v>
      </c>
      <c r="L73" s="7">
        <v>46174</v>
      </c>
      <c r="M73" s="7">
        <v>46204</v>
      </c>
      <c r="N73" s="7">
        <v>46235</v>
      </c>
      <c r="O73" s="7">
        <v>46266</v>
      </c>
      <c r="P73" s="7">
        <v>46296</v>
      </c>
      <c r="Q73" s="7">
        <v>46327</v>
      </c>
      <c r="R73" s="7">
        <v>46357</v>
      </c>
      <c r="S73" s="7" t="s">
        <v>6</v>
      </c>
      <c r="W73" s="2"/>
    </row>
    <row r="74" spans="2:23" ht="15.75" customHeight="1" x14ac:dyDescent="0.25">
      <c r="B74" s="22"/>
      <c r="C74" s="4" t="s">
        <v>33</v>
      </c>
      <c r="D74" s="9" t="s">
        <v>8</v>
      </c>
      <c r="E74" s="10">
        <v>800</v>
      </c>
      <c r="F74" s="10" t="s">
        <v>34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3">
        <f t="shared" ref="S74:S84" si="38">SUM(G74:R74)</f>
        <v>0</v>
      </c>
      <c r="W74" s="2"/>
    </row>
    <row r="75" spans="2:23" ht="15.75" customHeight="1" x14ac:dyDescent="0.25">
      <c r="B75" s="22"/>
      <c r="C75" s="4" t="s">
        <v>33</v>
      </c>
      <c r="D75" s="9" t="s">
        <v>8</v>
      </c>
      <c r="E75" s="10">
        <v>801</v>
      </c>
      <c r="F75" s="10"/>
      <c r="G75" s="23"/>
      <c r="H75" s="23"/>
      <c r="I75" s="23"/>
      <c r="J75" s="24"/>
      <c r="K75" s="25"/>
      <c r="L75" s="26"/>
      <c r="M75" s="27"/>
      <c r="N75" s="27"/>
      <c r="O75" s="27"/>
      <c r="P75" s="27"/>
      <c r="Q75" s="27"/>
      <c r="R75" s="27"/>
      <c r="S75" s="13">
        <f t="shared" si="38"/>
        <v>0</v>
      </c>
      <c r="W75" s="2"/>
    </row>
    <row r="76" spans="2:23" ht="15.75" customHeight="1" x14ac:dyDescent="0.25">
      <c r="B76" s="22"/>
      <c r="C76" s="4" t="s">
        <v>33</v>
      </c>
      <c r="D76" s="9" t="s">
        <v>8</v>
      </c>
      <c r="E76" s="10">
        <v>802</v>
      </c>
      <c r="F76" s="10"/>
      <c r="G76" s="23"/>
      <c r="H76" s="23"/>
      <c r="I76" s="23"/>
      <c r="J76" s="24"/>
      <c r="K76" s="25"/>
      <c r="L76" s="26"/>
      <c r="M76" s="27"/>
      <c r="N76" s="27"/>
      <c r="O76" s="27"/>
      <c r="P76" s="27"/>
      <c r="Q76" s="27"/>
      <c r="R76" s="27"/>
      <c r="S76" s="13">
        <f t="shared" si="38"/>
        <v>0</v>
      </c>
      <c r="W76" s="2"/>
    </row>
    <row r="77" spans="2:23" ht="15.75" customHeight="1" x14ac:dyDescent="0.25">
      <c r="B77" s="22"/>
      <c r="C77" s="4" t="s">
        <v>33</v>
      </c>
      <c r="D77" s="9" t="s">
        <v>8</v>
      </c>
      <c r="E77" s="10">
        <v>803</v>
      </c>
      <c r="F77" s="10"/>
      <c r="G77" s="23"/>
      <c r="H77" s="23"/>
      <c r="I77" s="23"/>
      <c r="J77" s="24"/>
      <c r="K77" s="25"/>
      <c r="L77" s="26"/>
      <c r="M77" s="27"/>
      <c r="N77" s="27"/>
      <c r="O77" s="27"/>
      <c r="P77" s="27"/>
      <c r="Q77" s="27"/>
      <c r="R77" s="27"/>
      <c r="S77" s="13">
        <f t="shared" si="38"/>
        <v>0</v>
      </c>
      <c r="W77" s="2"/>
    </row>
    <row r="78" spans="2:23" ht="15.75" customHeight="1" x14ac:dyDescent="0.25">
      <c r="B78" s="22"/>
      <c r="C78" s="4" t="s">
        <v>33</v>
      </c>
      <c r="D78" s="9" t="s">
        <v>8</v>
      </c>
      <c r="E78" s="10">
        <v>804</v>
      </c>
      <c r="F78" s="10"/>
      <c r="G78" s="23"/>
      <c r="H78" s="23"/>
      <c r="I78" s="23"/>
      <c r="J78" s="24"/>
      <c r="K78" s="25"/>
      <c r="L78" s="26"/>
      <c r="M78" s="27"/>
      <c r="N78" s="27"/>
      <c r="O78" s="27"/>
      <c r="P78" s="27"/>
      <c r="Q78" s="27"/>
      <c r="R78" s="27"/>
      <c r="S78" s="13">
        <f t="shared" si="38"/>
        <v>0</v>
      </c>
      <c r="W78" s="2"/>
    </row>
    <row r="79" spans="2:23" ht="15.75" customHeight="1" x14ac:dyDescent="0.25">
      <c r="B79" s="22"/>
      <c r="C79" s="4" t="s">
        <v>33</v>
      </c>
      <c r="D79" s="9" t="s">
        <v>8</v>
      </c>
      <c r="E79" s="10">
        <v>805</v>
      </c>
      <c r="F79" s="10"/>
      <c r="G79" s="23"/>
      <c r="H79" s="23"/>
      <c r="I79" s="23"/>
      <c r="J79" s="24"/>
      <c r="K79" s="25"/>
      <c r="L79" s="26"/>
      <c r="M79" s="27"/>
      <c r="N79" s="27"/>
      <c r="O79" s="27"/>
      <c r="P79" s="27"/>
      <c r="Q79" s="27"/>
      <c r="R79" s="27"/>
      <c r="S79" s="13">
        <f t="shared" si="38"/>
        <v>0</v>
      </c>
      <c r="W79" s="2"/>
    </row>
    <row r="80" spans="2:23" ht="15.75" customHeight="1" x14ac:dyDescent="0.25">
      <c r="B80" s="22"/>
      <c r="C80" s="4" t="s">
        <v>33</v>
      </c>
      <c r="D80" s="9" t="s">
        <v>8</v>
      </c>
      <c r="E80" s="10">
        <v>806</v>
      </c>
      <c r="F80" s="10"/>
      <c r="G80" s="23"/>
      <c r="H80" s="23"/>
      <c r="I80" s="23"/>
      <c r="J80" s="24"/>
      <c r="K80" s="25"/>
      <c r="L80" s="26"/>
      <c r="M80" s="27"/>
      <c r="N80" s="27"/>
      <c r="O80" s="27"/>
      <c r="P80" s="27"/>
      <c r="Q80" s="27"/>
      <c r="R80" s="27"/>
      <c r="S80" s="13">
        <f t="shared" si="38"/>
        <v>0</v>
      </c>
      <c r="W80" s="2"/>
    </row>
    <row r="81" spans="2:23" ht="15.75" customHeight="1" x14ac:dyDescent="0.25">
      <c r="B81" s="22"/>
      <c r="C81" s="4" t="s">
        <v>33</v>
      </c>
      <c r="D81" s="9" t="s">
        <v>8</v>
      </c>
      <c r="E81" s="10">
        <v>807</v>
      </c>
      <c r="F81" s="10"/>
      <c r="G81" s="23"/>
      <c r="H81" s="23"/>
      <c r="I81" s="23"/>
      <c r="J81" s="24"/>
      <c r="K81" s="25"/>
      <c r="L81" s="26"/>
      <c r="M81" s="27"/>
      <c r="N81" s="27"/>
      <c r="O81" s="27"/>
      <c r="P81" s="27"/>
      <c r="Q81" s="27"/>
      <c r="R81" s="27"/>
      <c r="S81" s="13">
        <f t="shared" si="38"/>
        <v>0</v>
      </c>
      <c r="W81" s="2"/>
    </row>
    <row r="82" spans="2:23" ht="15.75" customHeight="1" x14ac:dyDescent="0.25">
      <c r="B82" s="22"/>
      <c r="C82" s="4" t="s">
        <v>33</v>
      </c>
      <c r="D82" s="9" t="s">
        <v>8</v>
      </c>
      <c r="E82" s="10">
        <v>808</v>
      </c>
      <c r="F82" s="10"/>
      <c r="G82" s="23"/>
      <c r="H82" s="23"/>
      <c r="I82" s="23"/>
      <c r="J82" s="24"/>
      <c r="K82" s="25"/>
      <c r="L82" s="26"/>
      <c r="M82" s="27"/>
      <c r="N82" s="27"/>
      <c r="O82" s="27"/>
      <c r="P82" s="27"/>
      <c r="Q82" s="27"/>
      <c r="R82" s="27"/>
      <c r="S82" s="13">
        <f t="shared" si="38"/>
        <v>0</v>
      </c>
      <c r="W82" s="2"/>
    </row>
    <row r="83" spans="2:23" ht="15.75" customHeight="1" x14ac:dyDescent="0.25">
      <c r="B83" s="22"/>
      <c r="C83" s="4" t="s">
        <v>33</v>
      </c>
      <c r="D83" s="9" t="s">
        <v>8</v>
      </c>
      <c r="E83" s="10">
        <v>809</v>
      </c>
      <c r="F83" s="10"/>
      <c r="G83" s="23"/>
      <c r="H83" s="23"/>
      <c r="I83" s="23"/>
      <c r="J83" s="24"/>
      <c r="K83" s="25"/>
      <c r="L83" s="26"/>
      <c r="M83" s="27"/>
      <c r="N83" s="27"/>
      <c r="O83" s="27"/>
      <c r="P83" s="27"/>
      <c r="Q83" s="27"/>
      <c r="R83" s="27"/>
      <c r="S83" s="13">
        <f t="shared" si="38"/>
        <v>0</v>
      </c>
      <c r="W83" s="2"/>
    </row>
    <row r="84" spans="2:23" ht="15.75" customHeight="1" x14ac:dyDescent="0.25">
      <c r="B84" s="22"/>
      <c r="C84" s="4" t="s">
        <v>33</v>
      </c>
      <c r="D84" s="9" t="s">
        <v>8</v>
      </c>
      <c r="E84" s="10">
        <v>810</v>
      </c>
      <c r="F84" s="10"/>
      <c r="G84" s="28"/>
      <c r="H84" s="28"/>
      <c r="I84" s="28"/>
      <c r="J84" s="29"/>
      <c r="K84" s="30"/>
      <c r="L84" s="31"/>
      <c r="M84" s="32"/>
      <c r="N84" s="32"/>
      <c r="O84" s="32"/>
      <c r="P84" s="32"/>
      <c r="Q84" s="32"/>
      <c r="R84" s="32"/>
      <c r="S84" s="13">
        <f t="shared" si="38"/>
        <v>0</v>
      </c>
      <c r="W84" s="2"/>
    </row>
    <row r="85" spans="2:23" ht="15.75" customHeight="1" x14ac:dyDescent="0.25">
      <c r="B85" s="10"/>
      <c r="C85" s="15"/>
      <c r="D85" s="16"/>
      <c r="E85" s="10"/>
      <c r="F85" s="10"/>
      <c r="G85" s="18">
        <f t="shared" ref="G85:S85" si="39">SUM(G74:G84)</f>
        <v>0</v>
      </c>
      <c r="H85" s="18">
        <f t="shared" si="39"/>
        <v>0</v>
      </c>
      <c r="I85" s="18">
        <f t="shared" si="39"/>
        <v>0</v>
      </c>
      <c r="J85" s="18">
        <f t="shared" si="39"/>
        <v>0</v>
      </c>
      <c r="K85" s="18">
        <f t="shared" si="39"/>
        <v>0</v>
      </c>
      <c r="L85" s="18">
        <f t="shared" si="39"/>
        <v>0</v>
      </c>
      <c r="M85" s="18">
        <f t="shared" si="39"/>
        <v>0</v>
      </c>
      <c r="N85" s="18">
        <f t="shared" si="39"/>
        <v>0</v>
      </c>
      <c r="O85" s="18">
        <f t="shared" si="39"/>
        <v>0</v>
      </c>
      <c r="P85" s="18">
        <f t="shared" si="39"/>
        <v>0</v>
      </c>
      <c r="Q85" s="18">
        <f t="shared" si="39"/>
        <v>0</v>
      </c>
      <c r="R85" s="18">
        <f t="shared" si="39"/>
        <v>0</v>
      </c>
      <c r="S85" s="19">
        <f t="shared" si="39"/>
        <v>0</v>
      </c>
      <c r="W85" s="2"/>
    </row>
    <row r="86" spans="2:23" ht="15.75" customHeight="1" x14ac:dyDescent="0.25">
      <c r="B86" s="10"/>
      <c r="C86" s="15"/>
      <c r="D86" s="16"/>
      <c r="E86" s="10"/>
      <c r="F86" s="10"/>
      <c r="G86" s="20"/>
      <c r="H86" s="20"/>
      <c r="I86" s="20"/>
      <c r="J86" s="20"/>
      <c r="K86" s="15"/>
      <c r="L86" s="1"/>
      <c r="M86" s="21"/>
      <c r="W86" s="2"/>
    </row>
    <row r="87" spans="2:23" ht="15.75" customHeight="1" x14ac:dyDescent="0.25">
      <c r="B87" s="10"/>
      <c r="C87" s="15"/>
      <c r="D87" s="16"/>
      <c r="E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W87" s="2"/>
    </row>
    <row r="88" spans="2:23" ht="15.75" customHeight="1" x14ac:dyDescent="0.25">
      <c r="B88" s="10"/>
      <c r="C88" s="15"/>
      <c r="D88" s="16"/>
      <c r="E88" s="10"/>
      <c r="F88" s="4">
        <v>2024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f t="shared" ref="S88:S89" si="40">SUM(G88:R88)</f>
        <v>0</v>
      </c>
      <c r="W88" s="2"/>
    </row>
    <row r="89" spans="2:23" ht="15.75" customHeight="1" x14ac:dyDescent="0.25">
      <c r="B89" s="10"/>
      <c r="C89" s="15"/>
      <c r="D89" s="16"/>
      <c r="E89" s="10"/>
      <c r="F89" s="4">
        <v>2025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f t="shared" si="40"/>
        <v>0</v>
      </c>
      <c r="W89" s="2"/>
    </row>
    <row r="90" spans="2:23" ht="15.75" customHeight="1" x14ac:dyDescent="0.25">
      <c r="B90" s="10"/>
      <c r="C90" s="15"/>
      <c r="D90" s="16"/>
      <c r="E90" s="10"/>
      <c r="F90" s="10"/>
      <c r="G90" s="20"/>
      <c r="H90" s="20"/>
      <c r="I90" s="20"/>
      <c r="J90" s="20"/>
      <c r="K90" s="15"/>
      <c r="L90" s="1"/>
      <c r="M90" s="21"/>
      <c r="W90" s="2"/>
    </row>
    <row r="91" spans="2:23" ht="15.75" customHeight="1" x14ac:dyDescent="0.25">
      <c r="B91" s="10"/>
      <c r="C91" s="15"/>
      <c r="D91" s="16"/>
      <c r="E91" s="10"/>
      <c r="F91" s="10"/>
      <c r="G91" s="20"/>
      <c r="H91" s="20"/>
      <c r="I91" s="20"/>
      <c r="J91" s="20"/>
      <c r="K91" s="15"/>
      <c r="L91" s="1"/>
      <c r="M91" s="21"/>
      <c r="W91" s="2"/>
    </row>
    <row r="92" spans="2:23" ht="15.75" customHeight="1" x14ac:dyDescent="0.25">
      <c r="B92" s="10"/>
      <c r="C92" s="15"/>
      <c r="D92" s="16"/>
      <c r="E92" s="10"/>
      <c r="F92" s="10"/>
      <c r="G92" s="7">
        <v>46023</v>
      </c>
      <c r="H92" s="7">
        <v>46054</v>
      </c>
      <c r="I92" s="7">
        <v>46082</v>
      </c>
      <c r="J92" s="7">
        <v>46113</v>
      </c>
      <c r="K92" s="7">
        <v>46143</v>
      </c>
      <c r="L92" s="7">
        <v>46174</v>
      </c>
      <c r="M92" s="7">
        <v>46204</v>
      </c>
      <c r="N92" s="7">
        <v>46235</v>
      </c>
      <c r="O92" s="7">
        <v>46266</v>
      </c>
      <c r="P92" s="7">
        <v>46296</v>
      </c>
      <c r="Q92" s="7">
        <v>46327</v>
      </c>
      <c r="R92" s="7">
        <v>46357</v>
      </c>
      <c r="S92" s="7" t="s">
        <v>6</v>
      </c>
      <c r="W92" s="2"/>
    </row>
    <row r="93" spans="2:23" ht="15.75" customHeight="1" x14ac:dyDescent="0.25">
      <c r="B93" s="22"/>
      <c r="C93" s="4" t="s">
        <v>35</v>
      </c>
      <c r="D93" s="9" t="s">
        <v>8</v>
      </c>
      <c r="E93" s="10">
        <v>800</v>
      </c>
      <c r="F93" s="10" t="s">
        <v>36</v>
      </c>
      <c r="G93" s="14">
        <v>150</v>
      </c>
      <c r="H93" s="14">
        <v>150</v>
      </c>
      <c r="I93" s="14">
        <v>150</v>
      </c>
      <c r="J93" s="14">
        <v>150</v>
      </c>
      <c r="K93" s="14">
        <v>150</v>
      </c>
      <c r="L93" s="14">
        <v>150</v>
      </c>
      <c r="M93" s="14">
        <v>150</v>
      </c>
      <c r="N93" s="14">
        <v>150</v>
      </c>
      <c r="O93" s="14">
        <v>150</v>
      </c>
      <c r="P93" s="14">
        <v>150</v>
      </c>
      <c r="Q93" s="14">
        <v>150</v>
      </c>
      <c r="R93" s="14">
        <v>150</v>
      </c>
      <c r="S93" s="13">
        <f t="shared" ref="S93:S103" si="41">SUM(G93:R93)</f>
        <v>1800</v>
      </c>
      <c r="W93" s="2"/>
    </row>
    <row r="94" spans="2:23" ht="15.75" customHeight="1" x14ac:dyDescent="0.25">
      <c r="B94" s="22"/>
      <c r="C94" s="4" t="s">
        <v>35</v>
      </c>
      <c r="D94" s="9" t="s">
        <v>8</v>
      </c>
      <c r="E94" s="10">
        <v>801</v>
      </c>
      <c r="F94" s="10" t="s">
        <v>37</v>
      </c>
      <c r="G94" s="23"/>
      <c r="H94" s="23"/>
      <c r="I94" s="23"/>
      <c r="J94" s="24"/>
      <c r="K94" s="25"/>
      <c r="L94" s="26"/>
      <c r="M94" s="27"/>
      <c r="N94" s="27"/>
      <c r="O94" s="27"/>
      <c r="P94" s="27"/>
      <c r="Q94" s="27"/>
      <c r="R94" s="27"/>
      <c r="S94" s="13">
        <f t="shared" si="41"/>
        <v>0</v>
      </c>
      <c r="W94" s="2"/>
    </row>
    <row r="95" spans="2:23" ht="15.75" customHeight="1" x14ac:dyDescent="0.25">
      <c r="B95" s="22"/>
      <c r="C95" s="4" t="s">
        <v>35</v>
      </c>
      <c r="D95" s="9" t="s">
        <v>8</v>
      </c>
      <c r="E95" s="10">
        <v>802</v>
      </c>
      <c r="F95" s="10" t="s">
        <v>38</v>
      </c>
      <c r="G95" s="23"/>
      <c r="H95" s="23"/>
      <c r="I95" s="23"/>
      <c r="J95" s="24"/>
      <c r="K95" s="25"/>
      <c r="L95" s="26"/>
      <c r="M95" s="27"/>
      <c r="N95" s="27"/>
      <c r="O95" s="27"/>
      <c r="P95" s="27"/>
      <c r="Q95" s="27"/>
      <c r="R95" s="27"/>
      <c r="S95" s="13">
        <f t="shared" si="41"/>
        <v>0</v>
      </c>
      <c r="W95" s="2"/>
    </row>
    <row r="96" spans="2:23" ht="15.75" customHeight="1" x14ac:dyDescent="0.25">
      <c r="B96" s="22"/>
      <c r="C96" s="4" t="s">
        <v>35</v>
      </c>
      <c r="D96" s="9" t="s">
        <v>8</v>
      </c>
      <c r="E96" s="10">
        <v>803</v>
      </c>
      <c r="F96" s="10"/>
      <c r="G96" s="23"/>
      <c r="H96" s="23"/>
      <c r="I96" s="23"/>
      <c r="J96" s="24"/>
      <c r="K96" s="25"/>
      <c r="L96" s="26"/>
      <c r="M96" s="27"/>
      <c r="N96" s="27"/>
      <c r="O96" s="27"/>
      <c r="P96" s="27"/>
      <c r="Q96" s="27"/>
      <c r="R96" s="27"/>
      <c r="S96" s="13">
        <f t="shared" si="41"/>
        <v>0</v>
      </c>
      <c r="W96" s="2"/>
    </row>
    <row r="97" spans="2:23" ht="15.75" customHeight="1" x14ac:dyDescent="0.25">
      <c r="B97" s="22"/>
      <c r="C97" s="4" t="s">
        <v>35</v>
      </c>
      <c r="D97" s="9" t="s">
        <v>8</v>
      </c>
      <c r="E97" s="10">
        <v>804</v>
      </c>
      <c r="F97" s="10"/>
      <c r="G97" s="23"/>
      <c r="H97" s="23"/>
      <c r="I97" s="23"/>
      <c r="J97" s="24"/>
      <c r="K97" s="25"/>
      <c r="L97" s="26"/>
      <c r="M97" s="27"/>
      <c r="N97" s="27"/>
      <c r="O97" s="27"/>
      <c r="P97" s="27"/>
      <c r="Q97" s="27"/>
      <c r="R97" s="27"/>
      <c r="S97" s="13">
        <f t="shared" si="41"/>
        <v>0</v>
      </c>
      <c r="W97" s="2"/>
    </row>
    <row r="98" spans="2:23" ht="15.75" customHeight="1" x14ac:dyDescent="0.25">
      <c r="B98" s="22"/>
      <c r="C98" s="4" t="s">
        <v>35</v>
      </c>
      <c r="D98" s="9" t="s">
        <v>8</v>
      </c>
      <c r="E98" s="10">
        <v>805</v>
      </c>
      <c r="F98" s="10"/>
      <c r="G98" s="23"/>
      <c r="H98" s="23"/>
      <c r="I98" s="23"/>
      <c r="J98" s="24"/>
      <c r="K98" s="25"/>
      <c r="L98" s="26"/>
      <c r="M98" s="27"/>
      <c r="N98" s="27"/>
      <c r="O98" s="27"/>
      <c r="P98" s="27"/>
      <c r="Q98" s="27"/>
      <c r="R98" s="27"/>
      <c r="S98" s="13">
        <f t="shared" si="41"/>
        <v>0</v>
      </c>
      <c r="W98" s="2"/>
    </row>
    <row r="99" spans="2:23" ht="15.75" customHeight="1" x14ac:dyDescent="0.25">
      <c r="B99" s="22"/>
      <c r="C99" s="4" t="s">
        <v>35</v>
      </c>
      <c r="D99" s="9" t="s">
        <v>8</v>
      </c>
      <c r="E99" s="10">
        <v>806</v>
      </c>
      <c r="F99" s="10"/>
      <c r="G99" s="23"/>
      <c r="H99" s="23"/>
      <c r="I99" s="23"/>
      <c r="J99" s="24"/>
      <c r="K99" s="25"/>
      <c r="L99" s="26"/>
      <c r="M99" s="27"/>
      <c r="N99" s="27"/>
      <c r="O99" s="27"/>
      <c r="P99" s="27"/>
      <c r="Q99" s="27"/>
      <c r="R99" s="27"/>
      <c r="S99" s="13">
        <f t="shared" si="41"/>
        <v>0</v>
      </c>
      <c r="W99" s="2"/>
    </row>
    <row r="100" spans="2:23" ht="15.75" customHeight="1" x14ac:dyDescent="0.25">
      <c r="B100" s="22"/>
      <c r="C100" s="4" t="s">
        <v>35</v>
      </c>
      <c r="D100" s="9" t="s">
        <v>8</v>
      </c>
      <c r="E100" s="10">
        <v>807</v>
      </c>
      <c r="F100" s="10"/>
      <c r="G100" s="23"/>
      <c r="H100" s="23"/>
      <c r="I100" s="23"/>
      <c r="J100" s="24"/>
      <c r="K100" s="25"/>
      <c r="L100" s="26"/>
      <c r="M100" s="27"/>
      <c r="N100" s="27"/>
      <c r="O100" s="27"/>
      <c r="P100" s="27"/>
      <c r="Q100" s="27"/>
      <c r="R100" s="27"/>
      <c r="S100" s="13">
        <f t="shared" si="41"/>
        <v>0</v>
      </c>
      <c r="W100" s="2"/>
    </row>
    <row r="101" spans="2:23" ht="15.75" customHeight="1" x14ac:dyDescent="0.25">
      <c r="B101" s="22"/>
      <c r="C101" s="4" t="s">
        <v>35</v>
      </c>
      <c r="D101" s="9" t="s">
        <v>8</v>
      </c>
      <c r="E101" s="10">
        <v>808</v>
      </c>
      <c r="F101" s="10"/>
      <c r="G101" s="23"/>
      <c r="H101" s="23"/>
      <c r="I101" s="23"/>
      <c r="J101" s="24"/>
      <c r="K101" s="25"/>
      <c r="L101" s="26"/>
      <c r="M101" s="27"/>
      <c r="N101" s="27"/>
      <c r="O101" s="27"/>
      <c r="P101" s="27"/>
      <c r="Q101" s="27"/>
      <c r="R101" s="27"/>
      <c r="S101" s="13">
        <f t="shared" si="41"/>
        <v>0</v>
      </c>
      <c r="W101" s="2"/>
    </row>
    <row r="102" spans="2:23" ht="15.75" customHeight="1" x14ac:dyDescent="0.25">
      <c r="B102" s="22"/>
      <c r="C102" s="4" t="s">
        <v>35</v>
      </c>
      <c r="D102" s="9" t="s">
        <v>8</v>
      </c>
      <c r="E102" s="10">
        <v>809</v>
      </c>
      <c r="F102" s="10"/>
      <c r="G102" s="23"/>
      <c r="H102" s="23"/>
      <c r="I102" s="23"/>
      <c r="J102" s="24"/>
      <c r="K102" s="25"/>
      <c r="L102" s="26"/>
      <c r="M102" s="27"/>
      <c r="N102" s="27"/>
      <c r="O102" s="27"/>
      <c r="P102" s="27"/>
      <c r="Q102" s="27"/>
      <c r="R102" s="27"/>
      <c r="S102" s="13">
        <f t="shared" si="41"/>
        <v>0</v>
      </c>
      <c r="W102" s="2"/>
    </row>
    <row r="103" spans="2:23" ht="15.75" customHeight="1" x14ac:dyDescent="0.25">
      <c r="B103" s="22"/>
      <c r="C103" s="4" t="s">
        <v>35</v>
      </c>
      <c r="D103" s="9" t="s">
        <v>8</v>
      </c>
      <c r="E103" s="10">
        <v>810</v>
      </c>
      <c r="F103" s="10"/>
      <c r="G103" s="28"/>
      <c r="H103" s="28"/>
      <c r="I103" s="28"/>
      <c r="J103" s="29"/>
      <c r="K103" s="30"/>
      <c r="L103" s="31"/>
      <c r="M103" s="32"/>
      <c r="N103" s="32"/>
      <c r="O103" s="32"/>
      <c r="P103" s="32"/>
      <c r="Q103" s="32"/>
      <c r="R103" s="32"/>
      <c r="S103" s="13">
        <f t="shared" si="41"/>
        <v>0</v>
      </c>
      <c r="W103" s="2"/>
    </row>
    <row r="104" spans="2:23" ht="15.75" customHeight="1" x14ac:dyDescent="0.25">
      <c r="B104" s="10"/>
      <c r="C104" s="15"/>
      <c r="D104" s="16"/>
      <c r="E104" s="10"/>
      <c r="F104" s="10"/>
      <c r="G104" s="12">
        <f t="shared" ref="G104" si="42">SUM(G93:G103)</f>
        <v>150</v>
      </c>
      <c r="H104" s="12">
        <f t="shared" ref="H104" si="43">SUM(H93:H103)</f>
        <v>150</v>
      </c>
      <c r="I104" s="12">
        <f t="shared" ref="I104" si="44">SUM(I93:I103)</f>
        <v>150</v>
      </c>
      <c r="J104" s="12">
        <f t="shared" ref="J104" si="45">SUM(J93:J103)</f>
        <v>150</v>
      </c>
      <c r="K104" s="12">
        <f t="shared" ref="K104" si="46">SUM(K93:K103)</f>
        <v>150</v>
      </c>
      <c r="L104" s="12">
        <f t="shared" ref="L104" si="47">SUM(L93:L103)</f>
        <v>150</v>
      </c>
      <c r="M104" s="12">
        <f t="shared" ref="M104" si="48">SUM(M93:M103)</f>
        <v>150</v>
      </c>
      <c r="N104" s="12">
        <f t="shared" ref="N104" si="49">SUM(N93:N103)</f>
        <v>150</v>
      </c>
      <c r="O104" s="12">
        <f t="shared" ref="O104" si="50">SUM(O93:O103)</f>
        <v>150</v>
      </c>
      <c r="P104" s="12">
        <f t="shared" ref="P104" si="51">SUM(P93:P103)</f>
        <v>150</v>
      </c>
      <c r="Q104" s="12">
        <f t="shared" ref="Q104" si="52">SUM(Q93:Q103)</f>
        <v>150</v>
      </c>
      <c r="R104" s="12">
        <f t="shared" ref="R104" si="53">SUM(R93:R103)</f>
        <v>150</v>
      </c>
      <c r="S104" s="12">
        <f t="shared" ref="S104" si="54">SUM(S93:S103)</f>
        <v>1800</v>
      </c>
      <c r="W104" s="2"/>
    </row>
    <row r="105" spans="2:23" ht="15.75" customHeight="1" x14ac:dyDescent="0.25">
      <c r="B105" s="10"/>
      <c r="C105" s="15"/>
      <c r="D105" s="16"/>
      <c r="E105" s="10"/>
      <c r="F105" s="10"/>
      <c r="G105" s="20"/>
      <c r="H105" s="20"/>
      <c r="I105" s="20"/>
      <c r="J105" s="20"/>
      <c r="K105" s="15"/>
      <c r="L105" s="1"/>
      <c r="M105" s="21"/>
      <c r="W105" s="2"/>
    </row>
    <row r="106" spans="2:23" ht="15.75" customHeight="1" x14ac:dyDescent="0.25">
      <c r="B106" s="10"/>
      <c r="C106" s="15"/>
      <c r="D106" s="16"/>
      <c r="E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W106" s="2"/>
    </row>
    <row r="107" spans="2:23" ht="15.75" customHeight="1" x14ac:dyDescent="0.25">
      <c r="B107" s="10"/>
      <c r="C107" s="15"/>
      <c r="D107" s="16"/>
      <c r="E107" s="10"/>
      <c r="F107" s="4">
        <v>2024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f t="shared" ref="S107:S108" si="55">SUM(G107:R107)</f>
        <v>0</v>
      </c>
      <c r="W107" s="2"/>
    </row>
    <row r="108" spans="2:23" ht="15.75" customHeight="1" x14ac:dyDescent="0.25">
      <c r="B108" s="10"/>
      <c r="C108" s="15"/>
      <c r="D108" s="16"/>
      <c r="E108" s="10"/>
      <c r="F108" s="4">
        <v>2025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f t="shared" si="55"/>
        <v>0</v>
      </c>
      <c r="W108" s="2"/>
    </row>
    <row r="109" spans="2:23" ht="15.75" customHeight="1" x14ac:dyDescent="0.25">
      <c r="B109" s="10"/>
      <c r="C109" s="15"/>
      <c r="D109" s="16"/>
      <c r="E109" s="10"/>
      <c r="F109" s="10"/>
      <c r="G109" s="20"/>
      <c r="H109" s="20"/>
      <c r="I109" s="20"/>
      <c r="J109" s="20"/>
      <c r="K109" s="15"/>
      <c r="L109" s="1"/>
      <c r="M109" s="21"/>
      <c r="W109" s="2"/>
    </row>
    <row r="110" spans="2:23" ht="15.75" customHeight="1" x14ac:dyDescent="0.25">
      <c r="B110" s="10"/>
      <c r="C110" s="15"/>
      <c r="D110" s="16"/>
      <c r="E110" s="10"/>
      <c r="F110" s="10"/>
      <c r="G110" s="20"/>
      <c r="H110" s="20"/>
      <c r="I110" s="20"/>
      <c r="J110" s="20"/>
      <c r="K110" s="15"/>
      <c r="L110" s="1"/>
      <c r="M110" s="21"/>
      <c r="W110" s="2"/>
    </row>
    <row r="111" spans="2:23" ht="15.75" customHeight="1" x14ac:dyDescent="0.25">
      <c r="B111" s="10"/>
      <c r="C111" s="15"/>
      <c r="D111" s="16"/>
      <c r="E111" s="10"/>
      <c r="F111" s="10"/>
      <c r="G111" s="7">
        <v>46023</v>
      </c>
      <c r="H111" s="7">
        <v>46054</v>
      </c>
      <c r="I111" s="7">
        <v>46082</v>
      </c>
      <c r="J111" s="7">
        <v>46113</v>
      </c>
      <c r="K111" s="7">
        <v>46143</v>
      </c>
      <c r="L111" s="7">
        <v>46174</v>
      </c>
      <c r="M111" s="7">
        <v>46204</v>
      </c>
      <c r="N111" s="7">
        <v>46235</v>
      </c>
      <c r="O111" s="7">
        <v>46266</v>
      </c>
      <c r="P111" s="7">
        <v>46296</v>
      </c>
      <c r="Q111" s="7">
        <v>46327</v>
      </c>
      <c r="R111" s="7">
        <v>46357</v>
      </c>
      <c r="S111" s="7" t="s">
        <v>6</v>
      </c>
      <c r="W111" s="2"/>
    </row>
    <row r="112" spans="2:23" ht="15.75" customHeight="1" x14ac:dyDescent="0.25">
      <c r="B112" s="4">
        <v>7110</v>
      </c>
      <c r="C112" s="37" t="s">
        <v>39</v>
      </c>
      <c r="D112" s="9" t="s">
        <v>8</v>
      </c>
      <c r="E112" s="10">
        <v>800</v>
      </c>
      <c r="F112" s="10"/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3">
        <f t="shared" ref="S112:S122" si="56">SUM(G112:R112)</f>
        <v>0</v>
      </c>
      <c r="W112" s="2"/>
    </row>
    <row r="113" spans="2:23" ht="15.75" customHeight="1" x14ac:dyDescent="0.25">
      <c r="B113" s="4">
        <v>7110</v>
      </c>
      <c r="C113" s="37" t="s">
        <v>39</v>
      </c>
      <c r="D113" s="9" t="s">
        <v>8</v>
      </c>
      <c r="E113" s="10">
        <v>801</v>
      </c>
      <c r="F113" s="10"/>
      <c r="G113" s="23"/>
      <c r="H113" s="23"/>
      <c r="I113" s="23"/>
      <c r="J113" s="24"/>
      <c r="K113" s="25"/>
      <c r="L113" s="26"/>
      <c r="M113" s="27"/>
      <c r="N113" s="27"/>
      <c r="O113" s="27"/>
      <c r="P113" s="27"/>
      <c r="Q113" s="27"/>
      <c r="R113" s="27"/>
      <c r="S113" s="13">
        <f t="shared" si="56"/>
        <v>0</v>
      </c>
      <c r="W113" s="2"/>
    </row>
    <row r="114" spans="2:23" ht="15.75" customHeight="1" x14ac:dyDescent="0.25">
      <c r="B114" s="4">
        <v>7110</v>
      </c>
      <c r="C114" s="37" t="s">
        <v>39</v>
      </c>
      <c r="D114" s="9" t="s">
        <v>8</v>
      </c>
      <c r="E114" s="10">
        <v>802</v>
      </c>
      <c r="F114" s="10"/>
      <c r="G114" s="23"/>
      <c r="H114" s="23"/>
      <c r="I114" s="23"/>
      <c r="J114" s="24"/>
      <c r="K114" s="25"/>
      <c r="L114" s="26"/>
      <c r="M114" s="27"/>
      <c r="N114" s="27"/>
      <c r="O114" s="27"/>
      <c r="P114" s="27"/>
      <c r="Q114" s="27"/>
      <c r="R114" s="27"/>
      <c r="S114" s="13">
        <f t="shared" si="56"/>
        <v>0</v>
      </c>
      <c r="W114" s="2"/>
    </row>
    <row r="115" spans="2:23" ht="15.75" customHeight="1" x14ac:dyDescent="0.25">
      <c r="B115" s="4">
        <v>7110</v>
      </c>
      <c r="C115" s="37" t="s">
        <v>39</v>
      </c>
      <c r="D115" s="9" t="s">
        <v>8</v>
      </c>
      <c r="E115" s="10">
        <v>803</v>
      </c>
      <c r="F115" s="10"/>
      <c r="G115" s="23"/>
      <c r="H115" s="23"/>
      <c r="I115" s="23"/>
      <c r="J115" s="24"/>
      <c r="K115" s="25"/>
      <c r="L115" s="26"/>
      <c r="M115" s="27"/>
      <c r="N115" s="27"/>
      <c r="O115" s="27"/>
      <c r="P115" s="27"/>
      <c r="Q115" s="27"/>
      <c r="R115" s="27"/>
      <c r="S115" s="13">
        <f t="shared" si="56"/>
        <v>0</v>
      </c>
      <c r="W115" s="2"/>
    </row>
    <row r="116" spans="2:23" ht="15.75" customHeight="1" x14ac:dyDescent="0.25">
      <c r="B116" s="4">
        <v>7110</v>
      </c>
      <c r="C116" s="37" t="s">
        <v>39</v>
      </c>
      <c r="D116" s="9" t="s">
        <v>8</v>
      </c>
      <c r="E116" s="10">
        <v>804</v>
      </c>
      <c r="F116" s="10"/>
      <c r="G116" s="23"/>
      <c r="H116" s="23"/>
      <c r="I116" s="23"/>
      <c r="J116" s="24"/>
      <c r="K116" s="25"/>
      <c r="L116" s="26"/>
      <c r="M116" s="27"/>
      <c r="N116" s="27"/>
      <c r="O116" s="27"/>
      <c r="P116" s="27"/>
      <c r="Q116" s="27"/>
      <c r="R116" s="27"/>
      <c r="S116" s="13">
        <f t="shared" si="56"/>
        <v>0</v>
      </c>
      <c r="W116" s="2"/>
    </row>
    <row r="117" spans="2:23" ht="15.75" customHeight="1" x14ac:dyDescent="0.25">
      <c r="B117" s="4">
        <v>7110</v>
      </c>
      <c r="C117" s="37" t="s">
        <v>39</v>
      </c>
      <c r="D117" s="9" t="s">
        <v>8</v>
      </c>
      <c r="E117" s="10">
        <v>805</v>
      </c>
      <c r="F117" s="10"/>
      <c r="G117" s="23"/>
      <c r="H117" s="23"/>
      <c r="I117" s="23"/>
      <c r="J117" s="24"/>
      <c r="K117" s="25"/>
      <c r="L117" s="26"/>
      <c r="M117" s="27"/>
      <c r="N117" s="27"/>
      <c r="O117" s="27"/>
      <c r="P117" s="27"/>
      <c r="Q117" s="27"/>
      <c r="R117" s="27"/>
      <c r="S117" s="13">
        <f t="shared" si="56"/>
        <v>0</v>
      </c>
      <c r="W117" s="2"/>
    </row>
    <row r="118" spans="2:23" ht="15.75" customHeight="1" x14ac:dyDescent="0.25">
      <c r="B118" s="4">
        <v>7110</v>
      </c>
      <c r="C118" s="37" t="s">
        <v>39</v>
      </c>
      <c r="D118" s="9" t="s">
        <v>8</v>
      </c>
      <c r="E118" s="10">
        <v>806</v>
      </c>
      <c r="F118" s="10"/>
      <c r="G118" s="23"/>
      <c r="H118" s="23"/>
      <c r="I118" s="23"/>
      <c r="J118" s="24"/>
      <c r="K118" s="25"/>
      <c r="L118" s="26"/>
      <c r="M118" s="27"/>
      <c r="N118" s="27"/>
      <c r="O118" s="27"/>
      <c r="P118" s="27"/>
      <c r="Q118" s="27"/>
      <c r="R118" s="27"/>
      <c r="S118" s="13">
        <f t="shared" si="56"/>
        <v>0</v>
      </c>
      <c r="W118" s="2"/>
    </row>
    <row r="119" spans="2:23" ht="15.75" customHeight="1" x14ac:dyDescent="0.25">
      <c r="B119" s="4">
        <v>7110</v>
      </c>
      <c r="C119" s="37" t="s">
        <v>39</v>
      </c>
      <c r="D119" s="9" t="s">
        <v>8</v>
      </c>
      <c r="E119" s="10">
        <v>807</v>
      </c>
      <c r="F119" s="10"/>
      <c r="G119" s="23"/>
      <c r="H119" s="23"/>
      <c r="I119" s="23"/>
      <c r="J119" s="24"/>
      <c r="K119" s="25"/>
      <c r="L119" s="26"/>
      <c r="M119" s="27"/>
      <c r="N119" s="27"/>
      <c r="O119" s="27"/>
      <c r="P119" s="27"/>
      <c r="Q119" s="27"/>
      <c r="R119" s="27"/>
      <c r="S119" s="13">
        <f t="shared" si="56"/>
        <v>0</v>
      </c>
      <c r="W119" s="2"/>
    </row>
    <row r="120" spans="2:23" ht="15.75" customHeight="1" x14ac:dyDescent="0.25">
      <c r="B120" s="4">
        <v>7110</v>
      </c>
      <c r="C120" s="37" t="s">
        <v>39</v>
      </c>
      <c r="D120" s="9" t="s">
        <v>8</v>
      </c>
      <c r="E120" s="10">
        <v>808</v>
      </c>
      <c r="F120" s="10"/>
      <c r="G120" s="23"/>
      <c r="H120" s="23"/>
      <c r="I120" s="23"/>
      <c r="J120" s="24"/>
      <c r="K120" s="25"/>
      <c r="L120" s="26"/>
      <c r="M120" s="27"/>
      <c r="N120" s="27"/>
      <c r="O120" s="27"/>
      <c r="P120" s="27"/>
      <c r="Q120" s="27"/>
      <c r="R120" s="27"/>
      <c r="S120" s="13">
        <f t="shared" si="56"/>
        <v>0</v>
      </c>
      <c r="W120" s="2"/>
    </row>
    <row r="121" spans="2:23" ht="15.75" customHeight="1" x14ac:dyDescent="0.25">
      <c r="B121" s="4">
        <v>7110</v>
      </c>
      <c r="C121" s="37" t="s">
        <v>39</v>
      </c>
      <c r="D121" s="9" t="s">
        <v>8</v>
      </c>
      <c r="E121" s="10">
        <v>809</v>
      </c>
      <c r="F121" s="10"/>
      <c r="G121" s="23"/>
      <c r="H121" s="23"/>
      <c r="I121" s="23"/>
      <c r="J121" s="24"/>
      <c r="K121" s="25"/>
      <c r="L121" s="26"/>
      <c r="M121" s="27"/>
      <c r="N121" s="27"/>
      <c r="O121" s="27"/>
      <c r="P121" s="27"/>
      <c r="Q121" s="27"/>
      <c r="R121" s="27"/>
      <c r="S121" s="13">
        <f t="shared" si="56"/>
        <v>0</v>
      </c>
      <c r="W121" s="2"/>
    </row>
    <row r="122" spans="2:23" ht="15.75" customHeight="1" x14ac:dyDescent="0.25">
      <c r="B122" s="4">
        <v>7110</v>
      </c>
      <c r="C122" s="37" t="s">
        <v>39</v>
      </c>
      <c r="D122" s="9" t="s">
        <v>8</v>
      </c>
      <c r="E122" s="10">
        <v>810</v>
      </c>
      <c r="F122" s="10"/>
      <c r="G122" s="28"/>
      <c r="H122" s="28"/>
      <c r="I122" s="28"/>
      <c r="J122" s="29"/>
      <c r="K122" s="30"/>
      <c r="L122" s="31"/>
      <c r="M122" s="32"/>
      <c r="N122" s="32"/>
      <c r="O122" s="32"/>
      <c r="P122" s="32"/>
      <c r="Q122" s="32"/>
      <c r="R122" s="32"/>
      <c r="S122" s="13">
        <f t="shared" si="56"/>
        <v>0</v>
      </c>
      <c r="W122" s="2"/>
    </row>
    <row r="123" spans="2:23" ht="15.75" customHeight="1" x14ac:dyDescent="0.25">
      <c r="B123" s="10"/>
      <c r="C123" s="15"/>
      <c r="D123" s="16"/>
      <c r="E123" s="10"/>
      <c r="F123" s="10"/>
      <c r="G123" s="18">
        <f t="shared" ref="G123:S123" si="57">SUM(G112:G122)</f>
        <v>0</v>
      </c>
      <c r="H123" s="18">
        <f t="shared" si="57"/>
        <v>0</v>
      </c>
      <c r="I123" s="18">
        <f t="shared" si="57"/>
        <v>0</v>
      </c>
      <c r="J123" s="18">
        <f t="shared" si="57"/>
        <v>0</v>
      </c>
      <c r="K123" s="18">
        <f t="shared" si="57"/>
        <v>0</v>
      </c>
      <c r="L123" s="18">
        <f t="shared" si="57"/>
        <v>0</v>
      </c>
      <c r="M123" s="18">
        <f t="shared" si="57"/>
        <v>0</v>
      </c>
      <c r="N123" s="18">
        <f t="shared" si="57"/>
        <v>0</v>
      </c>
      <c r="O123" s="18">
        <f t="shared" si="57"/>
        <v>0</v>
      </c>
      <c r="P123" s="18">
        <f t="shared" si="57"/>
        <v>0</v>
      </c>
      <c r="Q123" s="18">
        <f t="shared" si="57"/>
        <v>0</v>
      </c>
      <c r="R123" s="18">
        <f t="shared" si="57"/>
        <v>0</v>
      </c>
      <c r="S123" s="19">
        <f t="shared" si="57"/>
        <v>0</v>
      </c>
      <c r="W123" s="2"/>
    </row>
    <row r="124" spans="2:23" ht="15.75" customHeight="1" x14ac:dyDescent="0.25">
      <c r="B124" s="10"/>
      <c r="C124" s="15"/>
      <c r="D124" s="16"/>
      <c r="E124" s="10"/>
      <c r="F124" s="10"/>
      <c r="G124" s="20"/>
      <c r="H124" s="20"/>
      <c r="I124" s="20"/>
      <c r="J124" s="20"/>
      <c r="K124" s="15"/>
      <c r="L124" s="1"/>
      <c r="M124" s="21"/>
      <c r="W124" s="2"/>
    </row>
    <row r="125" spans="2:23" ht="15.75" customHeight="1" x14ac:dyDescent="0.25">
      <c r="B125" s="10"/>
      <c r="C125" s="15"/>
      <c r="D125" s="16"/>
      <c r="E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W125" s="2"/>
    </row>
    <row r="126" spans="2:23" ht="15.75" customHeight="1" x14ac:dyDescent="0.25">
      <c r="B126" s="10"/>
      <c r="C126" s="15"/>
      <c r="D126" s="16"/>
      <c r="E126" s="10"/>
      <c r="F126" s="4">
        <v>2024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f t="shared" ref="S126:S127" si="58">SUM(G126:R126)</f>
        <v>0</v>
      </c>
      <c r="W126" s="2"/>
    </row>
    <row r="127" spans="2:23" ht="15.75" customHeight="1" x14ac:dyDescent="0.25">
      <c r="B127" s="10"/>
      <c r="C127" s="15"/>
      <c r="D127" s="16"/>
      <c r="E127" s="10"/>
      <c r="F127" s="4">
        <v>2025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f t="shared" si="58"/>
        <v>0</v>
      </c>
      <c r="W127" s="2"/>
    </row>
    <row r="128" spans="2:23" ht="15.75" customHeight="1" x14ac:dyDescent="0.25">
      <c r="B128" s="10"/>
      <c r="C128" s="15"/>
      <c r="D128" s="16"/>
      <c r="E128" s="10"/>
      <c r="F128" s="10"/>
      <c r="G128" s="20"/>
      <c r="H128" s="20"/>
      <c r="I128" s="20"/>
      <c r="J128" s="20"/>
      <c r="K128" s="15"/>
      <c r="L128" s="1"/>
      <c r="M128" s="21"/>
      <c r="W128" s="2"/>
    </row>
    <row r="129" spans="2:23" ht="15.75" customHeight="1" x14ac:dyDescent="0.25">
      <c r="B129" s="10"/>
      <c r="C129" s="15"/>
      <c r="D129" s="16"/>
      <c r="E129" s="10"/>
      <c r="F129" s="10"/>
      <c r="G129" s="20"/>
      <c r="H129" s="20"/>
      <c r="I129" s="20"/>
      <c r="J129" s="20"/>
      <c r="K129" s="15"/>
      <c r="L129" s="1"/>
      <c r="M129" s="21"/>
      <c r="W129" s="2"/>
    </row>
    <row r="130" spans="2:23" ht="15.75" customHeight="1" x14ac:dyDescent="0.25">
      <c r="B130" s="10"/>
      <c r="C130" s="15"/>
      <c r="D130" s="16"/>
      <c r="E130" s="10"/>
      <c r="F130" s="10"/>
      <c r="G130" s="7">
        <v>46023</v>
      </c>
      <c r="H130" s="7">
        <v>46054</v>
      </c>
      <c r="I130" s="7">
        <v>46082</v>
      </c>
      <c r="J130" s="7">
        <v>46113</v>
      </c>
      <c r="K130" s="7">
        <v>46143</v>
      </c>
      <c r="L130" s="7">
        <v>46174</v>
      </c>
      <c r="M130" s="7">
        <v>46204</v>
      </c>
      <c r="N130" s="7">
        <v>46235</v>
      </c>
      <c r="O130" s="7">
        <v>46266</v>
      </c>
      <c r="P130" s="7">
        <v>46296</v>
      </c>
      <c r="Q130" s="7">
        <v>46327</v>
      </c>
      <c r="R130" s="7">
        <v>46357</v>
      </c>
      <c r="S130" s="7" t="s">
        <v>6</v>
      </c>
      <c r="W130" s="2"/>
    </row>
    <row r="131" spans="2:23" ht="15.75" customHeight="1" x14ac:dyDescent="0.25">
      <c r="B131" s="4">
        <v>7150</v>
      </c>
      <c r="C131" s="37" t="s">
        <v>40</v>
      </c>
      <c r="D131" s="9" t="s">
        <v>8</v>
      </c>
      <c r="E131" s="10">
        <v>800</v>
      </c>
      <c r="F131" s="10"/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3">
        <f t="shared" ref="S131:S141" si="59">SUM(G131:R131)</f>
        <v>0</v>
      </c>
      <c r="W131" s="2"/>
    </row>
    <row r="132" spans="2:23" ht="15.75" customHeight="1" x14ac:dyDescent="0.25">
      <c r="B132" s="4">
        <v>7150</v>
      </c>
      <c r="C132" s="37" t="s">
        <v>40</v>
      </c>
      <c r="D132" s="9" t="s">
        <v>8</v>
      </c>
      <c r="E132" s="10">
        <v>801</v>
      </c>
      <c r="F132" s="10"/>
      <c r="G132" s="23"/>
      <c r="H132" s="23"/>
      <c r="I132" s="23"/>
      <c r="J132" s="24"/>
      <c r="K132" s="25"/>
      <c r="L132" s="26"/>
      <c r="M132" s="27"/>
      <c r="N132" s="27"/>
      <c r="O132" s="27"/>
      <c r="P132" s="27"/>
      <c r="Q132" s="27"/>
      <c r="R132" s="27"/>
      <c r="S132" s="13">
        <f t="shared" si="59"/>
        <v>0</v>
      </c>
      <c r="W132" s="2"/>
    </row>
    <row r="133" spans="2:23" ht="15.75" customHeight="1" x14ac:dyDescent="0.25">
      <c r="B133" s="4">
        <v>7150</v>
      </c>
      <c r="C133" s="37" t="s">
        <v>40</v>
      </c>
      <c r="D133" s="9" t="s">
        <v>8</v>
      </c>
      <c r="E133" s="10">
        <v>802</v>
      </c>
      <c r="F133" s="10"/>
      <c r="G133" s="23"/>
      <c r="H133" s="23"/>
      <c r="I133" s="23"/>
      <c r="J133" s="24"/>
      <c r="K133" s="25"/>
      <c r="L133" s="26"/>
      <c r="M133" s="27"/>
      <c r="N133" s="27"/>
      <c r="O133" s="27"/>
      <c r="P133" s="27"/>
      <c r="Q133" s="27"/>
      <c r="R133" s="27"/>
      <c r="S133" s="13">
        <f t="shared" si="59"/>
        <v>0</v>
      </c>
      <c r="W133" s="2"/>
    </row>
    <row r="134" spans="2:23" ht="15.75" customHeight="1" x14ac:dyDescent="0.25">
      <c r="B134" s="4">
        <v>7150</v>
      </c>
      <c r="C134" s="37" t="s">
        <v>40</v>
      </c>
      <c r="D134" s="9" t="s">
        <v>8</v>
      </c>
      <c r="E134" s="10">
        <v>803</v>
      </c>
      <c r="F134" s="10"/>
      <c r="G134" s="23"/>
      <c r="H134" s="23"/>
      <c r="I134" s="23"/>
      <c r="J134" s="24"/>
      <c r="K134" s="25"/>
      <c r="L134" s="26"/>
      <c r="M134" s="27"/>
      <c r="N134" s="27"/>
      <c r="O134" s="27"/>
      <c r="P134" s="27"/>
      <c r="Q134" s="27"/>
      <c r="R134" s="27"/>
      <c r="S134" s="13">
        <f t="shared" si="59"/>
        <v>0</v>
      </c>
      <c r="W134" s="2"/>
    </row>
    <row r="135" spans="2:23" ht="15.75" customHeight="1" x14ac:dyDescent="0.25">
      <c r="B135" s="4">
        <v>7150</v>
      </c>
      <c r="C135" s="37" t="s">
        <v>40</v>
      </c>
      <c r="D135" s="9" t="s">
        <v>8</v>
      </c>
      <c r="E135" s="10">
        <v>804</v>
      </c>
      <c r="F135" s="10"/>
      <c r="G135" s="23"/>
      <c r="H135" s="23"/>
      <c r="I135" s="23"/>
      <c r="J135" s="24"/>
      <c r="K135" s="25"/>
      <c r="L135" s="26"/>
      <c r="M135" s="27"/>
      <c r="N135" s="27"/>
      <c r="O135" s="27"/>
      <c r="P135" s="27"/>
      <c r="Q135" s="27"/>
      <c r="R135" s="27"/>
      <c r="S135" s="13">
        <f t="shared" si="59"/>
        <v>0</v>
      </c>
      <c r="W135" s="2"/>
    </row>
    <row r="136" spans="2:23" ht="15.75" customHeight="1" x14ac:dyDescent="0.25">
      <c r="B136" s="4">
        <v>7150</v>
      </c>
      <c r="C136" s="37" t="s">
        <v>40</v>
      </c>
      <c r="D136" s="9" t="s">
        <v>8</v>
      </c>
      <c r="E136" s="10">
        <v>805</v>
      </c>
      <c r="F136" s="10"/>
      <c r="G136" s="23"/>
      <c r="H136" s="23"/>
      <c r="I136" s="23"/>
      <c r="J136" s="24"/>
      <c r="K136" s="25"/>
      <c r="L136" s="26"/>
      <c r="M136" s="27"/>
      <c r="N136" s="27"/>
      <c r="O136" s="27"/>
      <c r="P136" s="27"/>
      <c r="Q136" s="27"/>
      <c r="R136" s="27"/>
      <c r="S136" s="13">
        <f t="shared" si="59"/>
        <v>0</v>
      </c>
      <c r="W136" s="2"/>
    </row>
    <row r="137" spans="2:23" ht="15.75" customHeight="1" x14ac:dyDescent="0.25">
      <c r="B137" s="4">
        <v>7150</v>
      </c>
      <c r="C137" s="37" t="s">
        <v>40</v>
      </c>
      <c r="D137" s="9" t="s">
        <v>8</v>
      </c>
      <c r="E137" s="10">
        <v>806</v>
      </c>
      <c r="F137" s="10"/>
      <c r="G137" s="23"/>
      <c r="H137" s="23"/>
      <c r="I137" s="23"/>
      <c r="J137" s="24"/>
      <c r="K137" s="25"/>
      <c r="L137" s="26"/>
      <c r="M137" s="27"/>
      <c r="N137" s="27"/>
      <c r="O137" s="27"/>
      <c r="P137" s="27"/>
      <c r="Q137" s="27"/>
      <c r="R137" s="27"/>
      <c r="S137" s="13">
        <f t="shared" si="59"/>
        <v>0</v>
      </c>
      <c r="W137" s="2"/>
    </row>
    <row r="138" spans="2:23" ht="15.75" customHeight="1" x14ac:dyDescent="0.25">
      <c r="B138" s="4">
        <v>7150</v>
      </c>
      <c r="C138" s="37" t="s">
        <v>40</v>
      </c>
      <c r="D138" s="9" t="s">
        <v>8</v>
      </c>
      <c r="E138" s="10">
        <v>807</v>
      </c>
      <c r="F138" s="10"/>
      <c r="G138" s="23"/>
      <c r="H138" s="23"/>
      <c r="I138" s="23"/>
      <c r="J138" s="24"/>
      <c r="K138" s="25"/>
      <c r="L138" s="26"/>
      <c r="M138" s="27"/>
      <c r="N138" s="27"/>
      <c r="O138" s="27"/>
      <c r="P138" s="27"/>
      <c r="Q138" s="27"/>
      <c r="R138" s="27"/>
      <c r="S138" s="13">
        <f t="shared" si="59"/>
        <v>0</v>
      </c>
      <c r="W138" s="2"/>
    </row>
    <row r="139" spans="2:23" ht="15.75" customHeight="1" x14ac:dyDescent="0.25">
      <c r="B139" s="4">
        <v>7150</v>
      </c>
      <c r="C139" s="37" t="s">
        <v>40</v>
      </c>
      <c r="D139" s="9" t="s">
        <v>8</v>
      </c>
      <c r="E139" s="10">
        <v>808</v>
      </c>
      <c r="F139" s="10"/>
      <c r="G139" s="23"/>
      <c r="H139" s="23"/>
      <c r="I139" s="23"/>
      <c r="J139" s="24"/>
      <c r="K139" s="25"/>
      <c r="L139" s="26"/>
      <c r="M139" s="27"/>
      <c r="N139" s="27"/>
      <c r="O139" s="27"/>
      <c r="P139" s="27"/>
      <c r="Q139" s="27"/>
      <c r="R139" s="27"/>
      <c r="S139" s="13">
        <f t="shared" si="59"/>
        <v>0</v>
      </c>
      <c r="W139" s="2"/>
    </row>
    <row r="140" spans="2:23" ht="15.75" customHeight="1" x14ac:dyDescent="0.25">
      <c r="B140" s="4">
        <v>7150</v>
      </c>
      <c r="C140" s="37" t="s">
        <v>40</v>
      </c>
      <c r="D140" s="9" t="s">
        <v>8</v>
      </c>
      <c r="E140" s="10">
        <v>809</v>
      </c>
      <c r="F140" s="10"/>
      <c r="G140" s="23"/>
      <c r="H140" s="23"/>
      <c r="I140" s="23"/>
      <c r="J140" s="24"/>
      <c r="K140" s="25"/>
      <c r="L140" s="26"/>
      <c r="M140" s="27"/>
      <c r="N140" s="27"/>
      <c r="O140" s="27"/>
      <c r="P140" s="27"/>
      <c r="Q140" s="27"/>
      <c r="R140" s="27"/>
      <c r="S140" s="13">
        <f t="shared" si="59"/>
        <v>0</v>
      </c>
      <c r="W140" s="2"/>
    </row>
    <row r="141" spans="2:23" ht="15.75" customHeight="1" x14ac:dyDescent="0.25">
      <c r="B141" s="4">
        <v>7150</v>
      </c>
      <c r="C141" s="37" t="s">
        <v>40</v>
      </c>
      <c r="D141" s="9" t="s">
        <v>8</v>
      </c>
      <c r="E141" s="10">
        <v>810</v>
      </c>
      <c r="F141" s="10"/>
      <c r="G141" s="28"/>
      <c r="H141" s="28"/>
      <c r="I141" s="28"/>
      <c r="J141" s="29"/>
      <c r="K141" s="30"/>
      <c r="L141" s="31"/>
      <c r="M141" s="32"/>
      <c r="N141" s="32"/>
      <c r="O141" s="32"/>
      <c r="P141" s="32"/>
      <c r="Q141" s="32"/>
      <c r="R141" s="32"/>
      <c r="S141" s="13">
        <f t="shared" si="59"/>
        <v>0</v>
      </c>
      <c r="W141" s="2"/>
    </row>
    <row r="142" spans="2:23" ht="15.75" customHeight="1" x14ac:dyDescent="0.25">
      <c r="B142" s="10"/>
      <c r="C142" s="15"/>
      <c r="D142" s="16"/>
      <c r="E142" s="10"/>
      <c r="F142" s="10"/>
      <c r="G142" s="18">
        <f t="shared" ref="G142:S142" si="60">SUM(G131:G141)</f>
        <v>0</v>
      </c>
      <c r="H142" s="18">
        <f t="shared" si="60"/>
        <v>0</v>
      </c>
      <c r="I142" s="18">
        <f t="shared" si="60"/>
        <v>0</v>
      </c>
      <c r="J142" s="18">
        <f t="shared" si="60"/>
        <v>0</v>
      </c>
      <c r="K142" s="18">
        <f t="shared" si="60"/>
        <v>0</v>
      </c>
      <c r="L142" s="18">
        <f t="shared" si="60"/>
        <v>0</v>
      </c>
      <c r="M142" s="18">
        <f t="shared" si="60"/>
        <v>0</v>
      </c>
      <c r="N142" s="18">
        <f t="shared" si="60"/>
        <v>0</v>
      </c>
      <c r="O142" s="18">
        <f t="shared" si="60"/>
        <v>0</v>
      </c>
      <c r="P142" s="18">
        <f t="shared" si="60"/>
        <v>0</v>
      </c>
      <c r="Q142" s="18">
        <f t="shared" si="60"/>
        <v>0</v>
      </c>
      <c r="R142" s="18">
        <f t="shared" si="60"/>
        <v>0</v>
      </c>
      <c r="S142" s="19">
        <f t="shared" si="60"/>
        <v>0</v>
      </c>
      <c r="W142" s="2"/>
    </row>
    <row r="143" spans="2:23" ht="15.75" customHeight="1" x14ac:dyDescent="0.25">
      <c r="B143" s="10"/>
      <c r="C143" s="15"/>
      <c r="D143" s="16"/>
      <c r="E143" s="10"/>
      <c r="F143" s="10"/>
      <c r="G143" s="20"/>
      <c r="H143" s="20"/>
      <c r="I143" s="20"/>
      <c r="J143" s="20"/>
      <c r="K143" s="15"/>
      <c r="L143" s="1"/>
      <c r="M143" s="21"/>
      <c r="W143" s="2"/>
    </row>
    <row r="144" spans="2:23" ht="15.75" customHeight="1" x14ac:dyDescent="0.25">
      <c r="B144" s="10"/>
      <c r="C144" s="15"/>
      <c r="D144" s="16"/>
      <c r="E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W144" s="2"/>
    </row>
    <row r="145" spans="2:23" ht="15.75" customHeight="1" x14ac:dyDescent="0.25">
      <c r="B145" s="10"/>
      <c r="C145" s="15"/>
      <c r="D145" s="16"/>
      <c r="E145" s="10"/>
      <c r="F145" s="4">
        <v>2024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f t="shared" ref="S145:S146" si="61">SUM(G145:R145)</f>
        <v>0</v>
      </c>
      <c r="W145" s="2"/>
    </row>
    <row r="146" spans="2:23" ht="15.75" customHeight="1" x14ac:dyDescent="0.25">
      <c r="B146" s="10"/>
      <c r="C146" s="15"/>
      <c r="D146" s="16"/>
      <c r="E146" s="10"/>
      <c r="F146" s="4">
        <v>2025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f t="shared" si="61"/>
        <v>0</v>
      </c>
      <c r="W146" s="2"/>
    </row>
    <row r="147" spans="2:23" ht="15.75" customHeight="1" x14ac:dyDescent="0.25">
      <c r="B147" s="10"/>
      <c r="C147" s="15"/>
      <c r="D147" s="16"/>
      <c r="E147" s="10"/>
      <c r="F147" s="10"/>
      <c r="G147" s="20"/>
      <c r="H147" s="20"/>
      <c r="I147" s="20"/>
      <c r="J147" s="20"/>
      <c r="K147" s="15"/>
      <c r="L147" s="1"/>
      <c r="M147" s="21"/>
      <c r="W147" s="2"/>
    </row>
    <row r="148" spans="2:23" ht="15.75" customHeight="1" x14ac:dyDescent="0.25">
      <c r="B148" s="10"/>
      <c r="C148" s="15"/>
      <c r="D148" s="16"/>
      <c r="E148" s="10"/>
      <c r="F148" s="10"/>
      <c r="G148" s="20"/>
      <c r="H148" s="20"/>
      <c r="I148" s="20"/>
      <c r="J148" s="20"/>
      <c r="K148" s="15"/>
      <c r="L148" s="1"/>
      <c r="M148" s="21"/>
      <c r="W148" s="2"/>
    </row>
    <row r="149" spans="2:23" ht="15.75" customHeight="1" x14ac:dyDescent="0.25">
      <c r="B149" s="10"/>
      <c r="C149" s="15"/>
      <c r="D149" s="16"/>
      <c r="E149" s="10"/>
      <c r="F149" s="10"/>
      <c r="G149" s="7">
        <v>46023</v>
      </c>
      <c r="H149" s="7">
        <v>46054</v>
      </c>
      <c r="I149" s="7">
        <v>46082</v>
      </c>
      <c r="J149" s="7">
        <v>46113</v>
      </c>
      <c r="K149" s="7">
        <v>46143</v>
      </c>
      <c r="L149" s="7">
        <v>46174</v>
      </c>
      <c r="M149" s="7">
        <v>46204</v>
      </c>
      <c r="N149" s="7">
        <v>46235</v>
      </c>
      <c r="O149" s="7">
        <v>46266</v>
      </c>
      <c r="P149" s="7">
        <v>46296</v>
      </c>
      <c r="Q149" s="7">
        <v>46327</v>
      </c>
      <c r="R149" s="7">
        <v>46357</v>
      </c>
      <c r="S149" s="7" t="s">
        <v>6</v>
      </c>
      <c r="W149" s="2"/>
    </row>
    <row r="150" spans="2:23" ht="15.75" customHeight="1" x14ac:dyDescent="0.25">
      <c r="B150" s="4">
        <v>7175</v>
      </c>
      <c r="C150" s="37" t="s">
        <v>41</v>
      </c>
      <c r="D150" s="9" t="s">
        <v>8</v>
      </c>
      <c r="E150" s="10">
        <v>800</v>
      </c>
      <c r="F150" s="10"/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3">
        <f t="shared" ref="S150:S160" si="62">SUM(G150:R150)</f>
        <v>0</v>
      </c>
      <c r="W150" s="2"/>
    </row>
    <row r="151" spans="2:23" ht="15.75" customHeight="1" x14ac:dyDescent="0.25">
      <c r="B151" s="4">
        <v>7175</v>
      </c>
      <c r="C151" s="37" t="s">
        <v>41</v>
      </c>
      <c r="D151" s="9" t="s">
        <v>8</v>
      </c>
      <c r="E151" s="10">
        <v>801</v>
      </c>
      <c r="F151" s="10"/>
      <c r="G151" s="23"/>
      <c r="H151" s="23"/>
      <c r="I151" s="23"/>
      <c r="J151" s="24"/>
      <c r="K151" s="25"/>
      <c r="L151" s="26"/>
      <c r="M151" s="27"/>
      <c r="N151" s="27"/>
      <c r="O151" s="27"/>
      <c r="P151" s="27"/>
      <c r="Q151" s="27"/>
      <c r="R151" s="27"/>
      <c r="S151" s="13">
        <f t="shared" si="62"/>
        <v>0</v>
      </c>
      <c r="W151" s="2"/>
    </row>
    <row r="152" spans="2:23" ht="15.75" customHeight="1" x14ac:dyDescent="0.25">
      <c r="B152" s="4">
        <v>7175</v>
      </c>
      <c r="C152" s="37" t="s">
        <v>41</v>
      </c>
      <c r="D152" s="9" t="s">
        <v>8</v>
      </c>
      <c r="E152" s="10">
        <v>802</v>
      </c>
      <c r="F152" s="10"/>
      <c r="G152" s="23"/>
      <c r="H152" s="23"/>
      <c r="I152" s="23"/>
      <c r="J152" s="24"/>
      <c r="K152" s="25"/>
      <c r="L152" s="26"/>
      <c r="M152" s="27"/>
      <c r="N152" s="27"/>
      <c r="O152" s="27"/>
      <c r="P152" s="27"/>
      <c r="Q152" s="27"/>
      <c r="R152" s="27"/>
      <c r="S152" s="13">
        <f t="shared" si="62"/>
        <v>0</v>
      </c>
      <c r="W152" s="2"/>
    </row>
    <row r="153" spans="2:23" ht="15.75" customHeight="1" x14ac:dyDescent="0.25">
      <c r="B153" s="4">
        <v>7175</v>
      </c>
      <c r="C153" s="37" t="s">
        <v>41</v>
      </c>
      <c r="D153" s="9" t="s">
        <v>8</v>
      </c>
      <c r="E153" s="10">
        <v>803</v>
      </c>
      <c r="F153" s="10"/>
      <c r="G153" s="23"/>
      <c r="H153" s="23"/>
      <c r="I153" s="23"/>
      <c r="J153" s="24"/>
      <c r="K153" s="25"/>
      <c r="L153" s="26"/>
      <c r="M153" s="27"/>
      <c r="N153" s="27"/>
      <c r="O153" s="27"/>
      <c r="P153" s="27"/>
      <c r="Q153" s="27"/>
      <c r="R153" s="27"/>
      <c r="S153" s="13">
        <f t="shared" si="62"/>
        <v>0</v>
      </c>
      <c r="W153" s="2"/>
    </row>
    <row r="154" spans="2:23" ht="15.75" customHeight="1" x14ac:dyDescent="0.25">
      <c r="B154" s="4">
        <v>7175</v>
      </c>
      <c r="C154" s="37" t="s">
        <v>41</v>
      </c>
      <c r="D154" s="9" t="s">
        <v>8</v>
      </c>
      <c r="E154" s="10">
        <v>804</v>
      </c>
      <c r="F154" s="10"/>
      <c r="G154" s="23"/>
      <c r="H154" s="23"/>
      <c r="I154" s="23"/>
      <c r="J154" s="24"/>
      <c r="K154" s="25"/>
      <c r="L154" s="26"/>
      <c r="M154" s="27"/>
      <c r="N154" s="27"/>
      <c r="O154" s="27"/>
      <c r="P154" s="27"/>
      <c r="Q154" s="27"/>
      <c r="R154" s="27"/>
      <c r="S154" s="13">
        <f t="shared" si="62"/>
        <v>0</v>
      </c>
      <c r="W154" s="2"/>
    </row>
    <row r="155" spans="2:23" ht="15.75" customHeight="1" x14ac:dyDescent="0.25">
      <c r="B155" s="4">
        <v>7175</v>
      </c>
      <c r="C155" s="37" t="s">
        <v>41</v>
      </c>
      <c r="D155" s="9" t="s">
        <v>8</v>
      </c>
      <c r="E155" s="10">
        <v>805</v>
      </c>
      <c r="F155" s="10"/>
      <c r="G155" s="23"/>
      <c r="H155" s="23"/>
      <c r="I155" s="23"/>
      <c r="J155" s="24"/>
      <c r="K155" s="25"/>
      <c r="L155" s="26"/>
      <c r="M155" s="27"/>
      <c r="N155" s="27"/>
      <c r="O155" s="27"/>
      <c r="P155" s="27"/>
      <c r="Q155" s="27"/>
      <c r="R155" s="27"/>
      <c r="S155" s="13">
        <f t="shared" si="62"/>
        <v>0</v>
      </c>
      <c r="W155" s="2"/>
    </row>
    <row r="156" spans="2:23" ht="15.75" customHeight="1" x14ac:dyDescent="0.25">
      <c r="B156" s="4">
        <v>7175</v>
      </c>
      <c r="C156" s="37" t="s">
        <v>41</v>
      </c>
      <c r="D156" s="9" t="s">
        <v>8</v>
      </c>
      <c r="E156" s="10">
        <v>806</v>
      </c>
      <c r="F156" s="10"/>
      <c r="G156" s="23"/>
      <c r="H156" s="23"/>
      <c r="I156" s="23"/>
      <c r="J156" s="24"/>
      <c r="K156" s="25"/>
      <c r="L156" s="26"/>
      <c r="M156" s="27"/>
      <c r="N156" s="27"/>
      <c r="O156" s="27"/>
      <c r="P156" s="27"/>
      <c r="Q156" s="27"/>
      <c r="R156" s="27"/>
      <c r="S156" s="13">
        <f t="shared" si="62"/>
        <v>0</v>
      </c>
      <c r="W156" s="2"/>
    </row>
    <row r="157" spans="2:23" ht="15.75" customHeight="1" x14ac:dyDescent="0.25">
      <c r="B157" s="4">
        <v>7175</v>
      </c>
      <c r="C157" s="37" t="s">
        <v>41</v>
      </c>
      <c r="D157" s="9" t="s">
        <v>8</v>
      </c>
      <c r="E157" s="10">
        <v>807</v>
      </c>
      <c r="F157" s="10"/>
      <c r="G157" s="23"/>
      <c r="H157" s="23"/>
      <c r="I157" s="23"/>
      <c r="J157" s="24"/>
      <c r="K157" s="25"/>
      <c r="L157" s="26"/>
      <c r="M157" s="27"/>
      <c r="N157" s="27"/>
      <c r="O157" s="27"/>
      <c r="P157" s="27"/>
      <c r="Q157" s="27"/>
      <c r="R157" s="27"/>
      <c r="S157" s="13">
        <f t="shared" si="62"/>
        <v>0</v>
      </c>
      <c r="W157" s="2"/>
    </row>
    <row r="158" spans="2:23" ht="15.75" customHeight="1" x14ac:dyDescent="0.25">
      <c r="B158" s="4">
        <v>7175</v>
      </c>
      <c r="C158" s="37" t="s">
        <v>41</v>
      </c>
      <c r="D158" s="9" t="s">
        <v>8</v>
      </c>
      <c r="E158" s="10">
        <v>808</v>
      </c>
      <c r="F158" s="10"/>
      <c r="G158" s="23"/>
      <c r="H158" s="23"/>
      <c r="I158" s="23"/>
      <c r="J158" s="24"/>
      <c r="K158" s="25"/>
      <c r="L158" s="26"/>
      <c r="M158" s="27"/>
      <c r="N158" s="27"/>
      <c r="O158" s="27"/>
      <c r="P158" s="27"/>
      <c r="Q158" s="27"/>
      <c r="R158" s="27"/>
      <c r="S158" s="13">
        <f t="shared" si="62"/>
        <v>0</v>
      </c>
      <c r="W158" s="2"/>
    </row>
    <row r="159" spans="2:23" ht="15.75" customHeight="1" x14ac:dyDescent="0.25">
      <c r="B159" s="4">
        <v>7175</v>
      </c>
      <c r="C159" s="37" t="s">
        <v>41</v>
      </c>
      <c r="D159" s="9" t="s">
        <v>8</v>
      </c>
      <c r="E159" s="10">
        <v>809</v>
      </c>
      <c r="F159" s="10"/>
      <c r="G159" s="23"/>
      <c r="H159" s="23"/>
      <c r="I159" s="23"/>
      <c r="J159" s="24"/>
      <c r="K159" s="25"/>
      <c r="L159" s="26"/>
      <c r="M159" s="27"/>
      <c r="N159" s="27"/>
      <c r="O159" s="27"/>
      <c r="P159" s="27"/>
      <c r="Q159" s="27"/>
      <c r="R159" s="27"/>
      <c r="S159" s="13">
        <f t="shared" si="62"/>
        <v>0</v>
      </c>
      <c r="W159" s="2"/>
    </row>
    <row r="160" spans="2:23" ht="15.75" customHeight="1" x14ac:dyDescent="0.25">
      <c r="B160" s="4">
        <v>7175</v>
      </c>
      <c r="C160" s="37" t="s">
        <v>41</v>
      </c>
      <c r="D160" s="9" t="s">
        <v>8</v>
      </c>
      <c r="E160" s="10">
        <v>810</v>
      </c>
      <c r="F160" s="10"/>
      <c r="G160" s="28"/>
      <c r="H160" s="28"/>
      <c r="I160" s="28"/>
      <c r="J160" s="29"/>
      <c r="K160" s="30"/>
      <c r="L160" s="31"/>
      <c r="M160" s="32"/>
      <c r="N160" s="32"/>
      <c r="O160" s="32"/>
      <c r="P160" s="32"/>
      <c r="Q160" s="32"/>
      <c r="R160" s="32"/>
      <c r="S160" s="13">
        <f t="shared" si="62"/>
        <v>0</v>
      </c>
      <c r="W160" s="2"/>
    </row>
    <row r="161" spans="1:34" ht="15.75" customHeight="1" x14ac:dyDescent="0.25">
      <c r="B161" s="10"/>
      <c r="C161" s="15"/>
      <c r="D161" s="16"/>
      <c r="E161" s="10"/>
      <c r="F161" s="10"/>
      <c r="G161" s="18">
        <f t="shared" ref="G161:S161" si="63">SUM(G150:G160)</f>
        <v>0</v>
      </c>
      <c r="H161" s="18">
        <f t="shared" si="63"/>
        <v>0</v>
      </c>
      <c r="I161" s="18">
        <f t="shared" si="63"/>
        <v>0</v>
      </c>
      <c r="J161" s="18">
        <f t="shared" si="63"/>
        <v>0</v>
      </c>
      <c r="K161" s="18">
        <f t="shared" si="63"/>
        <v>0</v>
      </c>
      <c r="L161" s="18">
        <f t="shared" si="63"/>
        <v>0</v>
      </c>
      <c r="M161" s="18">
        <f t="shared" si="63"/>
        <v>0</v>
      </c>
      <c r="N161" s="18">
        <f t="shared" si="63"/>
        <v>0</v>
      </c>
      <c r="O161" s="18">
        <f t="shared" si="63"/>
        <v>0</v>
      </c>
      <c r="P161" s="18">
        <f t="shared" si="63"/>
        <v>0</v>
      </c>
      <c r="Q161" s="18">
        <f t="shared" si="63"/>
        <v>0</v>
      </c>
      <c r="R161" s="18">
        <f t="shared" si="63"/>
        <v>0</v>
      </c>
      <c r="S161" s="19">
        <f t="shared" si="63"/>
        <v>0</v>
      </c>
      <c r="W161" s="2"/>
    </row>
    <row r="162" spans="1:34" ht="15.75" customHeight="1" x14ac:dyDescent="0.25">
      <c r="A162" s="38"/>
      <c r="B162" s="39"/>
      <c r="C162" s="40"/>
      <c r="D162" s="16"/>
      <c r="E162" s="39"/>
      <c r="F162" s="39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38"/>
      <c r="U162" s="38"/>
      <c r="V162" s="38"/>
      <c r="W162" s="2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</row>
    <row r="163" spans="1:34" ht="15.75" customHeight="1" x14ac:dyDescent="0.25">
      <c r="A163" s="38"/>
      <c r="B163" s="39"/>
      <c r="C163" s="40"/>
      <c r="D163" s="16"/>
      <c r="E163" s="3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8"/>
      <c r="U163" s="38"/>
      <c r="V163" s="38"/>
      <c r="W163" s="2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</row>
    <row r="164" spans="1:34" ht="15.75" customHeight="1" x14ac:dyDescent="0.25">
      <c r="A164" s="38"/>
      <c r="B164" s="39"/>
      <c r="C164" s="40"/>
      <c r="D164" s="16"/>
      <c r="E164" s="39"/>
      <c r="F164" s="4">
        <v>2024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f t="shared" ref="S164:S165" si="64">SUM(G164:R164)</f>
        <v>0</v>
      </c>
      <c r="T164" s="38"/>
      <c r="U164" s="38"/>
      <c r="V164" s="38"/>
      <c r="W164" s="2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</row>
    <row r="165" spans="1:34" ht="15.75" customHeight="1" x14ac:dyDescent="0.25">
      <c r="A165" s="38"/>
      <c r="B165" s="39"/>
      <c r="C165" s="40"/>
      <c r="D165" s="16"/>
      <c r="E165" s="39"/>
      <c r="F165" s="4">
        <v>2025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f t="shared" si="64"/>
        <v>0</v>
      </c>
      <c r="T165" s="38"/>
      <c r="U165" s="38"/>
      <c r="V165" s="38"/>
      <c r="W165" s="2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</row>
    <row r="166" spans="1:34" ht="15.75" customHeight="1" x14ac:dyDescent="0.25">
      <c r="A166" s="38"/>
      <c r="B166" s="39"/>
      <c r="C166" s="40"/>
      <c r="D166" s="16"/>
      <c r="E166" s="39"/>
      <c r="F166" s="39"/>
      <c r="G166" s="20"/>
      <c r="H166" s="20"/>
      <c r="I166" s="20"/>
      <c r="J166" s="20"/>
      <c r="K166" s="40"/>
      <c r="L166" s="1"/>
      <c r="M166" s="42"/>
      <c r="N166" s="38"/>
      <c r="O166" s="38"/>
      <c r="P166" s="38"/>
      <c r="Q166" s="38"/>
      <c r="R166" s="38"/>
      <c r="S166" s="38"/>
      <c r="T166" s="38"/>
      <c r="U166" s="38"/>
      <c r="V166" s="38"/>
      <c r="W166" s="2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</row>
    <row r="167" spans="1:34" ht="15.75" customHeight="1" x14ac:dyDescent="0.25">
      <c r="B167" s="10"/>
      <c r="C167" s="15"/>
      <c r="D167" s="16"/>
      <c r="E167" s="10"/>
      <c r="F167" s="10"/>
      <c r="G167" s="20"/>
      <c r="H167" s="20"/>
      <c r="I167" s="20"/>
      <c r="J167" s="20"/>
      <c r="K167" s="15"/>
      <c r="L167" s="1"/>
      <c r="M167" s="21"/>
      <c r="W167" s="2"/>
    </row>
    <row r="168" spans="1:34" ht="15.75" customHeight="1" x14ac:dyDescent="0.25">
      <c r="B168" s="10"/>
      <c r="C168" s="15"/>
      <c r="D168" s="16"/>
      <c r="E168" s="10"/>
      <c r="F168" s="10"/>
      <c r="G168" s="7">
        <v>46023</v>
      </c>
      <c r="H168" s="7">
        <v>46054</v>
      </c>
      <c r="I168" s="7">
        <v>46082</v>
      </c>
      <c r="J168" s="7">
        <v>46113</v>
      </c>
      <c r="K168" s="7">
        <v>46143</v>
      </c>
      <c r="L168" s="7">
        <v>46174</v>
      </c>
      <c r="M168" s="7">
        <v>46204</v>
      </c>
      <c r="N168" s="7">
        <v>46235</v>
      </c>
      <c r="O168" s="7">
        <v>46266</v>
      </c>
      <c r="P168" s="7">
        <v>46296</v>
      </c>
      <c r="Q168" s="7">
        <v>46327</v>
      </c>
      <c r="R168" s="7">
        <v>46357</v>
      </c>
      <c r="S168" s="7" t="s">
        <v>6</v>
      </c>
      <c r="W168" s="2"/>
    </row>
    <row r="169" spans="1:34" ht="15.75" customHeight="1" x14ac:dyDescent="0.25">
      <c r="B169" s="4">
        <v>7185</v>
      </c>
      <c r="C169" s="37" t="s">
        <v>42</v>
      </c>
      <c r="D169" s="9" t="s">
        <v>8</v>
      </c>
      <c r="E169" s="10">
        <v>800</v>
      </c>
      <c r="F169" s="10"/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3">
        <f t="shared" ref="S169:S179" si="65">SUM(G169:R169)</f>
        <v>0</v>
      </c>
      <c r="W169" s="2"/>
    </row>
    <row r="170" spans="1:34" ht="15.75" customHeight="1" x14ac:dyDescent="0.25">
      <c r="B170" s="4">
        <v>7185</v>
      </c>
      <c r="C170" s="37" t="s">
        <v>42</v>
      </c>
      <c r="D170" s="9" t="s">
        <v>8</v>
      </c>
      <c r="E170" s="10">
        <v>801</v>
      </c>
      <c r="F170" s="10"/>
      <c r="G170" s="23"/>
      <c r="H170" s="23"/>
      <c r="I170" s="23"/>
      <c r="J170" s="24"/>
      <c r="K170" s="25"/>
      <c r="L170" s="26"/>
      <c r="M170" s="27"/>
      <c r="N170" s="27"/>
      <c r="O170" s="27"/>
      <c r="P170" s="27"/>
      <c r="Q170" s="27"/>
      <c r="R170" s="27"/>
      <c r="S170" s="13">
        <f t="shared" si="65"/>
        <v>0</v>
      </c>
      <c r="W170" s="2"/>
    </row>
    <row r="171" spans="1:34" ht="15.75" customHeight="1" x14ac:dyDescent="0.25">
      <c r="B171" s="4">
        <v>7185</v>
      </c>
      <c r="C171" s="37" t="s">
        <v>42</v>
      </c>
      <c r="D171" s="9" t="s">
        <v>8</v>
      </c>
      <c r="E171" s="10">
        <v>802</v>
      </c>
      <c r="F171" s="10"/>
      <c r="G171" s="23"/>
      <c r="H171" s="23"/>
      <c r="I171" s="23"/>
      <c r="J171" s="24"/>
      <c r="K171" s="25"/>
      <c r="L171" s="26"/>
      <c r="M171" s="27"/>
      <c r="N171" s="27"/>
      <c r="O171" s="27"/>
      <c r="P171" s="27"/>
      <c r="Q171" s="27"/>
      <c r="R171" s="27"/>
      <c r="S171" s="13">
        <f t="shared" si="65"/>
        <v>0</v>
      </c>
      <c r="W171" s="2"/>
    </row>
    <row r="172" spans="1:34" ht="15.75" customHeight="1" x14ac:dyDescent="0.25">
      <c r="B172" s="4">
        <v>7185</v>
      </c>
      <c r="C172" s="37" t="s">
        <v>42</v>
      </c>
      <c r="D172" s="9" t="s">
        <v>8</v>
      </c>
      <c r="E172" s="10">
        <v>803</v>
      </c>
      <c r="F172" s="10"/>
      <c r="G172" s="23"/>
      <c r="H172" s="23"/>
      <c r="I172" s="23"/>
      <c r="J172" s="24"/>
      <c r="K172" s="25"/>
      <c r="L172" s="26"/>
      <c r="M172" s="27"/>
      <c r="N172" s="27"/>
      <c r="O172" s="27"/>
      <c r="P172" s="27"/>
      <c r="Q172" s="27"/>
      <c r="R172" s="27"/>
      <c r="S172" s="13">
        <f t="shared" si="65"/>
        <v>0</v>
      </c>
      <c r="W172" s="2"/>
    </row>
    <row r="173" spans="1:34" ht="15.75" customHeight="1" x14ac:dyDescent="0.25">
      <c r="B173" s="4">
        <v>7185</v>
      </c>
      <c r="C173" s="37" t="s">
        <v>42</v>
      </c>
      <c r="D173" s="9" t="s">
        <v>8</v>
      </c>
      <c r="E173" s="10">
        <v>804</v>
      </c>
      <c r="F173" s="10"/>
      <c r="G173" s="23"/>
      <c r="H173" s="23"/>
      <c r="I173" s="23"/>
      <c r="J173" s="24"/>
      <c r="K173" s="25"/>
      <c r="L173" s="26"/>
      <c r="M173" s="27"/>
      <c r="N173" s="27"/>
      <c r="O173" s="27"/>
      <c r="P173" s="27"/>
      <c r="Q173" s="27"/>
      <c r="R173" s="27"/>
      <c r="S173" s="13">
        <f t="shared" si="65"/>
        <v>0</v>
      </c>
      <c r="W173" s="2"/>
    </row>
    <row r="174" spans="1:34" ht="15.75" customHeight="1" x14ac:dyDescent="0.25">
      <c r="B174" s="4">
        <v>7185</v>
      </c>
      <c r="C174" s="37" t="s">
        <v>42</v>
      </c>
      <c r="D174" s="9" t="s">
        <v>8</v>
      </c>
      <c r="E174" s="10">
        <v>805</v>
      </c>
      <c r="F174" s="10"/>
      <c r="G174" s="23"/>
      <c r="H174" s="23"/>
      <c r="I174" s="23"/>
      <c r="J174" s="24"/>
      <c r="K174" s="25"/>
      <c r="L174" s="26"/>
      <c r="M174" s="27"/>
      <c r="N174" s="27"/>
      <c r="O174" s="27"/>
      <c r="P174" s="27"/>
      <c r="Q174" s="27"/>
      <c r="R174" s="27"/>
      <c r="S174" s="13">
        <f t="shared" si="65"/>
        <v>0</v>
      </c>
      <c r="W174" s="2"/>
    </row>
    <row r="175" spans="1:34" ht="15.75" customHeight="1" x14ac:dyDescent="0.25">
      <c r="B175" s="4">
        <v>7185</v>
      </c>
      <c r="C175" s="37" t="s">
        <v>42</v>
      </c>
      <c r="D175" s="9" t="s">
        <v>8</v>
      </c>
      <c r="E175" s="10">
        <v>806</v>
      </c>
      <c r="F175" s="10"/>
      <c r="G175" s="23"/>
      <c r="H175" s="23"/>
      <c r="I175" s="23"/>
      <c r="J175" s="24"/>
      <c r="K175" s="25"/>
      <c r="L175" s="26"/>
      <c r="M175" s="27"/>
      <c r="N175" s="27"/>
      <c r="O175" s="27"/>
      <c r="P175" s="27"/>
      <c r="Q175" s="27"/>
      <c r="R175" s="27"/>
      <c r="S175" s="13">
        <f t="shared" si="65"/>
        <v>0</v>
      </c>
      <c r="W175" s="2"/>
    </row>
    <row r="176" spans="1:34" ht="15.75" customHeight="1" x14ac:dyDescent="0.25">
      <c r="B176" s="4">
        <v>7185</v>
      </c>
      <c r="C176" s="37" t="s">
        <v>42</v>
      </c>
      <c r="D176" s="9" t="s">
        <v>8</v>
      </c>
      <c r="E176" s="10">
        <v>807</v>
      </c>
      <c r="F176" s="10"/>
      <c r="G176" s="23"/>
      <c r="H176" s="23"/>
      <c r="I176" s="23"/>
      <c r="J176" s="24"/>
      <c r="K176" s="25"/>
      <c r="L176" s="26"/>
      <c r="M176" s="27"/>
      <c r="N176" s="27"/>
      <c r="O176" s="27"/>
      <c r="P176" s="27"/>
      <c r="Q176" s="27"/>
      <c r="R176" s="27"/>
      <c r="S176" s="13">
        <f t="shared" si="65"/>
        <v>0</v>
      </c>
      <c r="W176" s="2"/>
    </row>
    <row r="177" spans="2:23" ht="15.75" customHeight="1" x14ac:dyDescent="0.25">
      <c r="B177" s="4">
        <v>7185</v>
      </c>
      <c r="C177" s="37" t="s">
        <v>42</v>
      </c>
      <c r="D177" s="9" t="s">
        <v>8</v>
      </c>
      <c r="E177" s="10">
        <v>808</v>
      </c>
      <c r="F177" s="10"/>
      <c r="G177" s="23"/>
      <c r="H177" s="23"/>
      <c r="I177" s="23"/>
      <c r="J177" s="24"/>
      <c r="K177" s="25"/>
      <c r="L177" s="26"/>
      <c r="M177" s="27"/>
      <c r="N177" s="27"/>
      <c r="O177" s="27"/>
      <c r="P177" s="27"/>
      <c r="Q177" s="27"/>
      <c r="R177" s="27"/>
      <c r="S177" s="13">
        <f t="shared" si="65"/>
        <v>0</v>
      </c>
      <c r="W177" s="2"/>
    </row>
    <row r="178" spans="2:23" ht="15.75" customHeight="1" x14ac:dyDescent="0.25">
      <c r="B178" s="4">
        <v>7185</v>
      </c>
      <c r="C178" s="37" t="s">
        <v>42</v>
      </c>
      <c r="D178" s="9" t="s">
        <v>8</v>
      </c>
      <c r="E178" s="10">
        <v>809</v>
      </c>
      <c r="F178" s="10"/>
      <c r="G178" s="23"/>
      <c r="H178" s="23"/>
      <c r="I178" s="23"/>
      <c r="J178" s="24"/>
      <c r="K178" s="25"/>
      <c r="L178" s="26"/>
      <c r="M178" s="27"/>
      <c r="N178" s="27"/>
      <c r="O178" s="27"/>
      <c r="P178" s="27"/>
      <c r="Q178" s="27"/>
      <c r="R178" s="27"/>
      <c r="S178" s="13">
        <f t="shared" si="65"/>
        <v>0</v>
      </c>
      <c r="W178" s="2"/>
    </row>
    <row r="179" spans="2:23" ht="15.75" customHeight="1" x14ac:dyDescent="0.25">
      <c r="B179" s="4">
        <v>7185</v>
      </c>
      <c r="C179" s="37" t="s">
        <v>42</v>
      </c>
      <c r="D179" s="9" t="s">
        <v>8</v>
      </c>
      <c r="E179" s="10">
        <v>810</v>
      </c>
      <c r="F179" s="10"/>
      <c r="G179" s="28"/>
      <c r="H179" s="28"/>
      <c r="I179" s="28"/>
      <c r="J179" s="29"/>
      <c r="K179" s="30"/>
      <c r="L179" s="31"/>
      <c r="M179" s="32"/>
      <c r="N179" s="32"/>
      <c r="O179" s="32"/>
      <c r="P179" s="32"/>
      <c r="Q179" s="32"/>
      <c r="R179" s="32"/>
      <c r="S179" s="13">
        <f t="shared" si="65"/>
        <v>0</v>
      </c>
      <c r="W179" s="2"/>
    </row>
    <row r="180" spans="2:23" ht="15.75" customHeight="1" x14ac:dyDescent="0.25">
      <c r="B180" s="10"/>
      <c r="C180" s="15"/>
      <c r="D180" s="16"/>
      <c r="E180" s="10"/>
      <c r="F180" s="10"/>
      <c r="G180" s="18">
        <f t="shared" ref="G180:S180" si="66">SUM(G169:G179)</f>
        <v>0</v>
      </c>
      <c r="H180" s="18">
        <f t="shared" si="66"/>
        <v>0</v>
      </c>
      <c r="I180" s="18">
        <f t="shared" si="66"/>
        <v>0</v>
      </c>
      <c r="J180" s="18">
        <f t="shared" si="66"/>
        <v>0</v>
      </c>
      <c r="K180" s="18">
        <f t="shared" si="66"/>
        <v>0</v>
      </c>
      <c r="L180" s="18">
        <f t="shared" si="66"/>
        <v>0</v>
      </c>
      <c r="M180" s="18">
        <f t="shared" si="66"/>
        <v>0</v>
      </c>
      <c r="N180" s="18">
        <f t="shared" si="66"/>
        <v>0</v>
      </c>
      <c r="O180" s="18">
        <f t="shared" si="66"/>
        <v>0</v>
      </c>
      <c r="P180" s="18">
        <f t="shared" si="66"/>
        <v>0</v>
      </c>
      <c r="Q180" s="18">
        <f t="shared" si="66"/>
        <v>0</v>
      </c>
      <c r="R180" s="18">
        <f t="shared" si="66"/>
        <v>0</v>
      </c>
      <c r="S180" s="19">
        <f t="shared" si="66"/>
        <v>0</v>
      </c>
      <c r="W180" s="2"/>
    </row>
    <row r="181" spans="2:23" ht="15.75" customHeight="1" x14ac:dyDescent="0.25">
      <c r="B181" s="10"/>
      <c r="C181" s="15"/>
      <c r="D181" s="16"/>
      <c r="E181" s="10"/>
      <c r="F181" s="10"/>
      <c r="G181" s="20"/>
      <c r="H181" s="20"/>
      <c r="I181" s="20"/>
      <c r="J181" s="20"/>
      <c r="K181" s="15"/>
      <c r="L181" s="1"/>
      <c r="M181" s="21"/>
      <c r="W181" s="2"/>
    </row>
    <row r="182" spans="2:23" ht="15.75" customHeight="1" x14ac:dyDescent="0.25">
      <c r="B182" s="10"/>
      <c r="C182" s="15"/>
      <c r="D182" s="16"/>
      <c r="E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W182" s="2"/>
    </row>
    <row r="183" spans="2:23" ht="15.75" customHeight="1" x14ac:dyDescent="0.25">
      <c r="B183" s="10"/>
      <c r="C183" s="15"/>
      <c r="D183" s="16"/>
      <c r="E183" s="10"/>
      <c r="F183" s="4">
        <v>2024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f t="shared" ref="S183:S184" si="67">SUM(G183:R183)</f>
        <v>0</v>
      </c>
      <c r="W183" s="2"/>
    </row>
    <row r="184" spans="2:23" ht="15.75" customHeight="1" x14ac:dyDescent="0.25">
      <c r="B184" s="10"/>
      <c r="C184" s="15"/>
      <c r="D184" s="16"/>
      <c r="E184" s="10"/>
      <c r="F184" s="4">
        <v>2025</v>
      </c>
      <c r="G184" s="43">
        <v>0</v>
      </c>
      <c r="H184" s="43">
        <v>137.60025161188867</v>
      </c>
      <c r="I184" s="43">
        <v>0</v>
      </c>
      <c r="J184" s="43">
        <v>182.91407480314962</v>
      </c>
      <c r="K184" s="43">
        <v>0</v>
      </c>
      <c r="L184" s="43">
        <v>0</v>
      </c>
      <c r="M184" s="43">
        <v>107.9146454214616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3">
        <f t="shared" si="67"/>
        <v>428.4289718364999</v>
      </c>
      <c r="W184" s="2"/>
    </row>
    <row r="185" spans="2:23" ht="15.75" customHeight="1" x14ac:dyDescent="0.25">
      <c r="B185" s="10"/>
      <c r="C185" s="15"/>
      <c r="D185" s="16"/>
      <c r="E185" s="10"/>
      <c r="F185" s="10"/>
      <c r="G185" s="20"/>
      <c r="H185" s="20"/>
      <c r="I185" s="20"/>
      <c r="J185" s="20"/>
      <c r="K185" s="15"/>
      <c r="L185" s="1"/>
      <c r="M185" s="21"/>
      <c r="W185" s="2"/>
    </row>
    <row r="186" spans="2:23" ht="15.75" customHeight="1" x14ac:dyDescent="0.25">
      <c r="B186" s="10"/>
      <c r="C186" s="15"/>
      <c r="D186" s="16"/>
      <c r="E186" s="10"/>
      <c r="F186" s="10"/>
      <c r="G186" s="20"/>
      <c r="H186" s="20"/>
      <c r="I186" s="20"/>
      <c r="J186" s="20"/>
      <c r="K186" s="15"/>
      <c r="L186" s="1"/>
      <c r="M186" s="21"/>
      <c r="W186" s="2"/>
    </row>
    <row r="187" spans="2:23" ht="15.75" customHeight="1" x14ac:dyDescent="0.25">
      <c r="B187" s="10"/>
      <c r="C187" s="15"/>
      <c r="D187" s="16"/>
      <c r="E187" s="10"/>
      <c r="F187" s="10"/>
      <c r="G187" s="20"/>
      <c r="H187" s="20"/>
      <c r="I187" s="20"/>
      <c r="J187" s="20"/>
      <c r="K187" s="15"/>
      <c r="L187" s="1"/>
      <c r="M187" s="21"/>
      <c r="W187" s="2"/>
    </row>
    <row r="188" spans="2:23" ht="15.75" customHeight="1" x14ac:dyDescent="0.25">
      <c r="B188" s="10"/>
      <c r="C188" s="15"/>
      <c r="D188" s="16"/>
      <c r="E188" s="10"/>
      <c r="F188" s="10"/>
      <c r="G188" s="20"/>
      <c r="H188" s="20"/>
      <c r="I188" s="20"/>
      <c r="J188" s="20"/>
      <c r="K188" s="15"/>
      <c r="L188" s="1"/>
      <c r="M188" s="21"/>
      <c r="W188" s="2"/>
    </row>
    <row r="189" spans="2:23" ht="15.75" customHeight="1" x14ac:dyDescent="0.25">
      <c r="B189" s="10"/>
      <c r="C189" s="15"/>
      <c r="D189" s="16"/>
      <c r="E189" s="10"/>
      <c r="F189" s="10"/>
      <c r="G189" s="7">
        <v>46023</v>
      </c>
      <c r="H189" s="7">
        <v>46054</v>
      </c>
      <c r="I189" s="7">
        <v>46082</v>
      </c>
      <c r="J189" s="7">
        <v>46113</v>
      </c>
      <c r="K189" s="7">
        <v>46143</v>
      </c>
      <c r="L189" s="7">
        <v>46174</v>
      </c>
      <c r="M189" s="7">
        <v>46204</v>
      </c>
      <c r="N189" s="7">
        <v>46235</v>
      </c>
      <c r="O189" s="7">
        <v>46266</v>
      </c>
      <c r="P189" s="7">
        <v>46296</v>
      </c>
      <c r="Q189" s="7">
        <v>46327</v>
      </c>
      <c r="R189" s="7">
        <v>46357</v>
      </c>
      <c r="S189" s="7" t="s">
        <v>6</v>
      </c>
      <c r="W189" s="2"/>
    </row>
    <row r="190" spans="2:23" ht="15.75" customHeight="1" x14ac:dyDescent="0.25">
      <c r="B190" s="4">
        <v>7380</v>
      </c>
      <c r="C190" s="37" t="s">
        <v>43</v>
      </c>
      <c r="D190" s="9" t="s">
        <v>8</v>
      </c>
      <c r="E190" s="10">
        <v>800</v>
      </c>
      <c r="F190" s="10"/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3">
        <f t="shared" ref="S190:S200" si="68">SUM(G190:R190)</f>
        <v>0</v>
      </c>
      <c r="W190" s="2"/>
    </row>
    <row r="191" spans="2:23" ht="15.75" customHeight="1" x14ac:dyDescent="0.25">
      <c r="B191" s="4">
        <v>7380</v>
      </c>
      <c r="C191" s="37" t="s">
        <v>43</v>
      </c>
      <c r="D191" s="9" t="s">
        <v>8</v>
      </c>
      <c r="E191" s="10">
        <v>801</v>
      </c>
      <c r="F191" s="10"/>
      <c r="G191" s="23"/>
      <c r="H191" s="23"/>
      <c r="I191" s="23"/>
      <c r="J191" s="24"/>
      <c r="K191" s="25"/>
      <c r="L191" s="26"/>
      <c r="M191" s="27"/>
      <c r="N191" s="27"/>
      <c r="O191" s="27"/>
      <c r="P191" s="27"/>
      <c r="Q191" s="27"/>
      <c r="R191" s="27"/>
      <c r="S191" s="13">
        <f t="shared" si="68"/>
        <v>0</v>
      </c>
      <c r="W191" s="2"/>
    </row>
    <row r="192" spans="2:23" ht="15.75" customHeight="1" x14ac:dyDescent="0.25">
      <c r="B192" s="4">
        <v>7380</v>
      </c>
      <c r="C192" s="37" t="s">
        <v>43</v>
      </c>
      <c r="D192" s="9" t="s">
        <v>8</v>
      </c>
      <c r="E192" s="10">
        <v>802</v>
      </c>
      <c r="F192" s="10"/>
      <c r="G192" s="23"/>
      <c r="H192" s="23"/>
      <c r="I192" s="23"/>
      <c r="J192" s="24"/>
      <c r="K192" s="25"/>
      <c r="L192" s="26"/>
      <c r="M192" s="27"/>
      <c r="N192" s="27"/>
      <c r="O192" s="27"/>
      <c r="P192" s="27"/>
      <c r="Q192" s="27"/>
      <c r="R192" s="27"/>
      <c r="S192" s="13">
        <f t="shared" si="68"/>
        <v>0</v>
      </c>
      <c r="W192" s="2"/>
    </row>
    <row r="193" spans="2:23" ht="15.75" customHeight="1" x14ac:dyDescent="0.25">
      <c r="B193" s="4">
        <v>7380</v>
      </c>
      <c r="C193" s="37" t="s">
        <v>43</v>
      </c>
      <c r="D193" s="9" t="s">
        <v>8</v>
      </c>
      <c r="E193" s="10">
        <v>803</v>
      </c>
      <c r="F193" s="10"/>
      <c r="G193" s="23"/>
      <c r="H193" s="23"/>
      <c r="I193" s="23"/>
      <c r="J193" s="24"/>
      <c r="K193" s="25"/>
      <c r="L193" s="26"/>
      <c r="M193" s="27"/>
      <c r="N193" s="27"/>
      <c r="O193" s="27"/>
      <c r="P193" s="27"/>
      <c r="Q193" s="27"/>
      <c r="R193" s="27"/>
      <c r="S193" s="13">
        <f t="shared" si="68"/>
        <v>0</v>
      </c>
      <c r="W193" s="2"/>
    </row>
    <row r="194" spans="2:23" ht="15.75" customHeight="1" x14ac:dyDescent="0.25">
      <c r="B194" s="4">
        <v>7380</v>
      </c>
      <c r="C194" s="37" t="s">
        <v>43</v>
      </c>
      <c r="D194" s="9" t="s">
        <v>8</v>
      </c>
      <c r="E194" s="10">
        <v>804</v>
      </c>
      <c r="F194" s="10"/>
      <c r="G194" s="23"/>
      <c r="H194" s="23"/>
      <c r="I194" s="23"/>
      <c r="J194" s="24"/>
      <c r="K194" s="25"/>
      <c r="L194" s="26"/>
      <c r="M194" s="27"/>
      <c r="N194" s="27"/>
      <c r="O194" s="27"/>
      <c r="P194" s="27"/>
      <c r="Q194" s="27"/>
      <c r="R194" s="27"/>
      <c r="S194" s="13">
        <f t="shared" si="68"/>
        <v>0</v>
      </c>
      <c r="W194" s="2"/>
    </row>
    <row r="195" spans="2:23" ht="15.75" customHeight="1" x14ac:dyDescent="0.25">
      <c r="B195" s="4">
        <v>7380</v>
      </c>
      <c r="C195" s="37" t="s">
        <v>43</v>
      </c>
      <c r="D195" s="9" t="s">
        <v>8</v>
      </c>
      <c r="E195" s="10">
        <v>805</v>
      </c>
      <c r="F195" s="10"/>
      <c r="G195" s="23"/>
      <c r="H195" s="23"/>
      <c r="I195" s="23"/>
      <c r="J195" s="24"/>
      <c r="K195" s="25"/>
      <c r="L195" s="26"/>
      <c r="M195" s="27"/>
      <c r="N195" s="27"/>
      <c r="O195" s="27"/>
      <c r="P195" s="27"/>
      <c r="Q195" s="27"/>
      <c r="R195" s="27"/>
      <c r="S195" s="13">
        <f t="shared" si="68"/>
        <v>0</v>
      </c>
      <c r="W195" s="2"/>
    </row>
    <row r="196" spans="2:23" ht="15.75" customHeight="1" x14ac:dyDescent="0.25">
      <c r="B196" s="4">
        <v>7380</v>
      </c>
      <c r="C196" s="37" t="s">
        <v>43</v>
      </c>
      <c r="D196" s="9" t="s">
        <v>8</v>
      </c>
      <c r="E196" s="10">
        <v>806</v>
      </c>
      <c r="F196" s="10"/>
      <c r="G196" s="23"/>
      <c r="H196" s="23"/>
      <c r="I196" s="23"/>
      <c r="J196" s="24"/>
      <c r="K196" s="25"/>
      <c r="L196" s="26"/>
      <c r="M196" s="27"/>
      <c r="N196" s="27"/>
      <c r="O196" s="27"/>
      <c r="P196" s="27"/>
      <c r="Q196" s="27"/>
      <c r="R196" s="27"/>
      <c r="S196" s="13">
        <f t="shared" si="68"/>
        <v>0</v>
      </c>
      <c r="W196" s="2"/>
    </row>
    <row r="197" spans="2:23" ht="15.75" customHeight="1" x14ac:dyDescent="0.25">
      <c r="B197" s="4">
        <v>7380</v>
      </c>
      <c r="C197" s="37" t="s">
        <v>43</v>
      </c>
      <c r="D197" s="9" t="s">
        <v>8</v>
      </c>
      <c r="E197" s="10">
        <v>807</v>
      </c>
      <c r="F197" s="10"/>
      <c r="G197" s="23"/>
      <c r="H197" s="23"/>
      <c r="I197" s="23"/>
      <c r="J197" s="24"/>
      <c r="K197" s="25"/>
      <c r="L197" s="26"/>
      <c r="M197" s="27"/>
      <c r="N197" s="27"/>
      <c r="O197" s="27"/>
      <c r="P197" s="27"/>
      <c r="Q197" s="27"/>
      <c r="R197" s="27"/>
      <c r="S197" s="13">
        <f t="shared" si="68"/>
        <v>0</v>
      </c>
      <c r="W197" s="2"/>
    </row>
    <row r="198" spans="2:23" ht="15.75" customHeight="1" x14ac:dyDescent="0.25">
      <c r="B198" s="4">
        <v>7380</v>
      </c>
      <c r="C198" s="37" t="s">
        <v>43</v>
      </c>
      <c r="D198" s="9" t="s">
        <v>8</v>
      </c>
      <c r="E198" s="10">
        <v>808</v>
      </c>
      <c r="F198" s="10"/>
      <c r="G198" s="23"/>
      <c r="H198" s="23"/>
      <c r="I198" s="23"/>
      <c r="J198" s="24"/>
      <c r="K198" s="25"/>
      <c r="L198" s="26"/>
      <c r="M198" s="27"/>
      <c r="N198" s="27"/>
      <c r="O198" s="27"/>
      <c r="P198" s="27"/>
      <c r="Q198" s="27"/>
      <c r="R198" s="27"/>
      <c r="S198" s="13">
        <f t="shared" si="68"/>
        <v>0</v>
      </c>
      <c r="W198" s="2"/>
    </row>
    <row r="199" spans="2:23" ht="15.75" customHeight="1" x14ac:dyDescent="0.25">
      <c r="B199" s="4">
        <v>7380</v>
      </c>
      <c r="C199" s="37" t="s">
        <v>43</v>
      </c>
      <c r="D199" s="9" t="s">
        <v>8</v>
      </c>
      <c r="E199" s="10">
        <v>809</v>
      </c>
      <c r="F199" s="10"/>
      <c r="G199" s="23"/>
      <c r="H199" s="23"/>
      <c r="I199" s="23"/>
      <c r="J199" s="24"/>
      <c r="K199" s="25"/>
      <c r="L199" s="26"/>
      <c r="M199" s="27"/>
      <c r="N199" s="27"/>
      <c r="O199" s="27"/>
      <c r="P199" s="27"/>
      <c r="Q199" s="27"/>
      <c r="R199" s="27"/>
      <c r="S199" s="13">
        <f t="shared" si="68"/>
        <v>0</v>
      </c>
      <c r="W199" s="2"/>
    </row>
    <row r="200" spans="2:23" ht="15.75" customHeight="1" x14ac:dyDescent="0.25">
      <c r="B200" s="4">
        <v>7380</v>
      </c>
      <c r="C200" s="37" t="s">
        <v>43</v>
      </c>
      <c r="D200" s="9" t="s">
        <v>8</v>
      </c>
      <c r="E200" s="10">
        <v>810</v>
      </c>
      <c r="F200" s="10"/>
      <c r="G200" s="28"/>
      <c r="H200" s="28"/>
      <c r="I200" s="28"/>
      <c r="J200" s="29"/>
      <c r="K200" s="30"/>
      <c r="L200" s="31"/>
      <c r="M200" s="32"/>
      <c r="N200" s="32"/>
      <c r="O200" s="32"/>
      <c r="P200" s="32"/>
      <c r="Q200" s="32"/>
      <c r="R200" s="32"/>
      <c r="S200" s="13">
        <f t="shared" si="68"/>
        <v>0</v>
      </c>
      <c r="W200" s="2"/>
    </row>
    <row r="201" spans="2:23" ht="15.75" customHeight="1" x14ac:dyDescent="0.25">
      <c r="B201" s="10"/>
      <c r="C201" s="15"/>
      <c r="D201" s="16"/>
      <c r="E201" s="10"/>
      <c r="F201" s="10"/>
      <c r="G201" s="18">
        <f t="shared" ref="G201:S201" si="69">SUM(G190:G200)</f>
        <v>0</v>
      </c>
      <c r="H201" s="18">
        <f t="shared" si="69"/>
        <v>0</v>
      </c>
      <c r="I201" s="18">
        <f t="shared" si="69"/>
        <v>0</v>
      </c>
      <c r="J201" s="18">
        <f t="shared" si="69"/>
        <v>0</v>
      </c>
      <c r="K201" s="18">
        <f t="shared" si="69"/>
        <v>0</v>
      </c>
      <c r="L201" s="18">
        <f t="shared" si="69"/>
        <v>0</v>
      </c>
      <c r="M201" s="18">
        <f t="shared" si="69"/>
        <v>0</v>
      </c>
      <c r="N201" s="18">
        <f t="shared" si="69"/>
        <v>0</v>
      </c>
      <c r="O201" s="18">
        <f t="shared" si="69"/>
        <v>0</v>
      </c>
      <c r="P201" s="18">
        <f t="shared" si="69"/>
        <v>0</v>
      </c>
      <c r="Q201" s="18">
        <f t="shared" si="69"/>
        <v>0</v>
      </c>
      <c r="R201" s="18">
        <f t="shared" si="69"/>
        <v>0</v>
      </c>
      <c r="S201" s="19">
        <f t="shared" si="69"/>
        <v>0</v>
      </c>
      <c r="W201" s="2"/>
    </row>
    <row r="202" spans="2:23" ht="15.75" customHeight="1" x14ac:dyDescent="0.25">
      <c r="B202" s="10"/>
      <c r="C202" s="15"/>
      <c r="D202" s="16"/>
      <c r="E202" s="10"/>
      <c r="F202" s="10"/>
      <c r="G202" s="20"/>
      <c r="H202" s="20"/>
      <c r="I202" s="20"/>
      <c r="J202" s="20"/>
      <c r="K202" s="15"/>
      <c r="L202" s="1"/>
      <c r="M202" s="21"/>
      <c r="W202" s="2"/>
    </row>
    <row r="203" spans="2:23" ht="15.75" customHeight="1" x14ac:dyDescent="0.25">
      <c r="B203" s="10"/>
      <c r="C203" s="15"/>
      <c r="D203" s="16"/>
      <c r="E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W203" s="2"/>
    </row>
    <row r="204" spans="2:23" ht="15.75" customHeight="1" x14ac:dyDescent="0.25">
      <c r="B204" s="10"/>
      <c r="C204" s="15"/>
      <c r="D204" s="16"/>
      <c r="E204" s="10"/>
      <c r="F204" s="4">
        <v>2024</v>
      </c>
      <c r="G204" s="3">
        <v>615.64199546659495</v>
      </c>
      <c r="H204" s="3">
        <v>2034.0984543722211</v>
      </c>
      <c r="I204" s="3">
        <v>890.87840141052015</v>
      </c>
      <c r="J204" s="3">
        <v>755.6397504456329</v>
      </c>
      <c r="K204" s="3">
        <v>501.79369007716895</v>
      </c>
      <c r="L204" s="3">
        <v>1433.6964582703356</v>
      </c>
      <c r="M204" s="3">
        <v>128.78111043827113</v>
      </c>
      <c r="N204" s="3">
        <v>510.03390793710935</v>
      </c>
      <c r="O204" s="3">
        <v>907.47339684236658</v>
      </c>
      <c r="P204" s="3">
        <v>512.89856137365609</v>
      </c>
      <c r="Q204" s="3">
        <v>1067.2013620044188</v>
      </c>
      <c r="R204" s="3">
        <v>1318.5714886214928</v>
      </c>
      <c r="S204" s="3">
        <f t="shared" ref="S204:S205" si="70">SUM(G204:R204)</f>
        <v>10676.708577259789</v>
      </c>
      <c r="W204" s="2"/>
    </row>
    <row r="205" spans="2:23" ht="15.75" customHeight="1" x14ac:dyDescent="0.25">
      <c r="B205" s="10"/>
      <c r="C205" s="15"/>
      <c r="D205" s="16"/>
      <c r="E205" s="10"/>
      <c r="F205" s="4">
        <v>2025</v>
      </c>
      <c r="G205" s="3">
        <v>1980.7132338542276</v>
      </c>
      <c r="H205" s="3">
        <v>167.08601981443621</v>
      </c>
      <c r="I205" s="3">
        <v>515.6977053211956</v>
      </c>
      <c r="J205" s="3">
        <v>2825.5870866141722</v>
      </c>
      <c r="K205" s="3">
        <v>205.64625250029414</v>
      </c>
      <c r="L205" s="3">
        <v>105.52679625403321</v>
      </c>
      <c r="M205" s="3">
        <v>133.79222976295856</v>
      </c>
      <c r="N205" s="3">
        <v>155.65142857142857</v>
      </c>
      <c r="O205" s="3">
        <v>500</v>
      </c>
      <c r="P205" s="3">
        <v>500</v>
      </c>
      <c r="Q205" s="3">
        <v>500</v>
      </c>
      <c r="R205" s="3">
        <v>500</v>
      </c>
      <c r="S205" s="3">
        <f t="shared" si="70"/>
        <v>8089.7007526927455</v>
      </c>
      <c r="W205" s="2"/>
    </row>
    <row r="206" spans="2:23" ht="15.75" customHeight="1" x14ac:dyDescent="0.25">
      <c r="B206" s="10"/>
      <c r="C206" s="15"/>
      <c r="D206" s="16"/>
      <c r="E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W206" s="2"/>
    </row>
    <row r="207" spans="2:23" ht="15.75" customHeight="1" x14ac:dyDescent="0.25">
      <c r="B207" s="10"/>
      <c r="C207" s="15"/>
      <c r="D207" s="16"/>
      <c r="E207" s="10"/>
      <c r="F207" s="10"/>
      <c r="G207" s="7">
        <v>46023</v>
      </c>
      <c r="H207" s="7">
        <v>46054</v>
      </c>
      <c r="I207" s="7">
        <v>46082</v>
      </c>
      <c r="J207" s="7">
        <v>46113</v>
      </c>
      <c r="K207" s="7">
        <v>46143</v>
      </c>
      <c r="L207" s="7">
        <v>46174</v>
      </c>
      <c r="M207" s="7">
        <v>46204</v>
      </c>
      <c r="N207" s="7">
        <v>46235</v>
      </c>
      <c r="O207" s="7">
        <v>46266</v>
      </c>
      <c r="P207" s="7">
        <v>46296</v>
      </c>
      <c r="Q207" s="7">
        <v>46327</v>
      </c>
      <c r="R207" s="7">
        <v>46357</v>
      </c>
      <c r="S207" s="7" t="s">
        <v>6</v>
      </c>
      <c r="W207" s="2"/>
    </row>
    <row r="208" spans="2:23" ht="15.75" customHeight="1" x14ac:dyDescent="0.25">
      <c r="B208" s="4">
        <v>7400</v>
      </c>
      <c r="C208" s="37" t="s">
        <v>44</v>
      </c>
      <c r="D208" s="9" t="s">
        <v>8</v>
      </c>
      <c r="E208" s="10">
        <v>800</v>
      </c>
      <c r="F208" s="11" t="s">
        <v>45</v>
      </c>
      <c r="G208" s="12">
        <v>75</v>
      </c>
      <c r="H208" s="14"/>
      <c r="I208" s="14">
        <v>0</v>
      </c>
      <c r="J208" s="12">
        <v>75</v>
      </c>
      <c r="K208" s="14">
        <v>0</v>
      </c>
      <c r="L208" s="44">
        <v>0</v>
      </c>
      <c r="M208" s="12">
        <v>75</v>
      </c>
      <c r="N208" s="14">
        <v>0</v>
      </c>
      <c r="O208" s="14">
        <v>0</v>
      </c>
      <c r="P208" s="12">
        <v>75</v>
      </c>
      <c r="Q208" s="14">
        <v>0</v>
      </c>
      <c r="R208" s="14">
        <v>0</v>
      </c>
      <c r="S208" s="13">
        <f t="shared" ref="S208:S218" si="71">SUM(G208:R208)</f>
        <v>300</v>
      </c>
      <c r="W208" s="2"/>
    </row>
    <row r="209" spans="2:23" ht="15.75" customHeight="1" x14ac:dyDescent="0.25">
      <c r="B209" s="4">
        <v>7400</v>
      </c>
      <c r="C209" s="37" t="s">
        <v>44</v>
      </c>
      <c r="D209" s="9" t="s">
        <v>8</v>
      </c>
      <c r="E209" s="10">
        <v>801</v>
      </c>
      <c r="F209" s="11" t="s">
        <v>46</v>
      </c>
      <c r="G209" s="36">
        <v>50</v>
      </c>
      <c r="H209" s="36"/>
      <c r="I209" s="44">
        <v>0</v>
      </c>
      <c r="J209" s="36">
        <v>50</v>
      </c>
      <c r="K209" s="14">
        <v>0</v>
      </c>
      <c r="L209" s="44">
        <v>0</v>
      </c>
      <c r="M209" s="36">
        <v>50</v>
      </c>
      <c r="N209" s="14">
        <v>0</v>
      </c>
      <c r="O209" s="14">
        <v>0</v>
      </c>
      <c r="P209" s="36">
        <v>50</v>
      </c>
      <c r="Q209" s="14">
        <v>0</v>
      </c>
      <c r="R209" s="14">
        <v>0</v>
      </c>
      <c r="S209" s="13">
        <f t="shared" si="71"/>
        <v>200</v>
      </c>
      <c r="W209" s="2"/>
    </row>
    <row r="210" spans="2:23" ht="15.75" customHeight="1" x14ac:dyDescent="0.25">
      <c r="B210" s="4">
        <v>7400</v>
      </c>
      <c r="C210" s="37" t="s">
        <v>44</v>
      </c>
      <c r="D210" s="9" t="s">
        <v>8</v>
      </c>
      <c r="E210" s="10">
        <v>802</v>
      </c>
      <c r="F210" s="4" t="s">
        <v>47</v>
      </c>
      <c r="G210" s="12">
        <v>20</v>
      </c>
      <c r="H210" s="12"/>
      <c r="I210" s="44">
        <v>0</v>
      </c>
      <c r="J210" s="12">
        <v>20</v>
      </c>
      <c r="K210" s="14">
        <v>0</v>
      </c>
      <c r="L210" s="44">
        <v>0</v>
      </c>
      <c r="M210" s="12">
        <v>20</v>
      </c>
      <c r="N210" s="14">
        <v>0</v>
      </c>
      <c r="O210" s="14">
        <v>0</v>
      </c>
      <c r="P210" s="12">
        <v>20</v>
      </c>
      <c r="Q210" s="14">
        <v>0</v>
      </c>
      <c r="R210" s="14">
        <v>0</v>
      </c>
      <c r="S210" s="13">
        <f t="shared" si="71"/>
        <v>80</v>
      </c>
      <c r="W210" s="2"/>
    </row>
    <row r="211" spans="2:23" ht="15.75" customHeight="1" x14ac:dyDescent="0.25">
      <c r="B211" s="4">
        <v>7400</v>
      </c>
      <c r="C211" s="37" t="s">
        <v>44</v>
      </c>
      <c r="D211" s="9" t="s">
        <v>8</v>
      </c>
      <c r="E211" s="10">
        <v>803</v>
      </c>
      <c r="F211" s="45" t="s">
        <v>48</v>
      </c>
      <c r="G211" s="12">
        <v>13</v>
      </c>
      <c r="H211" s="12"/>
      <c r="I211" s="44">
        <v>0</v>
      </c>
      <c r="J211" s="12">
        <v>13</v>
      </c>
      <c r="K211" s="14">
        <v>0</v>
      </c>
      <c r="L211" s="44">
        <v>0</v>
      </c>
      <c r="M211" s="12">
        <v>13</v>
      </c>
      <c r="N211" s="14">
        <v>0</v>
      </c>
      <c r="O211" s="14">
        <v>0</v>
      </c>
      <c r="P211" s="12">
        <v>13</v>
      </c>
      <c r="Q211" s="14">
        <v>0</v>
      </c>
      <c r="R211" s="14">
        <v>0</v>
      </c>
      <c r="S211" s="13">
        <f t="shared" si="71"/>
        <v>52</v>
      </c>
      <c r="W211" s="2"/>
    </row>
    <row r="212" spans="2:23" ht="15.75" customHeight="1" x14ac:dyDescent="0.25">
      <c r="B212" s="4">
        <v>7400</v>
      </c>
      <c r="C212" s="37" t="s">
        <v>44</v>
      </c>
      <c r="D212" s="9" t="s">
        <v>8</v>
      </c>
      <c r="E212" s="10">
        <v>804</v>
      </c>
      <c r="F212" s="45" t="s">
        <v>49</v>
      </c>
      <c r="G212" s="12">
        <v>20</v>
      </c>
      <c r="H212" s="12"/>
      <c r="I212" s="44">
        <v>0</v>
      </c>
      <c r="J212" s="12">
        <v>20</v>
      </c>
      <c r="K212" s="14">
        <v>0</v>
      </c>
      <c r="L212" s="44">
        <v>0</v>
      </c>
      <c r="M212" s="12">
        <v>20</v>
      </c>
      <c r="N212" s="14">
        <v>0</v>
      </c>
      <c r="O212" s="14">
        <v>0</v>
      </c>
      <c r="P212" s="12">
        <v>20</v>
      </c>
      <c r="Q212" s="14">
        <v>0</v>
      </c>
      <c r="R212" s="14">
        <v>0</v>
      </c>
      <c r="S212" s="13">
        <f t="shared" si="71"/>
        <v>80</v>
      </c>
      <c r="W212" s="2"/>
    </row>
    <row r="213" spans="2:23" ht="15.75" customHeight="1" x14ac:dyDescent="0.25">
      <c r="B213" s="4">
        <v>7400</v>
      </c>
      <c r="C213" s="37" t="s">
        <v>44</v>
      </c>
      <c r="D213" s="9" t="s">
        <v>8</v>
      </c>
      <c r="E213" s="10">
        <v>805</v>
      </c>
      <c r="F213" s="45" t="s">
        <v>50</v>
      </c>
      <c r="G213" s="12">
        <v>20</v>
      </c>
      <c r="H213" s="12"/>
      <c r="I213" s="44">
        <v>0</v>
      </c>
      <c r="J213" s="12">
        <v>20</v>
      </c>
      <c r="K213" s="14">
        <v>0</v>
      </c>
      <c r="L213" s="44">
        <v>0</v>
      </c>
      <c r="M213" s="12">
        <v>20</v>
      </c>
      <c r="N213" s="14">
        <v>0</v>
      </c>
      <c r="O213" s="14">
        <v>0</v>
      </c>
      <c r="P213" s="12">
        <v>20</v>
      </c>
      <c r="Q213" s="14">
        <v>0</v>
      </c>
      <c r="R213" s="14">
        <v>0</v>
      </c>
      <c r="S213" s="13">
        <f t="shared" si="71"/>
        <v>80</v>
      </c>
      <c r="W213" s="2"/>
    </row>
    <row r="214" spans="2:23" ht="15.75" customHeight="1" x14ac:dyDescent="0.25">
      <c r="B214" s="4">
        <v>7400</v>
      </c>
      <c r="C214" s="37" t="s">
        <v>44</v>
      </c>
      <c r="D214" s="9" t="s">
        <v>8</v>
      </c>
      <c r="E214" s="10">
        <v>806</v>
      </c>
      <c r="F214" s="11" t="s">
        <v>51</v>
      </c>
      <c r="G214" s="12">
        <v>20</v>
      </c>
      <c r="H214" s="12">
        <v>0</v>
      </c>
      <c r="I214" s="12">
        <v>0</v>
      </c>
      <c r="J214" s="12">
        <v>20</v>
      </c>
      <c r="K214" s="12">
        <v>0</v>
      </c>
      <c r="L214" s="12">
        <v>0</v>
      </c>
      <c r="M214" s="12">
        <v>20</v>
      </c>
      <c r="N214" s="12">
        <v>0</v>
      </c>
      <c r="O214" s="14">
        <v>0</v>
      </c>
      <c r="P214" s="12">
        <v>20</v>
      </c>
      <c r="Q214" s="12">
        <v>0</v>
      </c>
      <c r="R214" s="12">
        <v>0</v>
      </c>
      <c r="S214" s="13">
        <f t="shared" si="71"/>
        <v>80</v>
      </c>
      <c r="W214" s="2"/>
    </row>
    <row r="215" spans="2:23" ht="15.75" customHeight="1" x14ac:dyDescent="0.25">
      <c r="B215" s="4">
        <v>7400</v>
      </c>
      <c r="C215" s="37" t="s">
        <v>44</v>
      </c>
      <c r="D215" s="9" t="s">
        <v>8</v>
      </c>
      <c r="E215" s="10">
        <v>807</v>
      </c>
      <c r="F215" s="11" t="s">
        <v>52</v>
      </c>
      <c r="G215" s="12">
        <v>15</v>
      </c>
      <c r="H215" s="12">
        <v>0</v>
      </c>
      <c r="I215" s="12">
        <v>0</v>
      </c>
      <c r="J215" s="12">
        <v>15</v>
      </c>
      <c r="K215" s="12">
        <v>0</v>
      </c>
      <c r="L215" s="12">
        <v>0</v>
      </c>
      <c r="M215" s="12">
        <v>15</v>
      </c>
      <c r="N215" s="12">
        <v>0</v>
      </c>
      <c r="O215" s="12">
        <v>0</v>
      </c>
      <c r="P215" s="12">
        <v>15</v>
      </c>
      <c r="Q215" s="12">
        <v>0</v>
      </c>
      <c r="R215" s="12">
        <v>0</v>
      </c>
      <c r="S215" s="13">
        <f t="shared" si="71"/>
        <v>60</v>
      </c>
      <c r="W215" s="2"/>
    </row>
    <row r="216" spans="2:23" ht="15.75" customHeight="1" x14ac:dyDescent="0.25">
      <c r="B216" s="4">
        <v>7400</v>
      </c>
      <c r="C216" s="37" t="s">
        <v>44</v>
      </c>
      <c r="D216" s="9" t="s">
        <v>8</v>
      </c>
      <c r="E216" s="10">
        <v>808</v>
      </c>
      <c r="F216" s="11" t="s">
        <v>53</v>
      </c>
      <c r="G216" s="12">
        <v>15</v>
      </c>
      <c r="H216" s="12">
        <v>0</v>
      </c>
      <c r="I216" s="12">
        <v>0</v>
      </c>
      <c r="J216" s="12">
        <v>15</v>
      </c>
      <c r="K216" s="12">
        <v>0</v>
      </c>
      <c r="L216" s="12">
        <v>0</v>
      </c>
      <c r="M216" s="12">
        <v>15</v>
      </c>
      <c r="N216" s="12">
        <v>0</v>
      </c>
      <c r="O216" s="12">
        <v>0</v>
      </c>
      <c r="P216" s="12">
        <v>15</v>
      </c>
      <c r="Q216" s="12">
        <v>0</v>
      </c>
      <c r="R216" s="12">
        <v>0</v>
      </c>
      <c r="S216" s="13">
        <f t="shared" si="71"/>
        <v>60</v>
      </c>
      <c r="W216" s="2"/>
    </row>
    <row r="217" spans="2:23" ht="15.75" customHeight="1" x14ac:dyDescent="0.25">
      <c r="B217" s="4">
        <v>7400</v>
      </c>
      <c r="C217" s="37" t="s">
        <v>44</v>
      </c>
      <c r="D217" s="9" t="s">
        <v>8</v>
      </c>
      <c r="E217" s="10">
        <v>809</v>
      </c>
      <c r="F217" s="11" t="s">
        <v>54</v>
      </c>
      <c r="G217" s="12">
        <v>500</v>
      </c>
      <c r="H217" s="12">
        <v>500</v>
      </c>
      <c r="I217" s="12">
        <v>500</v>
      </c>
      <c r="J217" s="12">
        <v>500</v>
      </c>
      <c r="K217" s="12">
        <v>500</v>
      </c>
      <c r="L217" s="12">
        <v>500</v>
      </c>
      <c r="M217" s="12">
        <v>500</v>
      </c>
      <c r="N217" s="12">
        <v>500</v>
      </c>
      <c r="O217" s="12">
        <v>500</v>
      </c>
      <c r="P217" s="12">
        <v>500</v>
      </c>
      <c r="Q217" s="12">
        <v>500</v>
      </c>
      <c r="R217" s="12">
        <v>500</v>
      </c>
      <c r="S217" s="13">
        <f t="shared" si="71"/>
        <v>6000</v>
      </c>
      <c r="W217" s="2"/>
    </row>
    <row r="218" spans="2:23" ht="15.75" customHeight="1" x14ac:dyDescent="0.25">
      <c r="B218" s="4">
        <v>7400</v>
      </c>
      <c r="C218" s="37" t="s">
        <v>44</v>
      </c>
      <c r="D218" s="9" t="s">
        <v>8</v>
      </c>
      <c r="E218" s="10">
        <v>810</v>
      </c>
      <c r="F218" s="10"/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3">
        <f t="shared" si="71"/>
        <v>0</v>
      </c>
      <c r="W218" s="2"/>
    </row>
    <row r="219" spans="2:23" ht="15.75" customHeight="1" x14ac:dyDescent="0.25">
      <c r="B219" s="10"/>
      <c r="C219" s="15"/>
      <c r="D219" s="16"/>
      <c r="E219" s="10"/>
      <c r="F219" s="10"/>
      <c r="G219" s="18">
        <f t="shared" ref="G219:S219" si="72">SUM(G208:G218)</f>
        <v>748</v>
      </c>
      <c r="H219" s="18">
        <f t="shared" si="72"/>
        <v>500</v>
      </c>
      <c r="I219" s="18">
        <f t="shared" si="72"/>
        <v>500</v>
      </c>
      <c r="J219" s="18">
        <f t="shared" si="72"/>
        <v>748</v>
      </c>
      <c r="K219" s="18">
        <f t="shared" si="72"/>
        <v>500</v>
      </c>
      <c r="L219" s="18">
        <f t="shared" si="72"/>
        <v>500</v>
      </c>
      <c r="M219" s="18">
        <f t="shared" si="72"/>
        <v>748</v>
      </c>
      <c r="N219" s="18">
        <f t="shared" si="72"/>
        <v>500</v>
      </c>
      <c r="O219" s="18">
        <f t="shared" si="72"/>
        <v>500</v>
      </c>
      <c r="P219" s="18">
        <f t="shared" si="72"/>
        <v>748</v>
      </c>
      <c r="Q219" s="18">
        <f t="shared" si="72"/>
        <v>500</v>
      </c>
      <c r="R219" s="18">
        <f t="shared" si="72"/>
        <v>500</v>
      </c>
      <c r="S219" s="19">
        <f t="shared" si="72"/>
        <v>6992</v>
      </c>
      <c r="W219" s="2"/>
    </row>
    <row r="220" spans="2:23" ht="15.75" customHeight="1" x14ac:dyDescent="0.25">
      <c r="B220" s="10"/>
      <c r="C220" s="15"/>
      <c r="D220" s="16"/>
      <c r="E220" s="10"/>
      <c r="F220" s="10"/>
      <c r="G220" s="20"/>
      <c r="H220" s="20"/>
      <c r="I220" s="20"/>
      <c r="J220" s="20"/>
      <c r="K220" s="15"/>
      <c r="L220" s="1"/>
      <c r="M220" s="21"/>
      <c r="W220" s="2"/>
    </row>
    <row r="221" spans="2:23" ht="15.75" customHeight="1" x14ac:dyDescent="0.25">
      <c r="B221" s="10"/>
      <c r="C221" s="15"/>
      <c r="D221" s="16"/>
      <c r="E221" s="1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W221" s="2"/>
    </row>
    <row r="222" spans="2:23" ht="15.75" customHeight="1" x14ac:dyDescent="0.25">
      <c r="B222" s="10"/>
      <c r="C222" s="15"/>
      <c r="D222" s="16"/>
      <c r="E222" s="10"/>
      <c r="F222" s="4">
        <v>2024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f t="shared" ref="S222:S223" si="73">SUM(G222:R222)</f>
        <v>0</v>
      </c>
      <c r="W222" s="2"/>
    </row>
    <row r="223" spans="2:23" ht="15.75" customHeight="1" x14ac:dyDescent="0.25">
      <c r="B223" s="10"/>
      <c r="C223" s="15"/>
      <c r="D223" s="16"/>
      <c r="E223" s="10"/>
      <c r="F223" s="4">
        <v>2025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f t="shared" si="73"/>
        <v>0</v>
      </c>
      <c r="W223" s="2"/>
    </row>
    <row r="224" spans="2:23" ht="15.75" customHeight="1" x14ac:dyDescent="0.25">
      <c r="B224" s="10"/>
      <c r="C224" s="15"/>
      <c r="D224" s="16"/>
      <c r="E224" s="10"/>
      <c r="F224" s="10"/>
      <c r="G224" s="20"/>
      <c r="H224" s="20"/>
      <c r="I224" s="20"/>
      <c r="J224" s="20"/>
      <c r="K224" s="15"/>
      <c r="L224" s="1"/>
      <c r="M224" s="21"/>
      <c r="W224" s="2"/>
    </row>
    <row r="225" spans="2:23" ht="15.75" customHeight="1" x14ac:dyDescent="0.25">
      <c r="B225" s="10"/>
      <c r="C225" s="15"/>
      <c r="D225" s="16"/>
      <c r="E225" s="10"/>
      <c r="F225" s="10"/>
      <c r="G225" s="20"/>
      <c r="H225" s="20"/>
      <c r="I225" s="20"/>
      <c r="J225" s="20"/>
      <c r="K225" s="15"/>
      <c r="L225" s="1"/>
      <c r="M225" s="21"/>
      <c r="W225" s="2"/>
    </row>
    <row r="226" spans="2:23" ht="15.75" customHeight="1" x14ac:dyDescent="0.25">
      <c r="B226" s="10"/>
      <c r="C226" s="15"/>
      <c r="D226" s="16"/>
      <c r="E226" s="10"/>
      <c r="F226" s="10"/>
      <c r="G226" s="20"/>
      <c r="H226" s="20"/>
      <c r="I226" s="20"/>
      <c r="J226" s="20"/>
      <c r="K226" s="15"/>
      <c r="L226" s="1"/>
      <c r="M226" s="21"/>
      <c r="W226" s="2"/>
    </row>
    <row r="227" spans="2:23" ht="15.75" customHeight="1" x14ac:dyDescent="0.25">
      <c r="B227" s="10"/>
      <c r="C227" s="15"/>
      <c r="D227" s="16"/>
      <c r="E227" s="10"/>
      <c r="F227" s="10"/>
      <c r="G227" s="20"/>
      <c r="H227" s="20"/>
      <c r="I227" s="20"/>
      <c r="J227" s="20"/>
      <c r="K227" s="15"/>
      <c r="L227" s="1"/>
      <c r="M227" s="21"/>
      <c r="W227" s="2"/>
    </row>
    <row r="228" spans="2:23" ht="15.75" customHeight="1" x14ac:dyDescent="0.25">
      <c r="B228" s="10"/>
      <c r="C228" s="15"/>
      <c r="D228" s="16"/>
      <c r="E228" s="10"/>
      <c r="F228" s="10"/>
      <c r="G228" s="7">
        <v>46023</v>
      </c>
      <c r="H228" s="7">
        <v>46054</v>
      </c>
      <c r="I228" s="7">
        <v>46082</v>
      </c>
      <c r="J228" s="7">
        <v>46113</v>
      </c>
      <c r="K228" s="7">
        <v>46143</v>
      </c>
      <c r="L228" s="7">
        <v>46174</v>
      </c>
      <c r="M228" s="7">
        <v>46204</v>
      </c>
      <c r="N228" s="7">
        <v>46235</v>
      </c>
      <c r="O228" s="7">
        <v>46266</v>
      </c>
      <c r="P228" s="7">
        <v>46296</v>
      </c>
      <c r="Q228" s="7">
        <v>46327</v>
      </c>
      <c r="R228" s="7">
        <v>46357</v>
      </c>
      <c r="S228" s="7" t="s">
        <v>6</v>
      </c>
      <c r="W228" s="2"/>
    </row>
    <row r="229" spans="2:23" ht="15.75" customHeight="1" x14ac:dyDescent="0.25">
      <c r="B229" s="4">
        <v>7410</v>
      </c>
      <c r="C229" s="37" t="s">
        <v>55</v>
      </c>
      <c r="D229" s="9" t="s">
        <v>8</v>
      </c>
      <c r="E229" s="10">
        <v>800</v>
      </c>
      <c r="F229" s="4" t="s">
        <v>56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3">
        <f t="shared" ref="S229:S239" si="74">SUM(G229:R229)</f>
        <v>0</v>
      </c>
      <c r="W229" s="2"/>
    </row>
    <row r="230" spans="2:23" ht="15.75" customHeight="1" x14ac:dyDescent="0.25">
      <c r="B230" s="4">
        <v>7410</v>
      </c>
      <c r="C230" s="37" t="s">
        <v>55</v>
      </c>
      <c r="D230" s="9" t="s">
        <v>8</v>
      </c>
      <c r="E230" s="10">
        <v>801</v>
      </c>
      <c r="F230" s="10" t="s">
        <v>57</v>
      </c>
      <c r="G230" s="23"/>
      <c r="H230" s="23"/>
      <c r="I230" s="23"/>
      <c r="J230" s="24"/>
      <c r="K230" s="25"/>
      <c r="L230" s="26"/>
      <c r="M230" s="27"/>
      <c r="N230" s="27"/>
      <c r="O230" s="27"/>
      <c r="P230" s="27"/>
      <c r="Q230" s="27"/>
      <c r="R230" s="27"/>
      <c r="S230" s="13">
        <f t="shared" si="74"/>
        <v>0</v>
      </c>
      <c r="W230" s="2"/>
    </row>
    <row r="231" spans="2:23" ht="15.75" customHeight="1" x14ac:dyDescent="0.25">
      <c r="B231" s="4">
        <v>7410</v>
      </c>
      <c r="C231" s="37" t="s">
        <v>55</v>
      </c>
      <c r="D231" s="9" t="s">
        <v>8</v>
      </c>
      <c r="E231" s="10">
        <v>802</v>
      </c>
      <c r="F231" s="10"/>
      <c r="G231" s="23"/>
      <c r="H231" s="23"/>
      <c r="I231" s="23"/>
      <c r="J231" s="24"/>
      <c r="K231" s="25"/>
      <c r="L231" s="26"/>
      <c r="M231" s="27"/>
      <c r="N231" s="27"/>
      <c r="O231" s="27"/>
      <c r="P231" s="27"/>
      <c r="Q231" s="27"/>
      <c r="R231" s="27"/>
      <c r="S231" s="13">
        <f t="shared" si="74"/>
        <v>0</v>
      </c>
      <c r="W231" s="2"/>
    </row>
    <row r="232" spans="2:23" ht="15.75" customHeight="1" x14ac:dyDescent="0.25">
      <c r="B232" s="4">
        <v>7410</v>
      </c>
      <c r="C232" s="37" t="s">
        <v>55</v>
      </c>
      <c r="D232" s="9" t="s">
        <v>8</v>
      </c>
      <c r="E232" s="10">
        <v>803</v>
      </c>
      <c r="F232" s="10"/>
      <c r="G232" s="23"/>
      <c r="H232" s="23"/>
      <c r="I232" s="23"/>
      <c r="J232" s="24"/>
      <c r="K232" s="25"/>
      <c r="L232" s="26"/>
      <c r="M232" s="27"/>
      <c r="N232" s="27"/>
      <c r="O232" s="27"/>
      <c r="P232" s="27"/>
      <c r="Q232" s="27"/>
      <c r="R232" s="27"/>
      <c r="S232" s="13">
        <f t="shared" si="74"/>
        <v>0</v>
      </c>
      <c r="W232" s="2"/>
    </row>
    <row r="233" spans="2:23" ht="15.75" customHeight="1" x14ac:dyDescent="0.25">
      <c r="B233" s="4">
        <v>7410</v>
      </c>
      <c r="C233" s="37" t="s">
        <v>55</v>
      </c>
      <c r="D233" s="9" t="s">
        <v>8</v>
      </c>
      <c r="E233" s="10">
        <v>804</v>
      </c>
      <c r="F233" s="10"/>
      <c r="G233" s="23"/>
      <c r="H233" s="23"/>
      <c r="I233" s="23"/>
      <c r="J233" s="24"/>
      <c r="K233" s="25"/>
      <c r="L233" s="26"/>
      <c r="M233" s="27"/>
      <c r="N233" s="27"/>
      <c r="O233" s="27"/>
      <c r="P233" s="27"/>
      <c r="Q233" s="27"/>
      <c r="R233" s="27"/>
      <c r="S233" s="13">
        <f t="shared" si="74"/>
        <v>0</v>
      </c>
      <c r="W233" s="2"/>
    </row>
    <row r="234" spans="2:23" ht="15.75" customHeight="1" x14ac:dyDescent="0.25">
      <c r="B234" s="4">
        <v>7410</v>
      </c>
      <c r="C234" s="37" t="s">
        <v>55</v>
      </c>
      <c r="D234" s="9" t="s">
        <v>8</v>
      </c>
      <c r="E234" s="10">
        <v>805</v>
      </c>
      <c r="F234" s="10"/>
      <c r="G234" s="23"/>
      <c r="H234" s="23"/>
      <c r="I234" s="23"/>
      <c r="J234" s="24"/>
      <c r="K234" s="25"/>
      <c r="L234" s="26"/>
      <c r="M234" s="27"/>
      <c r="N234" s="27"/>
      <c r="O234" s="27"/>
      <c r="P234" s="27"/>
      <c r="Q234" s="27"/>
      <c r="R234" s="27"/>
      <c r="S234" s="13">
        <f t="shared" si="74"/>
        <v>0</v>
      </c>
      <c r="W234" s="2"/>
    </row>
    <row r="235" spans="2:23" ht="15.75" customHeight="1" x14ac:dyDescent="0.25">
      <c r="B235" s="4">
        <v>7410</v>
      </c>
      <c r="C235" s="37" t="s">
        <v>55</v>
      </c>
      <c r="D235" s="9" t="s">
        <v>8</v>
      </c>
      <c r="E235" s="10">
        <v>806</v>
      </c>
      <c r="F235" s="10"/>
      <c r="G235" s="23"/>
      <c r="H235" s="23"/>
      <c r="I235" s="23"/>
      <c r="J235" s="24"/>
      <c r="K235" s="25"/>
      <c r="L235" s="26"/>
      <c r="M235" s="27"/>
      <c r="N235" s="27"/>
      <c r="O235" s="27"/>
      <c r="P235" s="27"/>
      <c r="Q235" s="27"/>
      <c r="R235" s="27"/>
      <c r="S235" s="13">
        <f t="shared" si="74"/>
        <v>0</v>
      </c>
      <c r="W235" s="2"/>
    </row>
    <row r="236" spans="2:23" ht="15.75" customHeight="1" x14ac:dyDescent="0.25">
      <c r="B236" s="4">
        <v>7410</v>
      </c>
      <c r="C236" s="37" t="s">
        <v>55</v>
      </c>
      <c r="D236" s="9" t="s">
        <v>8</v>
      </c>
      <c r="E236" s="10">
        <v>807</v>
      </c>
      <c r="F236" s="10"/>
      <c r="G236" s="23"/>
      <c r="H236" s="23"/>
      <c r="I236" s="23"/>
      <c r="J236" s="24"/>
      <c r="K236" s="25"/>
      <c r="L236" s="26"/>
      <c r="M236" s="27"/>
      <c r="N236" s="27"/>
      <c r="O236" s="27"/>
      <c r="P236" s="27"/>
      <c r="Q236" s="27"/>
      <c r="R236" s="27"/>
      <c r="S236" s="13">
        <f t="shared" si="74"/>
        <v>0</v>
      </c>
      <c r="W236" s="2"/>
    </row>
    <row r="237" spans="2:23" ht="15.75" customHeight="1" x14ac:dyDescent="0.25">
      <c r="B237" s="4">
        <v>7410</v>
      </c>
      <c r="C237" s="37" t="s">
        <v>55</v>
      </c>
      <c r="D237" s="9" t="s">
        <v>8</v>
      </c>
      <c r="E237" s="10">
        <v>808</v>
      </c>
      <c r="F237" s="10"/>
      <c r="G237" s="23"/>
      <c r="H237" s="23"/>
      <c r="I237" s="23"/>
      <c r="J237" s="24"/>
      <c r="K237" s="25"/>
      <c r="L237" s="26"/>
      <c r="M237" s="27"/>
      <c r="N237" s="27"/>
      <c r="O237" s="27"/>
      <c r="P237" s="27"/>
      <c r="Q237" s="27"/>
      <c r="R237" s="27"/>
      <c r="S237" s="13">
        <f t="shared" si="74"/>
        <v>0</v>
      </c>
      <c r="W237" s="2"/>
    </row>
    <row r="238" spans="2:23" ht="15.75" customHeight="1" x14ac:dyDescent="0.25">
      <c r="B238" s="4">
        <v>7410</v>
      </c>
      <c r="C238" s="37" t="s">
        <v>55</v>
      </c>
      <c r="D238" s="9" t="s">
        <v>8</v>
      </c>
      <c r="E238" s="10">
        <v>809</v>
      </c>
      <c r="F238" s="10"/>
      <c r="G238" s="23"/>
      <c r="H238" s="23"/>
      <c r="I238" s="23"/>
      <c r="J238" s="24"/>
      <c r="K238" s="25"/>
      <c r="L238" s="26"/>
      <c r="M238" s="27"/>
      <c r="N238" s="27"/>
      <c r="O238" s="27"/>
      <c r="P238" s="27"/>
      <c r="Q238" s="27"/>
      <c r="R238" s="27"/>
      <c r="S238" s="13">
        <f t="shared" si="74"/>
        <v>0</v>
      </c>
      <c r="W238" s="2"/>
    </row>
    <row r="239" spans="2:23" ht="15.75" customHeight="1" x14ac:dyDescent="0.25">
      <c r="B239" s="4">
        <v>7410</v>
      </c>
      <c r="C239" s="37" t="s">
        <v>55</v>
      </c>
      <c r="D239" s="9" t="s">
        <v>8</v>
      </c>
      <c r="E239" s="10">
        <v>810</v>
      </c>
      <c r="F239" s="10"/>
      <c r="G239" s="28"/>
      <c r="H239" s="28"/>
      <c r="I239" s="28"/>
      <c r="J239" s="29"/>
      <c r="K239" s="30"/>
      <c r="L239" s="31"/>
      <c r="M239" s="32"/>
      <c r="N239" s="32"/>
      <c r="O239" s="32"/>
      <c r="P239" s="32"/>
      <c r="Q239" s="32"/>
      <c r="R239" s="32"/>
      <c r="S239" s="13">
        <f t="shared" si="74"/>
        <v>0</v>
      </c>
      <c r="W239" s="2"/>
    </row>
    <row r="240" spans="2:23" ht="15.75" customHeight="1" x14ac:dyDescent="0.25">
      <c r="B240" s="10"/>
      <c r="C240" s="15"/>
      <c r="D240" s="16"/>
      <c r="E240" s="10"/>
      <c r="F240" s="10"/>
      <c r="G240" s="18">
        <f t="shared" ref="G240:S240" si="75">SUM(G229:G239)</f>
        <v>0</v>
      </c>
      <c r="H240" s="18">
        <f t="shared" si="75"/>
        <v>0</v>
      </c>
      <c r="I240" s="18">
        <f t="shared" si="75"/>
        <v>0</v>
      </c>
      <c r="J240" s="18">
        <f t="shared" si="75"/>
        <v>0</v>
      </c>
      <c r="K240" s="18">
        <f t="shared" si="75"/>
        <v>0</v>
      </c>
      <c r="L240" s="18">
        <f t="shared" si="75"/>
        <v>0</v>
      </c>
      <c r="M240" s="18">
        <f t="shared" si="75"/>
        <v>0</v>
      </c>
      <c r="N240" s="18">
        <f t="shared" si="75"/>
        <v>0</v>
      </c>
      <c r="O240" s="18">
        <f t="shared" si="75"/>
        <v>0</v>
      </c>
      <c r="P240" s="18">
        <f t="shared" si="75"/>
        <v>0</v>
      </c>
      <c r="Q240" s="18">
        <f t="shared" si="75"/>
        <v>0</v>
      </c>
      <c r="R240" s="18">
        <f t="shared" si="75"/>
        <v>0</v>
      </c>
      <c r="S240" s="19">
        <f t="shared" si="75"/>
        <v>0</v>
      </c>
      <c r="W240" s="2"/>
    </row>
    <row r="241" spans="2:23" ht="15.75" customHeight="1" x14ac:dyDescent="0.25">
      <c r="B241" s="10"/>
      <c r="C241" s="15"/>
      <c r="D241" s="16"/>
      <c r="E241" s="10"/>
      <c r="F241" s="10"/>
      <c r="G241" s="20"/>
      <c r="H241" s="20"/>
      <c r="I241" s="20"/>
      <c r="J241" s="20"/>
      <c r="K241" s="15"/>
      <c r="L241" s="1"/>
      <c r="M241" s="21"/>
      <c r="W241" s="2"/>
    </row>
    <row r="242" spans="2:23" ht="15.75" customHeight="1" x14ac:dyDescent="0.25">
      <c r="B242" s="10"/>
      <c r="C242" s="15"/>
      <c r="D242" s="16"/>
      <c r="E242" s="1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W242" s="2"/>
    </row>
    <row r="243" spans="2:23" ht="15.75" customHeight="1" x14ac:dyDescent="0.25">
      <c r="B243" s="10"/>
      <c r="C243" s="15"/>
      <c r="D243" s="16"/>
      <c r="E243" s="10"/>
      <c r="F243" s="4">
        <v>2024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f t="shared" ref="S243:S244" si="76">SUM(G243:R243)</f>
        <v>0</v>
      </c>
      <c r="W243" s="2"/>
    </row>
    <row r="244" spans="2:23" ht="15.75" customHeight="1" x14ac:dyDescent="0.25">
      <c r="B244" s="10"/>
      <c r="C244" s="15"/>
      <c r="D244" s="16"/>
      <c r="E244" s="10"/>
      <c r="F244" s="4">
        <v>2025</v>
      </c>
      <c r="G244" s="43">
        <v>141.3386206086241</v>
      </c>
      <c r="H244" s="43">
        <v>132.06864286837552</v>
      </c>
      <c r="I244" s="43">
        <v>182.43265702782571</v>
      </c>
      <c r="J244" s="43">
        <v>143.69305118110233</v>
      </c>
      <c r="K244" s="43">
        <v>179.14821351531558</v>
      </c>
      <c r="L244" s="43">
        <v>217.69261037223572</v>
      </c>
      <c r="M244" s="43">
        <v>185.85639815088024</v>
      </c>
      <c r="N244" s="43">
        <v>202.09229258713791</v>
      </c>
      <c r="O244" s="43">
        <v>0</v>
      </c>
      <c r="P244" s="43">
        <v>0</v>
      </c>
      <c r="Q244" s="43">
        <v>0</v>
      </c>
      <c r="R244" s="43">
        <v>0</v>
      </c>
      <c r="S244" s="3">
        <f t="shared" si="76"/>
        <v>1384.3224863114972</v>
      </c>
      <c r="W244" s="2"/>
    </row>
    <row r="245" spans="2:23" ht="15.75" customHeight="1" x14ac:dyDescent="0.25">
      <c r="B245" s="10"/>
      <c r="C245" s="15"/>
      <c r="D245" s="16"/>
      <c r="E245" s="10"/>
      <c r="F245" s="10"/>
      <c r="G245" s="20"/>
      <c r="H245" s="20"/>
      <c r="I245" s="20"/>
      <c r="J245" s="20"/>
      <c r="K245" s="15"/>
      <c r="L245" s="1"/>
      <c r="M245" s="21"/>
      <c r="W245" s="2"/>
    </row>
    <row r="246" spans="2:23" ht="15.75" customHeight="1" x14ac:dyDescent="0.25">
      <c r="B246" s="10"/>
      <c r="C246" s="15"/>
      <c r="D246" s="16"/>
      <c r="E246" s="10"/>
      <c r="F246" s="10"/>
      <c r="G246" s="20"/>
      <c r="H246" s="20"/>
      <c r="I246" s="20"/>
      <c r="J246" s="20"/>
      <c r="K246" s="15"/>
      <c r="L246" s="1"/>
      <c r="M246" s="21"/>
      <c r="W246" s="2"/>
    </row>
    <row r="247" spans="2:23" ht="15.75" customHeight="1" x14ac:dyDescent="0.25">
      <c r="B247" s="10"/>
      <c r="C247" s="15"/>
      <c r="D247" s="16"/>
      <c r="E247" s="10"/>
      <c r="F247" s="10"/>
      <c r="G247" s="20"/>
      <c r="H247" s="20"/>
      <c r="I247" s="20"/>
      <c r="J247" s="20"/>
      <c r="K247" s="15"/>
      <c r="L247" s="1"/>
      <c r="M247" s="21"/>
      <c r="W247" s="2"/>
    </row>
    <row r="248" spans="2:23" ht="15.75" customHeight="1" x14ac:dyDescent="0.25">
      <c r="B248" s="10"/>
      <c r="C248" s="15"/>
      <c r="D248" s="16"/>
      <c r="E248" s="10"/>
      <c r="F248" s="10"/>
      <c r="G248" s="20"/>
      <c r="H248" s="20"/>
      <c r="I248" s="20"/>
      <c r="J248" s="20"/>
      <c r="K248" s="15"/>
      <c r="L248" s="1"/>
      <c r="M248" s="21"/>
      <c r="W248" s="2"/>
    </row>
    <row r="249" spans="2:23" ht="15.75" customHeight="1" x14ac:dyDescent="0.25">
      <c r="B249" s="10"/>
      <c r="C249" s="15"/>
      <c r="D249" s="16"/>
      <c r="E249" s="10"/>
      <c r="F249" s="10"/>
      <c r="G249" s="7">
        <v>46023</v>
      </c>
      <c r="H249" s="7">
        <v>46054</v>
      </c>
      <c r="I249" s="7">
        <v>46082</v>
      </c>
      <c r="J249" s="7">
        <v>46113</v>
      </c>
      <c r="K249" s="7">
        <v>46143</v>
      </c>
      <c r="L249" s="7">
        <v>46174</v>
      </c>
      <c r="M249" s="7">
        <v>46204</v>
      </c>
      <c r="N249" s="7">
        <v>46235</v>
      </c>
      <c r="O249" s="7">
        <v>46266</v>
      </c>
      <c r="P249" s="7">
        <v>46296</v>
      </c>
      <c r="Q249" s="7">
        <v>46327</v>
      </c>
      <c r="R249" s="7">
        <v>46357</v>
      </c>
      <c r="S249" s="7" t="s">
        <v>6</v>
      </c>
      <c r="W249" s="2"/>
    </row>
    <row r="250" spans="2:23" ht="15.75" customHeight="1" x14ac:dyDescent="0.25">
      <c r="B250" s="4">
        <v>7415</v>
      </c>
      <c r="C250" s="37" t="s">
        <v>58</v>
      </c>
      <c r="D250" s="9" t="s">
        <v>8</v>
      </c>
      <c r="E250" s="10">
        <v>800</v>
      </c>
      <c r="F250" s="11" t="s">
        <v>59</v>
      </c>
      <c r="G250" s="14">
        <v>0</v>
      </c>
      <c r="H250" s="14">
        <v>0</v>
      </c>
      <c r="I250" s="12">
        <v>30</v>
      </c>
      <c r="J250" s="14">
        <v>0</v>
      </c>
      <c r="K250" s="14">
        <v>0</v>
      </c>
      <c r="L250" s="12">
        <v>30</v>
      </c>
      <c r="M250" s="14">
        <v>0</v>
      </c>
      <c r="N250" s="14">
        <v>0</v>
      </c>
      <c r="O250" s="14">
        <v>0</v>
      </c>
      <c r="P250" s="12">
        <v>30</v>
      </c>
      <c r="Q250" s="14">
        <v>0</v>
      </c>
      <c r="R250" s="14">
        <v>0</v>
      </c>
      <c r="S250" s="13">
        <f t="shared" ref="S250:S260" si="77">SUM(G250:R250)</f>
        <v>90</v>
      </c>
      <c r="W250" s="2"/>
    </row>
    <row r="251" spans="2:23" ht="15.75" customHeight="1" x14ac:dyDescent="0.25">
      <c r="B251" s="4">
        <v>7415</v>
      </c>
      <c r="C251" s="37" t="s">
        <v>58</v>
      </c>
      <c r="D251" s="9" t="s">
        <v>8</v>
      </c>
      <c r="E251" s="10">
        <v>801</v>
      </c>
      <c r="F251" s="11" t="s">
        <v>60</v>
      </c>
      <c r="G251" s="14">
        <v>0</v>
      </c>
      <c r="H251" s="14">
        <v>0</v>
      </c>
      <c r="I251" s="12">
        <v>39.79</v>
      </c>
      <c r="J251" s="12">
        <v>0</v>
      </c>
      <c r="K251" s="12">
        <v>0</v>
      </c>
      <c r="L251" s="12">
        <v>39.79</v>
      </c>
      <c r="M251" s="14">
        <v>0</v>
      </c>
      <c r="N251" s="14">
        <v>0</v>
      </c>
      <c r="O251" s="14">
        <v>0</v>
      </c>
      <c r="P251" s="12">
        <v>39.79</v>
      </c>
      <c r="Q251" s="14">
        <v>0</v>
      </c>
      <c r="R251" s="14">
        <v>0</v>
      </c>
      <c r="S251" s="13">
        <f t="shared" si="77"/>
        <v>119.37</v>
      </c>
      <c r="W251" s="2"/>
    </row>
    <row r="252" spans="2:23" ht="15.75" customHeight="1" x14ac:dyDescent="0.25">
      <c r="B252" s="4">
        <v>7415</v>
      </c>
      <c r="C252" s="37" t="s">
        <v>58</v>
      </c>
      <c r="D252" s="9" t="s">
        <v>8</v>
      </c>
      <c r="E252" s="10">
        <v>802</v>
      </c>
      <c r="F252" s="11" t="s">
        <v>61</v>
      </c>
      <c r="G252" s="12">
        <v>0</v>
      </c>
      <c r="H252" s="14">
        <v>0</v>
      </c>
      <c r="I252" s="12">
        <v>200</v>
      </c>
      <c r="J252" s="14">
        <v>0</v>
      </c>
      <c r="K252" s="14">
        <v>0</v>
      </c>
      <c r="L252" s="12">
        <v>200</v>
      </c>
      <c r="M252" s="14">
        <v>0</v>
      </c>
      <c r="N252" s="14">
        <v>0</v>
      </c>
      <c r="O252" s="14">
        <v>0</v>
      </c>
      <c r="P252" s="12">
        <v>200</v>
      </c>
      <c r="Q252" s="14">
        <v>0</v>
      </c>
      <c r="R252" s="14">
        <v>0</v>
      </c>
      <c r="S252" s="13">
        <f t="shared" si="77"/>
        <v>600</v>
      </c>
      <c r="W252" s="2"/>
    </row>
    <row r="253" spans="2:23" ht="15.75" customHeight="1" x14ac:dyDescent="0.25">
      <c r="B253" s="4">
        <v>7415</v>
      </c>
      <c r="C253" s="37" t="s">
        <v>58</v>
      </c>
      <c r="D253" s="9" t="s">
        <v>8</v>
      </c>
      <c r="E253" s="10">
        <v>803</v>
      </c>
      <c r="F253" s="10"/>
      <c r="G253" s="23"/>
      <c r="H253" s="23"/>
      <c r="I253" s="23"/>
      <c r="J253" s="24"/>
      <c r="K253" s="25"/>
      <c r="L253" s="26"/>
      <c r="M253" s="27"/>
      <c r="N253" s="27"/>
      <c r="O253" s="27"/>
      <c r="P253" s="27"/>
      <c r="Q253" s="27"/>
      <c r="R253" s="27"/>
      <c r="S253" s="13">
        <f t="shared" si="77"/>
        <v>0</v>
      </c>
      <c r="W253" s="2"/>
    </row>
    <row r="254" spans="2:23" ht="15.75" customHeight="1" x14ac:dyDescent="0.25">
      <c r="B254" s="4">
        <v>7415</v>
      </c>
      <c r="C254" s="37" t="s">
        <v>58</v>
      </c>
      <c r="D254" s="9" t="s">
        <v>8</v>
      </c>
      <c r="E254" s="10">
        <v>804</v>
      </c>
      <c r="F254" s="10"/>
      <c r="G254" s="23"/>
      <c r="H254" s="23"/>
      <c r="I254" s="23"/>
      <c r="J254" s="24"/>
      <c r="K254" s="25"/>
      <c r="L254" s="26"/>
      <c r="M254" s="27"/>
      <c r="N254" s="27"/>
      <c r="O254" s="27"/>
      <c r="P254" s="27"/>
      <c r="Q254" s="27"/>
      <c r="R254" s="27"/>
      <c r="S254" s="13">
        <f t="shared" si="77"/>
        <v>0</v>
      </c>
      <c r="W254" s="2"/>
    </row>
    <row r="255" spans="2:23" ht="15.75" customHeight="1" x14ac:dyDescent="0.25">
      <c r="B255" s="4">
        <v>7415</v>
      </c>
      <c r="C255" s="37" t="s">
        <v>58</v>
      </c>
      <c r="D255" s="9" t="s">
        <v>8</v>
      </c>
      <c r="E255" s="10">
        <v>805</v>
      </c>
      <c r="F255" s="10"/>
      <c r="G255" s="23"/>
      <c r="H255" s="23"/>
      <c r="I255" s="23"/>
      <c r="J255" s="24"/>
      <c r="K255" s="25"/>
      <c r="L255" s="26"/>
      <c r="M255" s="27"/>
      <c r="N255" s="27"/>
      <c r="O255" s="27"/>
      <c r="P255" s="27"/>
      <c r="Q255" s="27"/>
      <c r="R255" s="27"/>
      <c r="S255" s="13">
        <f t="shared" si="77"/>
        <v>0</v>
      </c>
      <c r="W255" s="2"/>
    </row>
    <row r="256" spans="2:23" ht="15.75" customHeight="1" x14ac:dyDescent="0.25">
      <c r="B256" s="4">
        <v>7415</v>
      </c>
      <c r="C256" s="37" t="s">
        <v>58</v>
      </c>
      <c r="D256" s="9" t="s">
        <v>8</v>
      </c>
      <c r="E256" s="10">
        <v>806</v>
      </c>
      <c r="F256" s="10"/>
      <c r="G256" s="23"/>
      <c r="H256" s="23"/>
      <c r="I256" s="23"/>
      <c r="J256" s="24"/>
      <c r="K256" s="25"/>
      <c r="L256" s="26"/>
      <c r="M256" s="27"/>
      <c r="N256" s="27"/>
      <c r="O256" s="27"/>
      <c r="P256" s="27"/>
      <c r="Q256" s="27"/>
      <c r="R256" s="27"/>
      <c r="S256" s="13">
        <f t="shared" si="77"/>
        <v>0</v>
      </c>
      <c r="W256" s="2"/>
    </row>
    <row r="257" spans="2:23" ht="15.75" customHeight="1" x14ac:dyDescent="0.25">
      <c r="B257" s="4">
        <v>7415</v>
      </c>
      <c r="C257" s="37" t="s">
        <v>58</v>
      </c>
      <c r="D257" s="9" t="s">
        <v>8</v>
      </c>
      <c r="E257" s="10">
        <v>807</v>
      </c>
      <c r="F257" s="10"/>
      <c r="G257" s="23"/>
      <c r="H257" s="23"/>
      <c r="I257" s="23"/>
      <c r="J257" s="24"/>
      <c r="K257" s="25"/>
      <c r="L257" s="26"/>
      <c r="M257" s="27"/>
      <c r="N257" s="27"/>
      <c r="O257" s="27"/>
      <c r="P257" s="27"/>
      <c r="Q257" s="27"/>
      <c r="R257" s="27"/>
      <c r="S257" s="13">
        <f t="shared" si="77"/>
        <v>0</v>
      </c>
      <c r="W257" s="2"/>
    </row>
    <row r="258" spans="2:23" ht="15.75" customHeight="1" x14ac:dyDescent="0.25">
      <c r="B258" s="4">
        <v>7415</v>
      </c>
      <c r="C258" s="37" t="s">
        <v>58</v>
      </c>
      <c r="D258" s="9" t="s">
        <v>8</v>
      </c>
      <c r="E258" s="10">
        <v>808</v>
      </c>
      <c r="F258" s="10"/>
      <c r="G258" s="23"/>
      <c r="H258" s="23"/>
      <c r="I258" s="23"/>
      <c r="J258" s="24"/>
      <c r="K258" s="25"/>
      <c r="L258" s="26"/>
      <c r="M258" s="27"/>
      <c r="N258" s="27"/>
      <c r="O258" s="27"/>
      <c r="P258" s="27"/>
      <c r="Q258" s="27"/>
      <c r="R258" s="27"/>
      <c r="S258" s="13">
        <f t="shared" si="77"/>
        <v>0</v>
      </c>
      <c r="W258" s="2"/>
    </row>
    <row r="259" spans="2:23" ht="15.75" customHeight="1" x14ac:dyDescent="0.25">
      <c r="B259" s="4">
        <v>7415</v>
      </c>
      <c r="C259" s="37" t="s">
        <v>58</v>
      </c>
      <c r="D259" s="9" t="s">
        <v>8</v>
      </c>
      <c r="E259" s="10">
        <v>809</v>
      </c>
      <c r="F259" s="10"/>
      <c r="G259" s="23"/>
      <c r="H259" s="23"/>
      <c r="I259" s="23"/>
      <c r="J259" s="24"/>
      <c r="K259" s="25"/>
      <c r="L259" s="26"/>
      <c r="M259" s="27"/>
      <c r="N259" s="27"/>
      <c r="O259" s="27"/>
      <c r="P259" s="27"/>
      <c r="Q259" s="27"/>
      <c r="R259" s="27"/>
      <c r="S259" s="13">
        <f t="shared" si="77"/>
        <v>0</v>
      </c>
      <c r="W259" s="2"/>
    </row>
    <row r="260" spans="2:23" ht="15.75" customHeight="1" x14ac:dyDescent="0.25">
      <c r="B260" s="4">
        <v>7415</v>
      </c>
      <c r="C260" s="37" t="s">
        <v>58</v>
      </c>
      <c r="D260" s="9" t="s">
        <v>8</v>
      </c>
      <c r="E260" s="10">
        <v>810</v>
      </c>
      <c r="F260" s="10"/>
      <c r="G260" s="28"/>
      <c r="H260" s="28"/>
      <c r="I260" s="28"/>
      <c r="J260" s="29"/>
      <c r="K260" s="30"/>
      <c r="L260" s="31"/>
      <c r="M260" s="32"/>
      <c r="N260" s="32"/>
      <c r="O260" s="32"/>
      <c r="P260" s="32"/>
      <c r="Q260" s="32"/>
      <c r="R260" s="32"/>
      <c r="S260" s="13">
        <f t="shared" si="77"/>
        <v>0</v>
      </c>
      <c r="W260" s="2"/>
    </row>
    <row r="261" spans="2:23" ht="15.75" customHeight="1" x14ac:dyDescent="0.25">
      <c r="B261" s="10"/>
      <c r="C261" s="15"/>
      <c r="D261" s="16"/>
      <c r="E261" s="10"/>
      <c r="F261" s="10"/>
      <c r="G261" s="18">
        <f t="shared" ref="G261:S261" si="78">SUM(G250:G260)</f>
        <v>0</v>
      </c>
      <c r="H261" s="18">
        <f t="shared" si="78"/>
        <v>0</v>
      </c>
      <c r="I261" s="18">
        <f t="shared" si="78"/>
        <v>269.78999999999996</v>
      </c>
      <c r="J261" s="18">
        <f t="shared" si="78"/>
        <v>0</v>
      </c>
      <c r="K261" s="18">
        <f t="shared" si="78"/>
        <v>0</v>
      </c>
      <c r="L261" s="18">
        <f t="shared" si="78"/>
        <v>269.78999999999996</v>
      </c>
      <c r="M261" s="18">
        <f t="shared" si="78"/>
        <v>0</v>
      </c>
      <c r="N261" s="18">
        <f t="shared" si="78"/>
        <v>0</v>
      </c>
      <c r="O261" s="18">
        <f t="shared" si="78"/>
        <v>0</v>
      </c>
      <c r="P261" s="18">
        <f t="shared" si="78"/>
        <v>269.78999999999996</v>
      </c>
      <c r="Q261" s="18">
        <f t="shared" si="78"/>
        <v>0</v>
      </c>
      <c r="R261" s="18">
        <f t="shared" si="78"/>
        <v>0</v>
      </c>
      <c r="S261" s="19">
        <f t="shared" si="78"/>
        <v>809.37</v>
      </c>
      <c r="W261" s="2"/>
    </row>
    <row r="262" spans="2:23" ht="15.75" customHeight="1" x14ac:dyDescent="0.25">
      <c r="B262" s="10"/>
      <c r="C262" s="15"/>
      <c r="D262" s="16"/>
      <c r="E262" s="10"/>
      <c r="F262" s="10"/>
      <c r="G262" s="20"/>
      <c r="H262" s="20"/>
      <c r="I262" s="20"/>
      <c r="J262" s="20"/>
      <c r="K262" s="15"/>
      <c r="L262" s="1"/>
      <c r="M262" s="21"/>
      <c r="W262" s="2"/>
    </row>
    <row r="263" spans="2:23" ht="15.75" customHeight="1" x14ac:dyDescent="0.25">
      <c r="B263" s="10"/>
      <c r="C263" s="15"/>
      <c r="D263" s="16"/>
      <c r="E263" s="10"/>
      <c r="F263" s="10"/>
      <c r="G263" s="20"/>
      <c r="H263" s="20"/>
      <c r="I263" s="20"/>
      <c r="J263" s="20"/>
      <c r="K263" s="15"/>
      <c r="L263" s="1"/>
      <c r="M263" s="21"/>
      <c r="W263" s="2"/>
    </row>
    <row r="264" spans="2:23" ht="15.75" customHeight="1" x14ac:dyDescent="0.25">
      <c r="B264" s="10"/>
      <c r="C264" s="15"/>
      <c r="D264" s="16"/>
      <c r="E264" s="10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W264" s="2"/>
    </row>
    <row r="265" spans="2:23" ht="15.75" customHeight="1" x14ac:dyDescent="0.25">
      <c r="B265" s="10"/>
      <c r="C265" s="15"/>
      <c r="D265" s="16"/>
      <c r="E265" s="10"/>
      <c r="F265" s="4">
        <v>2024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f t="shared" ref="S265:S266" si="79">SUM(G265:R265)</f>
        <v>0</v>
      </c>
      <c r="W265" s="2"/>
    </row>
    <row r="266" spans="2:23" ht="15.75" customHeight="1" x14ac:dyDescent="0.25">
      <c r="B266" s="10"/>
      <c r="C266" s="15"/>
      <c r="D266" s="16"/>
      <c r="E266" s="10"/>
      <c r="F266" s="4">
        <v>2025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1100</v>
      </c>
      <c r="P266" s="3">
        <v>1100</v>
      </c>
      <c r="Q266" s="3">
        <v>1100</v>
      </c>
      <c r="R266" s="3">
        <v>1100</v>
      </c>
      <c r="S266" s="3">
        <f t="shared" si="79"/>
        <v>4400</v>
      </c>
      <c r="W266" s="2"/>
    </row>
    <row r="267" spans="2:23" ht="15.75" customHeight="1" x14ac:dyDescent="0.25">
      <c r="B267" s="10"/>
      <c r="C267" s="15"/>
      <c r="D267" s="16"/>
      <c r="E267" s="10"/>
      <c r="F267" s="10"/>
      <c r="G267" s="20"/>
      <c r="H267" s="20"/>
      <c r="I267" s="20"/>
      <c r="J267" s="20"/>
      <c r="K267" s="15"/>
      <c r="L267" s="1"/>
      <c r="M267" s="21"/>
      <c r="W267" s="2"/>
    </row>
    <row r="268" spans="2:23" ht="15.75" customHeight="1" x14ac:dyDescent="0.25">
      <c r="B268" s="10"/>
      <c r="C268" s="15"/>
      <c r="D268" s="16"/>
      <c r="E268" s="10"/>
      <c r="F268" s="10"/>
      <c r="G268" s="20"/>
      <c r="H268" s="20"/>
      <c r="I268" s="20"/>
      <c r="J268" s="20"/>
      <c r="K268" s="15"/>
      <c r="L268" s="1"/>
      <c r="M268" s="21"/>
      <c r="W268" s="2"/>
    </row>
    <row r="269" spans="2:23" ht="15.75" customHeight="1" x14ac:dyDescent="0.25">
      <c r="B269" s="10"/>
      <c r="C269" s="15"/>
      <c r="D269" s="16"/>
      <c r="E269" s="10"/>
      <c r="F269" s="10"/>
      <c r="G269" s="7">
        <v>46023</v>
      </c>
      <c r="H269" s="7">
        <v>46054</v>
      </c>
      <c r="I269" s="7">
        <v>46082</v>
      </c>
      <c r="J269" s="7">
        <v>46113</v>
      </c>
      <c r="K269" s="7">
        <v>46143</v>
      </c>
      <c r="L269" s="7">
        <v>46174</v>
      </c>
      <c r="M269" s="7">
        <v>46204</v>
      </c>
      <c r="N269" s="7">
        <v>46235</v>
      </c>
      <c r="O269" s="7">
        <v>46266</v>
      </c>
      <c r="P269" s="7">
        <v>46296</v>
      </c>
      <c r="Q269" s="7">
        <v>46327</v>
      </c>
      <c r="R269" s="7">
        <v>46357</v>
      </c>
      <c r="S269" s="7" t="s">
        <v>6</v>
      </c>
      <c r="W269" s="2"/>
    </row>
    <row r="270" spans="2:23" ht="15.75" customHeight="1" x14ac:dyDescent="0.25">
      <c r="B270" s="8">
        <v>7560</v>
      </c>
      <c r="C270" s="4" t="s">
        <v>62</v>
      </c>
      <c r="D270" s="9" t="s">
        <v>8</v>
      </c>
      <c r="E270" s="10">
        <v>800</v>
      </c>
      <c r="F270" s="11" t="s">
        <v>63</v>
      </c>
      <c r="G270" s="12">
        <f>+((5000)/12)/3</f>
        <v>138.88888888888889</v>
      </c>
      <c r="H270" s="12">
        <f t="shared" ref="H270:R270" si="80">+((5000)/12)/3</f>
        <v>138.88888888888889</v>
      </c>
      <c r="I270" s="12">
        <f t="shared" si="80"/>
        <v>138.88888888888889</v>
      </c>
      <c r="J270" s="12">
        <f t="shared" si="80"/>
        <v>138.88888888888889</v>
      </c>
      <c r="K270" s="12">
        <f t="shared" si="80"/>
        <v>138.88888888888889</v>
      </c>
      <c r="L270" s="12">
        <f t="shared" si="80"/>
        <v>138.88888888888889</v>
      </c>
      <c r="M270" s="12">
        <f t="shared" si="80"/>
        <v>138.88888888888889</v>
      </c>
      <c r="N270" s="12">
        <f t="shared" si="80"/>
        <v>138.88888888888889</v>
      </c>
      <c r="O270" s="12">
        <f t="shared" si="80"/>
        <v>138.88888888888889</v>
      </c>
      <c r="P270" s="12">
        <f t="shared" si="80"/>
        <v>138.88888888888889</v>
      </c>
      <c r="Q270" s="12">
        <f t="shared" si="80"/>
        <v>138.88888888888889</v>
      </c>
      <c r="R270" s="12">
        <f t="shared" si="80"/>
        <v>138.88888888888889</v>
      </c>
      <c r="S270" s="13">
        <f t="shared" ref="S270:S280" si="81">SUM(G270:R270)</f>
        <v>1666.6666666666667</v>
      </c>
      <c r="W270" s="2"/>
    </row>
    <row r="271" spans="2:23" ht="15.75" customHeight="1" x14ac:dyDescent="0.25">
      <c r="B271" s="8">
        <v>7560</v>
      </c>
      <c r="C271" s="4" t="s">
        <v>62</v>
      </c>
      <c r="D271" s="9" t="s">
        <v>8</v>
      </c>
      <c r="E271" s="10">
        <v>801</v>
      </c>
      <c r="F271" s="11" t="s">
        <v>64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3">
        <f t="shared" si="81"/>
        <v>0</v>
      </c>
      <c r="W271" s="2"/>
    </row>
    <row r="272" spans="2:23" ht="15.75" customHeight="1" x14ac:dyDescent="0.25">
      <c r="B272" s="8">
        <v>7560</v>
      </c>
      <c r="C272" s="4" t="s">
        <v>62</v>
      </c>
      <c r="D272" s="9" t="s">
        <v>8</v>
      </c>
      <c r="E272" s="10">
        <v>802</v>
      </c>
      <c r="F272" s="11" t="s">
        <v>65</v>
      </c>
      <c r="G272" s="12">
        <v>30</v>
      </c>
      <c r="H272" s="12">
        <v>30</v>
      </c>
      <c r="I272" s="12">
        <v>30</v>
      </c>
      <c r="J272" s="12">
        <v>30</v>
      </c>
      <c r="K272" s="12">
        <v>30</v>
      </c>
      <c r="L272" s="12">
        <v>30</v>
      </c>
      <c r="M272" s="12">
        <v>30</v>
      </c>
      <c r="N272" s="12">
        <v>30</v>
      </c>
      <c r="O272" s="12">
        <v>30</v>
      </c>
      <c r="P272" s="12">
        <v>30</v>
      </c>
      <c r="Q272" s="12">
        <v>30</v>
      </c>
      <c r="R272" s="12">
        <v>30</v>
      </c>
      <c r="S272" s="13">
        <f t="shared" si="81"/>
        <v>360</v>
      </c>
      <c r="W272" s="2"/>
    </row>
    <row r="273" spans="2:23" ht="15.75" customHeight="1" x14ac:dyDescent="0.25">
      <c r="B273" s="8">
        <v>7560</v>
      </c>
      <c r="C273" s="4" t="s">
        <v>62</v>
      </c>
      <c r="D273" s="9" t="s">
        <v>8</v>
      </c>
      <c r="E273" s="10">
        <v>803</v>
      </c>
      <c r="F273" s="11" t="s">
        <v>66</v>
      </c>
      <c r="G273" s="12">
        <v>200</v>
      </c>
      <c r="H273" s="12">
        <v>200</v>
      </c>
      <c r="I273" s="12">
        <v>200</v>
      </c>
      <c r="J273" s="12">
        <v>200</v>
      </c>
      <c r="K273" s="12">
        <v>200</v>
      </c>
      <c r="L273" s="12">
        <v>200</v>
      </c>
      <c r="M273" s="12">
        <v>200</v>
      </c>
      <c r="N273" s="12">
        <v>200</v>
      </c>
      <c r="O273" s="12">
        <v>200</v>
      </c>
      <c r="P273" s="12">
        <v>200</v>
      </c>
      <c r="Q273" s="12">
        <v>200</v>
      </c>
      <c r="R273" s="12">
        <v>200</v>
      </c>
      <c r="S273" s="13">
        <f t="shared" si="81"/>
        <v>2400</v>
      </c>
      <c r="W273" s="2"/>
    </row>
    <row r="274" spans="2:23" ht="15.75" customHeight="1" x14ac:dyDescent="0.25">
      <c r="B274" s="8">
        <v>7560</v>
      </c>
      <c r="C274" s="4" t="s">
        <v>62</v>
      </c>
      <c r="D274" s="9" t="s">
        <v>8</v>
      </c>
      <c r="E274" s="10">
        <v>804</v>
      </c>
      <c r="F274" s="11" t="s">
        <v>131</v>
      </c>
      <c r="G274" s="14">
        <v>200</v>
      </c>
      <c r="H274" s="14">
        <v>200</v>
      </c>
      <c r="I274" s="14">
        <v>200</v>
      </c>
      <c r="J274" s="14">
        <v>200</v>
      </c>
      <c r="K274" s="14">
        <v>200</v>
      </c>
      <c r="L274" s="14">
        <v>200</v>
      </c>
      <c r="M274" s="14">
        <v>200</v>
      </c>
      <c r="N274" s="14">
        <v>200</v>
      </c>
      <c r="O274" s="14">
        <v>200</v>
      </c>
      <c r="P274" s="14">
        <v>200</v>
      </c>
      <c r="Q274" s="14">
        <v>200</v>
      </c>
      <c r="R274" s="14">
        <v>200</v>
      </c>
      <c r="S274" s="13">
        <f t="shared" si="81"/>
        <v>2400</v>
      </c>
      <c r="W274" s="2"/>
    </row>
    <row r="275" spans="2:23" ht="15.75" customHeight="1" x14ac:dyDescent="0.25">
      <c r="B275" s="8">
        <v>7560</v>
      </c>
      <c r="C275" s="4" t="s">
        <v>62</v>
      </c>
      <c r="D275" s="9" t="s">
        <v>8</v>
      </c>
      <c r="E275" s="10">
        <v>805</v>
      </c>
      <c r="F275" s="11"/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3">
        <f t="shared" si="81"/>
        <v>0</v>
      </c>
      <c r="W275" s="2"/>
    </row>
    <row r="276" spans="2:23" ht="15.75" customHeight="1" x14ac:dyDescent="0.25">
      <c r="B276" s="8">
        <v>7560</v>
      </c>
      <c r="C276" s="4" t="s">
        <v>62</v>
      </c>
      <c r="D276" s="9" t="s">
        <v>8</v>
      </c>
      <c r="E276" s="10">
        <v>806</v>
      </c>
      <c r="F276" s="11"/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3">
        <f t="shared" si="81"/>
        <v>0</v>
      </c>
      <c r="W276" s="2"/>
    </row>
    <row r="277" spans="2:23" ht="15.75" customHeight="1" x14ac:dyDescent="0.25">
      <c r="B277" s="8">
        <v>7560</v>
      </c>
      <c r="C277" s="4" t="s">
        <v>62</v>
      </c>
      <c r="D277" s="9" t="s">
        <v>8</v>
      </c>
      <c r="E277" s="10">
        <v>807</v>
      </c>
      <c r="F277" s="11"/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3">
        <f t="shared" si="81"/>
        <v>0</v>
      </c>
      <c r="W277" s="2"/>
    </row>
    <row r="278" spans="2:23" ht="15.75" customHeight="1" x14ac:dyDescent="0.25">
      <c r="B278" s="8">
        <v>7560</v>
      </c>
      <c r="C278" s="4" t="s">
        <v>62</v>
      </c>
      <c r="D278" s="9" t="s">
        <v>8</v>
      </c>
      <c r="E278" s="10">
        <v>808</v>
      </c>
      <c r="F278" s="11"/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3">
        <f t="shared" si="81"/>
        <v>0</v>
      </c>
      <c r="W278" s="2"/>
    </row>
    <row r="279" spans="2:23" ht="15.75" customHeight="1" x14ac:dyDescent="0.25">
      <c r="B279" s="8">
        <v>7560</v>
      </c>
      <c r="C279" s="4" t="s">
        <v>62</v>
      </c>
      <c r="D279" s="9" t="s">
        <v>8</v>
      </c>
      <c r="E279" s="10">
        <v>809</v>
      </c>
      <c r="F279" s="11"/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3">
        <f t="shared" si="81"/>
        <v>0</v>
      </c>
      <c r="W279" s="2"/>
    </row>
    <row r="280" spans="2:23" ht="15.75" customHeight="1" thickBot="1" x14ac:dyDescent="0.3">
      <c r="B280" s="8">
        <v>7560</v>
      </c>
      <c r="C280" s="4" t="s">
        <v>62</v>
      </c>
      <c r="D280" s="46" t="s">
        <v>8</v>
      </c>
      <c r="E280" s="10">
        <v>810</v>
      </c>
      <c r="F280" s="11"/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3">
        <f t="shared" si="81"/>
        <v>0</v>
      </c>
      <c r="W280" s="2"/>
    </row>
    <row r="281" spans="2:23" ht="15.75" customHeight="1" thickBot="1" x14ac:dyDescent="0.3">
      <c r="B281" s="10"/>
      <c r="C281" s="15"/>
      <c r="D281" s="16"/>
      <c r="E281" s="10"/>
      <c r="G281" s="17">
        <f>SUM(G270:G280)</f>
        <v>568.88888888888891</v>
      </c>
      <c r="H281" s="17">
        <f t="shared" ref="H281:R281" si="82">SUM(H270:H280)</f>
        <v>568.88888888888891</v>
      </c>
      <c r="I281" s="17">
        <f t="shared" si="82"/>
        <v>568.88888888888891</v>
      </c>
      <c r="J281" s="17">
        <f t="shared" si="82"/>
        <v>568.88888888888891</v>
      </c>
      <c r="K281" s="17">
        <f t="shared" si="82"/>
        <v>568.88888888888891</v>
      </c>
      <c r="L281" s="17">
        <f t="shared" si="82"/>
        <v>568.88888888888891</v>
      </c>
      <c r="M281" s="17">
        <f t="shared" si="82"/>
        <v>568.88888888888891</v>
      </c>
      <c r="N281" s="17">
        <f t="shared" si="82"/>
        <v>568.88888888888891</v>
      </c>
      <c r="O281" s="17">
        <f t="shared" si="82"/>
        <v>568.88888888888891</v>
      </c>
      <c r="P281" s="17">
        <f t="shared" si="82"/>
        <v>568.88888888888891</v>
      </c>
      <c r="Q281" s="17">
        <f t="shared" si="82"/>
        <v>568.88888888888891</v>
      </c>
      <c r="R281" s="17">
        <f t="shared" si="82"/>
        <v>568.88888888888891</v>
      </c>
      <c r="S281" s="19">
        <f t="shared" ref="S281" si="83">SUM(S270:S280)</f>
        <v>6826.666666666667</v>
      </c>
      <c r="W281" s="2"/>
    </row>
    <row r="282" spans="2:23" ht="15.75" customHeight="1" x14ac:dyDescent="0.25">
      <c r="B282" s="10"/>
      <c r="C282" s="15"/>
      <c r="D282" s="54"/>
      <c r="E282" s="10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W282" s="55"/>
    </row>
    <row r="283" spans="2:23" ht="15.75" customHeight="1" x14ac:dyDescent="0.25">
      <c r="B283" s="10"/>
      <c r="C283" s="15"/>
      <c r="D283" s="54"/>
      <c r="E283" s="10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W283" s="55"/>
    </row>
    <row r="284" spans="2:23" ht="15.75" customHeight="1" x14ac:dyDescent="0.25">
      <c r="B284" s="10"/>
      <c r="C284" s="15"/>
      <c r="D284" s="16"/>
      <c r="E284" s="10"/>
      <c r="F284" s="4">
        <v>2024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f t="shared" ref="S284:S285" si="84">SUM(G284:R284)</f>
        <v>0</v>
      </c>
      <c r="W284" s="2"/>
    </row>
    <row r="285" spans="2:23" ht="15.75" customHeight="1" x14ac:dyDescent="0.25">
      <c r="B285" s="10"/>
      <c r="C285" s="15"/>
      <c r="D285" s="16"/>
      <c r="E285" s="10"/>
      <c r="F285" s="4">
        <v>2025</v>
      </c>
      <c r="G285" s="43">
        <v>500.51454979830027</v>
      </c>
      <c r="H285" s="43">
        <v>667.53911778581539</v>
      </c>
      <c r="I285" s="43">
        <v>523.80155094107613</v>
      </c>
      <c r="J285" s="43">
        <v>513.13151574803146</v>
      </c>
      <c r="K285" s="43">
        <v>515.03759265795975</v>
      </c>
      <c r="L285" s="43">
        <v>520.94135122373496</v>
      </c>
      <c r="M285" s="43">
        <v>518.60948165633909</v>
      </c>
      <c r="N285" s="43">
        <v>520.80734413352968</v>
      </c>
      <c r="O285" s="43">
        <v>0</v>
      </c>
      <c r="P285" s="43">
        <v>0</v>
      </c>
      <c r="Q285" s="43">
        <v>0</v>
      </c>
      <c r="R285" s="43">
        <v>0</v>
      </c>
      <c r="S285" s="3">
        <f t="shared" si="84"/>
        <v>4280.3825039447875</v>
      </c>
      <c r="W285" s="2"/>
    </row>
    <row r="286" spans="2:23" ht="15.75" customHeight="1" x14ac:dyDescent="0.25">
      <c r="B286" s="10"/>
      <c r="C286" s="15"/>
      <c r="D286" s="16"/>
      <c r="E286" s="10"/>
      <c r="F286" s="10"/>
      <c r="G286" s="20"/>
      <c r="H286" s="20"/>
      <c r="I286" s="20"/>
      <c r="J286" s="20"/>
      <c r="K286" s="15"/>
      <c r="L286" s="1"/>
      <c r="M286" s="21"/>
      <c r="W286" s="2"/>
    </row>
    <row r="287" spans="2:23" ht="15.75" customHeight="1" x14ac:dyDescent="0.25">
      <c r="B287" s="10"/>
      <c r="C287" s="15"/>
      <c r="D287" s="16"/>
      <c r="E287" s="10"/>
      <c r="F287" s="10"/>
      <c r="G287" s="20"/>
      <c r="H287" s="20"/>
      <c r="I287" s="20"/>
      <c r="J287" s="20"/>
      <c r="K287" s="15"/>
      <c r="L287" s="1"/>
      <c r="M287" s="21"/>
      <c r="W287" s="2"/>
    </row>
    <row r="288" spans="2:23" ht="15.75" customHeight="1" x14ac:dyDescent="0.25">
      <c r="B288" s="10"/>
      <c r="C288" s="15"/>
      <c r="D288" s="16"/>
      <c r="E288" s="10"/>
      <c r="F288" s="10"/>
      <c r="G288" s="7">
        <v>46023</v>
      </c>
      <c r="H288" s="7">
        <v>46054</v>
      </c>
      <c r="I288" s="7">
        <v>46082</v>
      </c>
      <c r="J288" s="7">
        <v>46113</v>
      </c>
      <c r="K288" s="7">
        <v>46143</v>
      </c>
      <c r="L288" s="7">
        <v>46174</v>
      </c>
      <c r="M288" s="7">
        <v>46204</v>
      </c>
      <c r="N288" s="7">
        <v>46235</v>
      </c>
      <c r="O288" s="7">
        <v>46266</v>
      </c>
      <c r="P288" s="7">
        <v>46296</v>
      </c>
      <c r="Q288" s="7">
        <v>46327</v>
      </c>
      <c r="R288" s="7">
        <v>46357</v>
      </c>
      <c r="S288" s="7" t="s">
        <v>6</v>
      </c>
      <c r="W288" s="2"/>
    </row>
    <row r="289" spans="2:23" ht="15.75" customHeight="1" x14ac:dyDescent="0.25">
      <c r="B289" s="8">
        <v>7565</v>
      </c>
      <c r="C289" s="4" t="s">
        <v>67</v>
      </c>
      <c r="D289" s="9" t="s">
        <v>8</v>
      </c>
      <c r="E289" s="10">
        <v>800</v>
      </c>
      <c r="F289" s="10"/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3">
        <f t="shared" ref="S289:S299" si="85">SUM(G289:R289)</f>
        <v>0</v>
      </c>
      <c r="W289" s="2"/>
    </row>
    <row r="290" spans="2:23" ht="15.75" customHeight="1" x14ac:dyDescent="0.25">
      <c r="B290" s="8">
        <v>7565</v>
      </c>
      <c r="C290" s="4" t="s">
        <v>67</v>
      </c>
      <c r="D290" s="9" t="s">
        <v>8</v>
      </c>
      <c r="E290" s="10">
        <v>801</v>
      </c>
      <c r="F290" s="10"/>
      <c r="G290" s="23"/>
      <c r="H290" s="23"/>
      <c r="I290" s="23"/>
      <c r="J290" s="24"/>
      <c r="K290" s="25"/>
      <c r="L290" s="26"/>
      <c r="M290" s="27"/>
      <c r="N290" s="27"/>
      <c r="O290" s="27"/>
      <c r="P290" s="27"/>
      <c r="Q290" s="27"/>
      <c r="R290" s="27"/>
      <c r="S290" s="13">
        <f t="shared" si="85"/>
        <v>0</v>
      </c>
      <c r="W290" s="2"/>
    </row>
    <row r="291" spans="2:23" ht="15.75" customHeight="1" x14ac:dyDescent="0.25">
      <c r="B291" s="8">
        <v>7565</v>
      </c>
      <c r="C291" s="4" t="s">
        <v>67</v>
      </c>
      <c r="D291" s="9" t="s">
        <v>8</v>
      </c>
      <c r="E291" s="10">
        <v>802</v>
      </c>
      <c r="F291" s="10"/>
      <c r="G291" s="23"/>
      <c r="H291" s="23"/>
      <c r="I291" s="23"/>
      <c r="J291" s="24"/>
      <c r="K291" s="25"/>
      <c r="L291" s="26"/>
      <c r="M291" s="27"/>
      <c r="N291" s="27"/>
      <c r="O291" s="27"/>
      <c r="P291" s="27"/>
      <c r="Q291" s="27"/>
      <c r="R291" s="27"/>
      <c r="S291" s="13">
        <f t="shared" si="85"/>
        <v>0</v>
      </c>
      <c r="W291" s="2"/>
    </row>
    <row r="292" spans="2:23" ht="15.75" customHeight="1" x14ac:dyDescent="0.25">
      <c r="B292" s="8">
        <v>7565</v>
      </c>
      <c r="C292" s="4" t="s">
        <v>67</v>
      </c>
      <c r="D292" s="9" t="s">
        <v>8</v>
      </c>
      <c r="E292" s="10">
        <v>803</v>
      </c>
      <c r="F292" s="10"/>
      <c r="G292" s="23"/>
      <c r="H292" s="23"/>
      <c r="I292" s="23"/>
      <c r="J292" s="24"/>
      <c r="K292" s="25"/>
      <c r="L292" s="26"/>
      <c r="M292" s="27"/>
      <c r="N292" s="27"/>
      <c r="O292" s="27"/>
      <c r="P292" s="27"/>
      <c r="Q292" s="27"/>
      <c r="R292" s="27"/>
      <c r="S292" s="13">
        <f t="shared" si="85"/>
        <v>0</v>
      </c>
      <c r="W292" s="2"/>
    </row>
    <row r="293" spans="2:23" ht="15.75" customHeight="1" x14ac:dyDescent="0.25">
      <c r="B293" s="8">
        <v>7565</v>
      </c>
      <c r="C293" s="4" t="s">
        <v>67</v>
      </c>
      <c r="D293" s="9" t="s">
        <v>8</v>
      </c>
      <c r="E293" s="10">
        <v>804</v>
      </c>
      <c r="F293" s="10"/>
      <c r="G293" s="23"/>
      <c r="H293" s="23"/>
      <c r="I293" s="23"/>
      <c r="J293" s="24"/>
      <c r="K293" s="25"/>
      <c r="L293" s="26"/>
      <c r="M293" s="27"/>
      <c r="N293" s="27"/>
      <c r="O293" s="27"/>
      <c r="P293" s="27"/>
      <c r="Q293" s="27"/>
      <c r="R293" s="27"/>
      <c r="S293" s="13">
        <f t="shared" si="85"/>
        <v>0</v>
      </c>
      <c r="W293" s="2"/>
    </row>
    <row r="294" spans="2:23" ht="15.75" customHeight="1" x14ac:dyDescent="0.25">
      <c r="B294" s="8">
        <v>7565</v>
      </c>
      <c r="C294" s="4" t="s">
        <v>67</v>
      </c>
      <c r="D294" s="9" t="s">
        <v>8</v>
      </c>
      <c r="E294" s="10">
        <v>805</v>
      </c>
      <c r="F294" s="10"/>
      <c r="G294" s="23"/>
      <c r="H294" s="23"/>
      <c r="I294" s="23"/>
      <c r="J294" s="24"/>
      <c r="K294" s="25"/>
      <c r="L294" s="26"/>
      <c r="M294" s="27"/>
      <c r="N294" s="27"/>
      <c r="O294" s="27"/>
      <c r="P294" s="27"/>
      <c r="Q294" s="27"/>
      <c r="R294" s="27"/>
      <c r="S294" s="13">
        <f t="shared" si="85"/>
        <v>0</v>
      </c>
      <c r="W294" s="2"/>
    </row>
    <row r="295" spans="2:23" ht="15.75" customHeight="1" x14ac:dyDescent="0.25">
      <c r="B295" s="8">
        <v>7565</v>
      </c>
      <c r="C295" s="4" t="s">
        <v>67</v>
      </c>
      <c r="D295" s="9" t="s">
        <v>8</v>
      </c>
      <c r="E295" s="10">
        <v>806</v>
      </c>
      <c r="F295" s="10"/>
      <c r="G295" s="23"/>
      <c r="H295" s="23"/>
      <c r="I295" s="23"/>
      <c r="J295" s="24"/>
      <c r="K295" s="25"/>
      <c r="L295" s="26"/>
      <c r="M295" s="27"/>
      <c r="N295" s="27"/>
      <c r="O295" s="27"/>
      <c r="P295" s="27"/>
      <c r="Q295" s="27"/>
      <c r="R295" s="27"/>
      <c r="S295" s="13">
        <f t="shared" si="85"/>
        <v>0</v>
      </c>
      <c r="W295" s="2"/>
    </row>
    <row r="296" spans="2:23" ht="15.75" customHeight="1" x14ac:dyDescent="0.25">
      <c r="B296" s="8">
        <v>7565</v>
      </c>
      <c r="C296" s="4" t="s">
        <v>67</v>
      </c>
      <c r="D296" s="9" t="s">
        <v>8</v>
      </c>
      <c r="E296" s="10">
        <v>807</v>
      </c>
      <c r="F296" s="10"/>
      <c r="G296" s="23"/>
      <c r="H296" s="23"/>
      <c r="I296" s="23"/>
      <c r="J296" s="24"/>
      <c r="K296" s="25"/>
      <c r="L296" s="26"/>
      <c r="M296" s="27"/>
      <c r="N296" s="27"/>
      <c r="O296" s="27"/>
      <c r="P296" s="27"/>
      <c r="Q296" s="27"/>
      <c r="R296" s="27"/>
      <c r="S296" s="13">
        <f t="shared" si="85"/>
        <v>0</v>
      </c>
      <c r="W296" s="2"/>
    </row>
    <row r="297" spans="2:23" ht="15.75" customHeight="1" x14ac:dyDescent="0.25">
      <c r="B297" s="8">
        <v>7565</v>
      </c>
      <c r="C297" s="4" t="s">
        <v>67</v>
      </c>
      <c r="D297" s="9" t="s">
        <v>8</v>
      </c>
      <c r="E297" s="10">
        <v>808</v>
      </c>
      <c r="F297" s="10"/>
      <c r="G297" s="23"/>
      <c r="H297" s="23"/>
      <c r="I297" s="23"/>
      <c r="J297" s="24"/>
      <c r="K297" s="25"/>
      <c r="L297" s="26"/>
      <c r="M297" s="27"/>
      <c r="N297" s="27"/>
      <c r="O297" s="27"/>
      <c r="P297" s="27"/>
      <c r="Q297" s="27"/>
      <c r="R297" s="27"/>
      <c r="S297" s="13">
        <f t="shared" si="85"/>
        <v>0</v>
      </c>
      <c r="W297" s="2"/>
    </row>
    <row r="298" spans="2:23" ht="15.75" customHeight="1" x14ac:dyDescent="0.25">
      <c r="B298" s="8">
        <v>7565</v>
      </c>
      <c r="C298" s="4" t="s">
        <v>67</v>
      </c>
      <c r="D298" s="9" t="s">
        <v>8</v>
      </c>
      <c r="E298" s="10">
        <v>809</v>
      </c>
      <c r="F298" s="10"/>
      <c r="G298" s="23"/>
      <c r="H298" s="23"/>
      <c r="I298" s="23"/>
      <c r="J298" s="24"/>
      <c r="K298" s="25"/>
      <c r="L298" s="26"/>
      <c r="M298" s="27"/>
      <c r="N298" s="27"/>
      <c r="O298" s="27"/>
      <c r="P298" s="27"/>
      <c r="Q298" s="27"/>
      <c r="R298" s="27"/>
      <c r="S298" s="13">
        <f t="shared" si="85"/>
        <v>0</v>
      </c>
      <c r="W298" s="2"/>
    </row>
    <row r="299" spans="2:23" ht="15.75" customHeight="1" x14ac:dyDescent="0.25">
      <c r="B299" s="8">
        <v>7565</v>
      </c>
      <c r="C299" s="4" t="s">
        <v>67</v>
      </c>
      <c r="D299" s="9" t="s">
        <v>8</v>
      </c>
      <c r="E299" s="10">
        <v>810</v>
      </c>
      <c r="F299" s="10"/>
      <c r="G299" s="28"/>
      <c r="H299" s="28"/>
      <c r="I299" s="28"/>
      <c r="J299" s="29"/>
      <c r="K299" s="30"/>
      <c r="L299" s="31"/>
      <c r="M299" s="32"/>
      <c r="N299" s="32"/>
      <c r="O299" s="32"/>
      <c r="P299" s="32"/>
      <c r="Q299" s="32"/>
      <c r="R299" s="32"/>
      <c r="S299" s="13">
        <f t="shared" si="85"/>
        <v>0</v>
      </c>
      <c r="W299" s="2"/>
    </row>
    <row r="300" spans="2:23" ht="15.75" customHeight="1" x14ac:dyDescent="0.25">
      <c r="B300" s="10"/>
      <c r="C300" s="15"/>
      <c r="D300" s="16"/>
      <c r="E300" s="10"/>
      <c r="F300" s="10"/>
      <c r="G300" s="18">
        <f t="shared" ref="G300:S300" si="86">SUM(G289:G299)</f>
        <v>0</v>
      </c>
      <c r="H300" s="18">
        <f t="shared" si="86"/>
        <v>0</v>
      </c>
      <c r="I300" s="18">
        <f t="shared" si="86"/>
        <v>0</v>
      </c>
      <c r="J300" s="18">
        <f t="shared" si="86"/>
        <v>0</v>
      </c>
      <c r="K300" s="18">
        <f t="shared" si="86"/>
        <v>0</v>
      </c>
      <c r="L300" s="18">
        <f t="shared" si="86"/>
        <v>0</v>
      </c>
      <c r="M300" s="18">
        <f t="shared" si="86"/>
        <v>0</v>
      </c>
      <c r="N300" s="18">
        <f t="shared" si="86"/>
        <v>0</v>
      </c>
      <c r="O300" s="18">
        <f t="shared" si="86"/>
        <v>0</v>
      </c>
      <c r="P300" s="18">
        <f t="shared" si="86"/>
        <v>0</v>
      </c>
      <c r="Q300" s="18">
        <f t="shared" si="86"/>
        <v>0</v>
      </c>
      <c r="R300" s="18">
        <f t="shared" si="86"/>
        <v>0</v>
      </c>
      <c r="S300" s="19">
        <f t="shared" si="86"/>
        <v>0</v>
      </c>
      <c r="W300" s="2"/>
    </row>
    <row r="301" spans="2:23" ht="15.75" customHeight="1" x14ac:dyDescent="0.25">
      <c r="B301" s="10"/>
      <c r="C301" s="15"/>
      <c r="D301" s="16"/>
      <c r="E301" s="10"/>
      <c r="F301" s="10"/>
      <c r="G301" s="20"/>
      <c r="H301" s="20"/>
      <c r="I301" s="20"/>
      <c r="J301" s="20"/>
      <c r="K301" s="15"/>
      <c r="L301" s="1"/>
      <c r="M301" s="21"/>
      <c r="W301" s="2"/>
    </row>
    <row r="302" spans="2:23" ht="15.75" customHeight="1" x14ac:dyDescent="0.25">
      <c r="B302" s="10"/>
      <c r="C302" s="15"/>
      <c r="D302" s="16"/>
      <c r="E302" s="10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W302" s="2"/>
    </row>
    <row r="303" spans="2:23" ht="15.75" customHeight="1" x14ac:dyDescent="0.25">
      <c r="B303" s="10"/>
      <c r="C303" s="15"/>
      <c r="D303" s="16"/>
      <c r="E303" s="10"/>
      <c r="F303" s="4">
        <v>2024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f t="shared" ref="S303:S304" si="87">SUM(G303:R303)</f>
        <v>0</v>
      </c>
      <c r="W303" s="2"/>
    </row>
    <row r="304" spans="2:23" ht="15.75" customHeight="1" x14ac:dyDescent="0.25">
      <c r="B304" s="10"/>
      <c r="C304" s="15"/>
      <c r="D304" s="16"/>
      <c r="E304" s="10"/>
      <c r="F304" s="4">
        <v>2025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f t="shared" si="87"/>
        <v>0</v>
      </c>
      <c r="W304" s="2"/>
    </row>
    <row r="305" spans="2:23" ht="15.75" customHeight="1" x14ac:dyDescent="0.25">
      <c r="B305" s="10"/>
      <c r="C305" s="15"/>
      <c r="D305" s="16"/>
      <c r="E305" s="10"/>
      <c r="F305" s="10"/>
      <c r="G305" s="20"/>
      <c r="H305" s="20"/>
      <c r="I305" s="20"/>
      <c r="J305" s="20"/>
      <c r="K305" s="15"/>
      <c r="L305" s="1"/>
      <c r="M305" s="21"/>
      <c r="W305" s="2"/>
    </row>
    <row r="306" spans="2:23" ht="15.75" customHeight="1" x14ac:dyDescent="0.25">
      <c r="B306" s="10"/>
      <c r="C306" s="15"/>
      <c r="D306" s="16"/>
      <c r="E306" s="10"/>
      <c r="F306" s="10"/>
      <c r="G306" s="20"/>
      <c r="H306" s="20"/>
      <c r="I306" s="20"/>
      <c r="J306" s="20"/>
      <c r="K306" s="15"/>
      <c r="L306" s="1"/>
      <c r="M306" s="21"/>
      <c r="W306" s="2"/>
    </row>
    <row r="307" spans="2:23" ht="15.75" customHeight="1" x14ac:dyDescent="0.25">
      <c r="B307" s="10"/>
      <c r="C307" s="15"/>
      <c r="D307" s="16"/>
      <c r="E307" s="10"/>
      <c r="F307" s="10"/>
      <c r="G307" s="20"/>
      <c r="H307" s="20"/>
      <c r="I307" s="20"/>
      <c r="J307" s="20"/>
      <c r="K307" s="15"/>
      <c r="L307" s="1"/>
      <c r="M307" s="21"/>
      <c r="W307" s="2"/>
    </row>
    <row r="308" spans="2:23" ht="15.75" customHeight="1" x14ac:dyDescent="0.25">
      <c r="B308" s="10"/>
      <c r="C308" s="15"/>
      <c r="D308" s="16"/>
      <c r="E308" s="10"/>
      <c r="F308" s="10"/>
      <c r="G308" s="7">
        <v>46023</v>
      </c>
      <c r="H308" s="7">
        <v>46054</v>
      </c>
      <c r="I308" s="7">
        <v>46082</v>
      </c>
      <c r="J308" s="7">
        <v>46113</v>
      </c>
      <c r="K308" s="7">
        <v>46143</v>
      </c>
      <c r="L308" s="7">
        <v>46174</v>
      </c>
      <c r="M308" s="7">
        <v>46204</v>
      </c>
      <c r="N308" s="7">
        <v>46235</v>
      </c>
      <c r="O308" s="7">
        <v>46266</v>
      </c>
      <c r="P308" s="7">
        <v>46296</v>
      </c>
      <c r="Q308" s="7">
        <v>46327</v>
      </c>
      <c r="R308" s="7">
        <v>46357</v>
      </c>
      <c r="S308" s="7" t="s">
        <v>6</v>
      </c>
      <c r="W308" s="2"/>
    </row>
    <row r="309" spans="2:23" ht="15.75" customHeight="1" x14ac:dyDescent="0.25">
      <c r="B309" s="8">
        <v>7570</v>
      </c>
      <c r="C309" s="4" t="s">
        <v>68</v>
      </c>
      <c r="D309" s="9" t="s">
        <v>8</v>
      </c>
      <c r="E309" s="10">
        <v>800</v>
      </c>
      <c r="F309" s="45" t="s">
        <v>69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3">
        <f t="shared" ref="S309:S319" si="88">SUM(G309:R309)</f>
        <v>0</v>
      </c>
      <c r="W309" s="2"/>
    </row>
    <row r="310" spans="2:23" ht="15.75" customHeight="1" x14ac:dyDescent="0.25">
      <c r="B310" s="8">
        <v>7570</v>
      </c>
      <c r="C310" s="4" t="s">
        <v>68</v>
      </c>
      <c r="D310" s="9" t="s">
        <v>8</v>
      </c>
      <c r="E310" s="10">
        <v>801</v>
      </c>
      <c r="F310" s="45" t="s">
        <v>70</v>
      </c>
      <c r="G310" s="23"/>
      <c r="H310" s="23"/>
      <c r="I310" s="23"/>
      <c r="J310" s="24"/>
      <c r="K310" s="25"/>
      <c r="L310" s="26"/>
      <c r="M310" s="27"/>
      <c r="N310" s="27"/>
      <c r="O310" s="27"/>
      <c r="P310" s="27"/>
      <c r="Q310" s="27"/>
      <c r="R310" s="27"/>
      <c r="S310" s="13">
        <f t="shared" si="88"/>
        <v>0</v>
      </c>
      <c r="W310" s="2"/>
    </row>
    <row r="311" spans="2:23" ht="15.75" customHeight="1" x14ac:dyDescent="0.25">
      <c r="B311" s="8">
        <v>7570</v>
      </c>
      <c r="C311" s="4" t="s">
        <v>68</v>
      </c>
      <c r="D311" s="9" t="s">
        <v>8</v>
      </c>
      <c r="E311" s="10">
        <v>802</v>
      </c>
      <c r="F311" s="10" t="s">
        <v>71</v>
      </c>
      <c r="G311" s="23"/>
      <c r="H311" s="23"/>
      <c r="I311" s="23"/>
      <c r="J311" s="24"/>
      <c r="K311" s="25"/>
      <c r="L311" s="26"/>
      <c r="M311" s="27"/>
      <c r="N311" s="27"/>
      <c r="O311" s="27"/>
      <c r="P311" s="27"/>
      <c r="Q311" s="27"/>
      <c r="R311" s="27"/>
      <c r="S311" s="13">
        <f t="shared" si="88"/>
        <v>0</v>
      </c>
      <c r="W311" s="2"/>
    </row>
    <row r="312" spans="2:23" ht="15.75" customHeight="1" x14ac:dyDescent="0.25">
      <c r="B312" s="8">
        <v>7570</v>
      </c>
      <c r="C312" s="4" t="s">
        <v>68</v>
      </c>
      <c r="D312" s="9" t="s">
        <v>8</v>
      </c>
      <c r="E312" s="10">
        <v>803</v>
      </c>
      <c r="F312" s="10"/>
      <c r="G312" s="23"/>
      <c r="H312" s="23"/>
      <c r="I312" s="23"/>
      <c r="J312" s="24"/>
      <c r="K312" s="25"/>
      <c r="L312" s="26"/>
      <c r="M312" s="27"/>
      <c r="N312" s="27"/>
      <c r="O312" s="27"/>
      <c r="P312" s="27"/>
      <c r="Q312" s="27"/>
      <c r="R312" s="27"/>
      <c r="S312" s="13">
        <f t="shared" si="88"/>
        <v>0</v>
      </c>
      <c r="W312" s="2"/>
    </row>
    <row r="313" spans="2:23" ht="15.75" customHeight="1" x14ac:dyDescent="0.25">
      <c r="B313" s="8">
        <v>7570</v>
      </c>
      <c r="C313" s="4" t="s">
        <v>68</v>
      </c>
      <c r="D313" s="9" t="s">
        <v>8</v>
      </c>
      <c r="E313" s="10">
        <v>804</v>
      </c>
      <c r="F313" s="10"/>
      <c r="G313" s="23"/>
      <c r="H313" s="23"/>
      <c r="I313" s="23"/>
      <c r="J313" s="24"/>
      <c r="K313" s="25"/>
      <c r="L313" s="26"/>
      <c r="M313" s="27"/>
      <c r="N313" s="27"/>
      <c r="O313" s="27"/>
      <c r="P313" s="27"/>
      <c r="Q313" s="27"/>
      <c r="R313" s="27"/>
      <c r="S313" s="13">
        <f t="shared" si="88"/>
        <v>0</v>
      </c>
      <c r="W313" s="2"/>
    </row>
    <row r="314" spans="2:23" ht="15.75" customHeight="1" x14ac:dyDescent="0.25">
      <c r="B314" s="8">
        <v>7570</v>
      </c>
      <c r="C314" s="4" t="s">
        <v>68</v>
      </c>
      <c r="D314" s="9" t="s">
        <v>8</v>
      </c>
      <c r="E314" s="10">
        <v>805</v>
      </c>
      <c r="F314" s="10"/>
      <c r="G314" s="23"/>
      <c r="H314" s="23"/>
      <c r="I314" s="23"/>
      <c r="J314" s="24"/>
      <c r="K314" s="25"/>
      <c r="L314" s="26"/>
      <c r="M314" s="27"/>
      <c r="N314" s="27"/>
      <c r="O314" s="27"/>
      <c r="P314" s="27"/>
      <c r="Q314" s="27"/>
      <c r="R314" s="27"/>
      <c r="S314" s="13">
        <f t="shared" si="88"/>
        <v>0</v>
      </c>
      <c r="W314" s="2"/>
    </row>
    <row r="315" spans="2:23" ht="15.75" customHeight="1" x14ac:dyDescent="0.25">
      <c r="B315" s="8">
        <v>7570</v>
      </c>
      <c r="C315" s="4" t="s">
        <v>68</v>
      </c>
      <c r="D315" s="9" t="s">
        <v>8</v>
      </c>
      <c r="E315" s="10">
        <v>806</v>
      </c>
      <c r="F315" s="10"/>
      <c r="G315" s="23"/>
      <c r="H315" s="23"/>
      <c r="I315" s="23"/>
      <c r="J315" s="24"/>
      <c r="K315" s="25"/>
      <c r="L315" s="26"/>
      <c r="M315" s="27"/>
      <c r="N315" s="27"/>
      <c r="O315" s="27"/>
      <c r="P315" s="27"/>
      <c r="Q315" s="27"/>
      <c r="R315" s="27"/>
      <c r="S315" s="13">
        <f t="shared" si="88"/>
        <v>0</v>
      </c>
      <c r="W315" s="2"/>
    </row>
    <row r="316" spans="2:23" ht="15.75" customHeight="1" x14ac:dyDescent="0.25">
      <c r="B316" s="8">
        <v>7570</v>
      </c>
      <c r="C316" s="4" t="s">
        <v>68</v>
      </c>
      <c r="D316" s="9" t="s">
        <v>8</v>
      </c>
      <c r="E316" s="10">
        <v>807</v>
      </c>
      <c r="F316" s="10"/>
      <c r="G316" s="23"/>
      <c r="H316" s="23"/>
      <c r="I316" s="23"/>
      <c r="J316" s="24"/>
      <c r="K316" s="25"/>
      <c r="L316" s="26"/>
      <c r="M316" s="27"/>
      <c r="N316" s="27"/>
      <c r="O316" s="27"/>
      <c r="P316" s="27"/>
      <c r="Q316" s="27"/>
      <c r="R316" s="27"/>
      <c r="S316" s="13">
        <f t="shared" si="88"/>
        <v>0</v>
      </c>
      <c r="W316" s="2"/>
    </row>
    <row r="317" spans="2:23" ht="15.75" customHeight="1" x14ac:dyDescent="0.25">
      <c r="B317" s="8">
        <v>7570</v>
      </c>
      <c r="C317" s="4" t="s">
        <v>68</v>
      </c>
      <c r="D317" s="9" t="s">
        <v>8</v>
      </c>
      <c r="E317" s="10">
        <v>808</v>
      </c>
      <c r="F317" s="10"/>
      <c r="G317" s="23"/>
      <c r="H317" s="23"/>
      <c r="I317" s="23"/>
      <c r="J317" s="24"/>
      <c r="K317" s="25"/>
      <c r="L317" s="26"/>
      <c r="M317" s="27"/>
      <c r="N317" s="27"/>
      <c r="O317" s="27"/>
      <c r="P317" s="27"/>
      <c r="Q317" s="27"/>
      <c r="R317" s="27"/>
      <c r="S317" s="13">
        <f t="shared" si="88"/>
        <v>0</v>
      </c>
      <c r="W317" s="2"/>
    </row>
    <row r="318" spans="2:23" ht="15.75" customHeight="1" x14ac:dyDescent="0.25">
      <c r="B318" s="8">
        <v>7570</v>
      </c>
      <c r="C318" s="4" t="s">
        <v>68</v>
      </c>
      <c r="D318" s="9" t="s">
        <v>8</v>
      </c>
      <c r="E318" s="10">
        <v>809</v>
      </c>
      <c r="F318" s="10"/>
      <c r="G318" s="23"/>
      <c r="H318" s="23"/>
      <c r="I318" s="23"/>
      <c r="J318" s="24"/>
      <c r="K318" s="25"/>
      <c r="L318" s="26"/>
      <c r="M318" s="27"/>
      <c r="N318" s="27"/>
      <c r="O318" s="27"/>
      <c r="P318" s="27"/>
      <c r="Q318" s="27"/>
      <c r="R318" s="27"/>
      <c r="S318" s="13">
        <f t="shared" si="88"/>
        <v>0</v>
      </c>
      <c r="W318" s="2"/>
    </row>
    <row r="319" spans="2:23" ht="15.75" customHeight="1" x14ac:dyDescent="0.25">
      <c r="B319" s="8">
        <v>7570</v>
      </c>
      <c r="C319" s="4" t="s">
        <v>68</v>
      </c>
      <c r="D319" s="9" t="s">
        <v>8</v>
      </c>
      <c r="E319" s="10">
        <v>810</v>
      </c>
      <c r="F319" s="10"/>
      <c r="G319" s="28"/>
      <c r="H319" s="28"/>
      <c r="I319" s="28"/>
      <c r="J319" s="29"/>
      <c r="K319" s="30"/>
      <c r="L319" s="31"/>
      <c r="M319" s="32"/>
      <c r="N319" s="32"/>
      <c r="O319" s="32"/>
      <c r="P319" s="32"/>
      <c r="Q319" s="32"/>
      <c r="R319" s="32"/>
      <c r="S319" s="13">
        <f t="shared" si="88"/>
        <v>0</v>
      </c>
      <c r="W319" s="2"/>
    </row>
    <row r="320" spans="2:23" ht="15.75" customHeight="1" x14ac:dyDescent="0.25">
      <c r="B320" s="10"/>
      <c r="C320" s="15"/>
      <c r="D320" s="16"/>
      <c r="E320" s="10"/>
      <c r="F320" s="10"/>
      <c r="G320" s="18">
        <f t="shared" ref="G320:S320" si="89">SUM(G309:G319)</f>
        <v>0</v>
      </c>
      <c r="H320" s="18">
        <f t="shared" si="89"/>
        <v>0</v>
      </c>
      <c r="I320" s="18">
        <f t="shared" si="89"/>
        <v>0</v>
      </c>
      <c r="J320" s="18">
        <f t="shared" si="89"/>
        <v>0</v>
      </c>
      <c r="K320" s="18">
        <f t="shared" si="89"/>
        <v>0</v>
      </c>
      <c r="L320" s="18">
        <f t="shared" si="89"/>
        <v>0</v>
      </c>
      <c r="M320" s="18">
        <f t="shared" si="89"/>
        <v>0</v>
      </c>
      <c r="N320" s="18">
        <f t="shared" si="89"/>
        <v>0</v>
      </c>
      <c r="O320" s="18">
        <f t="shared" si="89"/>
        <v>0</v>
      </c>
      <c r="P320" s="18">
        <f t="shared" si="89"/>
        <v>0</v>
      </c>
      <c r="Q320" s="18">
        <f t="shared" si="89"/>
        <v>0</v>
      </c>
      <c r="R320" s="18">
        <f t="shared" si="89"/>
        <v>0</v>
      </c>
      <c r="S320" s="19">
        <f t="shared" si="89"/>
        <v>0</v>
      </c>
      <c r="W320" s="2"/>
    </row>
    <row r="321" spans="2:23" ht="15.75" customHeight="1" x14ac:dyDescent="0.25">
      <c r="B321" s="10"/>
      <c r="C321" s="15"/>
      <c r="D321" s="16"/>
      <c r="E321" s="10"/>
      <c r="F321" s="10"/>
      <c r="G321" s="20"/>
      <c r="H321" s="20"/>
      <c r="I321" s="20"/>
      <c r="J321" s="20"/>
      <c r="K321" s="15"/>
      <c r="L321" s="1"/>
      <c r="M321" s="21"/>
      <c r="W321" s="2"/>
    </row>
    <row r="322" spans="2:23" ht="15.75" customHeight="1" x14ac:dyDescent="0.25">
      <c r="B322" s="10"/>
      <c r="C322" s="15"/>
      <c r="D322" s="16"/>
      <c r="E322" s="1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W322" s="2"/>
    </row>
    <row r="323" spans="2:23" ht="15.75" customHeight="1" x14ac:dyDescent="0.25">
      <c r="B323" s="10"/>
      <c r="C323" s="15"/>
      <c r="D323" s="16"/>
      <c r="E323" s="10"/>
      <c r="F323" s="4">
        <v>2024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f t="shared" ref="S323:S324" si="90">SUM(G323:R323)</f>
        <v>0</v>
      </c>
      <c r="W323" s="2"/>
    </row>
    <row r="324" spans="2:23" ht="15.75" customHeight="1" x14ac:dyDescent="0.25">
      <c r="B324" s="10"/>
      <c r="C324" s="15"/>
      <c r="D324" s="16"/>
      <c r="E324" s="10"/>
      <c r="F324" s="4">
        <v>2025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416.66666666666669</v>
      </c>
      <c r="P324" s="43">
        <v>416.66666666666669</v>
      </c>
      <c r="Q324" s="43">
        <v>416.66666666666669</v>
      </c>
      <c r="R324" s="43">
        <v>416.66666666666669</v>
      </c>
      <c r="S324" s="3">
        <f t="shared" si="90"/>
        <v>1666.6666666666667</v>
      </c>
      <c r="W324" s="2"/>
    </row>
    <row r="325" spans="2:23" ht="15.75" customHeight="1" x14ac:dyDescent="0.25">
      <c r="B325" s="10"/>
      <c r="C325" s="15"/>
      <c r="D325" s="16"/>
      <c r="E325" s="10"/>
      <c r="F325" s="10"/>
      <c r="G325" s="20"/>
      <c r="H325" s="20"/>
      <c r="I325" s="20"/>
      <c r="J325" s="20"/>
      <c r="K325" s="15"/>
      <c r="L325" s="1"/>
      <c r="M325" s="21"/>
      <c r="W325" s="2"/>
    </row>
    <row r="326" spans="2:23" ht="15.75" customHeight="1" x14ac:dyDescent="0.25">
      <c r="B326" s="10"/>
      <c r="C326" s="15"/>
      <c r="D326" s="16"/>
      <c r="E326" s="10"/>
      <c r="F326" s="10"/>
      <c r="G326" s="20"/>
      <c r="H326" s="20"/>
      <c r="I326" s="20"/>
      <c r="J326" s="20"/>
      <c r="K326" s="15"/>
      <c r="L326" s="1"/>
      <c r="M326" s="21"/>
      <c r="W326" s="2"/>
    </row>
    <row r="327" spans="2:23" ht="15.75" customHeight="1" x14ac:dyDescent="0.25">
      <c r="B327" s="10"/>
      <c r="C327" s="15"/>
      <c r="D327" s="16"/>
      <c r="E327" s="10"/>
      <c r="F327" s="10"/>
      <c r="G327" s="20"/>
      <c r="H327" s="20"/>
      <c r="I327" s="20"/>
      <c r="J327" s="20"/>
      <c r="K327" s="15"/>
      <c r="L327" s="1"/>
      <c r="M327" s="21"/>
      <c r="W327" s="2"/>
    </row>
    <row r="328" spans="2:23" ht="15.75" customHeight="1" x14ac:dyDescent="0.25">
      <c r="B328" s="10"/>
      <c r="C328" s="15"/>
      <c r="D328" s="16"/>
      <c r="E328" s="10"/>
      <c r="F328" s="10"/>
      <c r="G328" s="7">
        <v>46023</v>
      </c>
      <c r="H328" s="7">
        <v>46054</v>
      </c>
      <c r="I328" s="7">
        <v>46082</v>
      </c>
      <c r="J328" s="7">
        <v>46113</v>
      </c>
      <c r="K328" s="7">
        <v>46143</v>
      </c>
      <c r="L328" s="7">
        <v>46174</v>
      </c>
      <c r="M328" s="7">
        <v>46204</v>
      </c>
      <c r="N328" s="7">
        <v>46235</v>
      </c>
      <c r="O328" s="7">
        <v>46266</v>
      </c>
      <c r="P328" s="7">
        <v>46296</v>
      </c>
      <c r="Q328" s="7">
        <v>46327</v>
      </c>
      <c r="R328" s="7">
        <v>46357</v>
      </c>
      <c r="S328" s="7" t="s">
        <v>6</v>
      </c>
      <c r="W328" s="2"/>
    </row>
    <row r="329" spans="2:23" ht="15.75" customHeight="1" x14ac:dyDescent="0.25">
      <c r="B329" s="8">
        <v>7575</v>
      </c>
      <c r="C329" s="4" t="s">
        <v>72</v>
      </c>
      <c r="D329" s="9" t="s">
        <v>8</v>
      </c>
      <c r="E329" s="10">
        <v>800</v>
      </c>
      <c r="F329" s="11" t="s">
        <v>73</v>
      </c>
      <c r="G329" s="12">
        <f>+(((7560+756)/36)/4)*5</f>
        <v>288.75</v>
      </c>
      <c r="H329" s="12">
        <f t="shared" ref="H329:R329" si="91">+(((7560+756)/36)/4)*5</f>
        <v>288.75</v>
      </c>
      <c r="I329" s="12">
        <f t="shared" si="91"/>
        <v>288.75</v>
      </c>
      <c r="J329" s="12">
        <f t="shared" si="91"/>
        <v>288.75</v>
      </c>
      <c r="K329" s="12">
        <f t="shared" si="91"/>
        <v>288.75</v>
      </c>
      <c r="L329" s="12">
        <f t="shared" si="91"/>
        <v>288.75</v>
      </c>
      <c r="M329" s="12">
        <f t="shared" si="91"/>
        <v>288.75</v>
      </c>
      <c r="N329" s="12">
        <f t="shared" si="91"/>
        <v>288.75</v>
      </c>
      <c r="O329" s="12">
        <f t="shared" si="91"/>
        <v>288.75</v>
      </c>
      <c r="P329" s="12">
        <f t="shared" si="91"/>
        <v>288.75</v>
      </c>
      <c r="Q329" s="12">
        <f t="shared" si="91"/>
        <v>288.75</v>
      </c>
      <c r="R329" s="12">
        <f t="shared" si="91"/>
        <v>288.75</v>
      </c>
      <c r="S329" s="13">
        <f t="shared" ref="S329:S339" si="92">SUM(G329:R329)</f>
        <v>3465</v>
      </c>
      <c r="W329" s="2"/>
    </row>
    <row r="330" spans="2:23" ht="15.75" customHeight="1" x14ac:dyDescent="0.25">
      <c r="B330" s="8">
        <v>7575</v>
      </c>
      <c r="C330" s="4" t="s">
        <v>72</v>
      </c>
      <c r="D330" s="9" t="s">
        <v>8</v>
      </c>
      <c r="E330" s="10">
        <v>801</v>
      </c>
      <c r="F330" s="10" t="s">
        <v>130</v>
      </c>
      <c r="G330" s="12">
        <f>+(((3024)/36)/4)*4</f>
        <v>84</v>
      </c>
      <c r="H330" s="12">
        <f t="shared" ref="H330:R330" si="93">+(((3024)/36)/4)*4</f>
        <v>84</v>
      </c>
      <c r="I330" s="12">
        <f t="shared" si="93"/>
        <v>84</v>
      </c>
      <c r="J330" s="12">
        <f t="shared" si="93"/>
        <v>84</v>
      </c>
      <c r="K330" s="12">
        <f t="shared" si="93"/>
        <v>84</v>
      </c>
      <c r="L330" s="12">
        <f t="shared" si="93"/>
        <v>84</v>
      </c>
      <c r="M330" s="12">
        <f t="shared" si="93"/>
        <v>84</v>
      </c>
      <c r="N330" s="12">
        <f t="shared" si="93"/>
        <v>84</v>
      </c>
      <c r="O330" s="12">
        <f t="shared" si="93"/>
        <v>84</v>
      </c>
      <c r="P330" s="12">
        <f t="shared" si="93"/>
        <v>84</v>
      </c>
      <c r="Q330" s="12">
        <f t="shared" si="93"/>
        <v>84</v>
      </c>
      <c r="R330" s="12">
        <f t="shared" si="93"/>
        <v>84</v>
      </c>
      <c r="S330" s="13">
        <f t="shared" si="92"/>
        <v>1008</v>
      </c>
      <c r="W330" s="2"/>
    </row>
    <row r="331" spans="2:23" ht="15.75" customHeight="1" x14ac:dyDescent="0.25">
      <c r="B331" s="8">
        <v>7575</v>
      </c>
      <c r="C331" s="4" t="s">
        <v>72</v>
      </c>
      <c r="D331" s="9" t="s">
        <v>8</v>
      </c>
      <c r="E331" s="10">
        <v>802</v>
      </c>
      <c r="F331" s="10"/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3">
        <f t="shared" si="92"/>
        <v>0</v>
      </c>
      <c r="W331" s="2"/>
    </row>
    <row r="332" spans="2:23" ht="15.75" customHeight="1" x14ac:dyDescent="0.25">
      <c r="B332" s="8">
        <v>7575</v>
      </c>
      <c r="C332" s="4" t="s">
        <v>72</v>
      </c>
      <c r="D332" s="9" t="s">
        <v>8</v>
      </c>
      <c r="E332" s="10">
        <v>803</v>
      </c>
      <c r="F332" s="10"/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3">
        <f t="shared" si="92"/>
        <v>0</v>
      </c>
      <c r="W332" s="2"/>
    </row>
    <row r="333" spans="2:23" ht="15.75" customHeight="1" x14ac:dyDescent="0.25">
      <c r="B333" s="8">
        <v>7575</v>
      </c>
      <c r="C333" s="4" t="s">
        <v>72</v>
      </c>
      <c r="D333" s="9" t="s">
        <v>8</v>
      </c>
      <c r="E333" s="10">
        <v>804</v>
      </c>
      <c r="F333" s="10"/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3">
        <f t="shared" si="92"/>
        <v>0</v>
      </c>
      <c r="W333" s="2"/>
    </row>
    <row r="334" spans="2:23" ht="15.75" customHeight="1" x14ac:dyDescent="0.25">
      <c r="B334" s="8">
        <v>7575</v>
      </c>
      <c r="C334" s="4" t="s">
        <v>72</v>
      </c>
      <c r="D334" s="9" t="s">
        <v>8</v>
      </c>
      <c r="E334" s="10">
        <v>805</v>
      </c>
      <c r="F334" s="10"/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3">
        <f t="shared" si="92"/>
        <v>0</v>
      </c>
      <c r="W334" s="2"/>
    </row>
    <row r="335" spans="2:23" ht="15.75" customHeight="1" x14ac:dyDescent="0.25">
      <c r="B335" s="8">
        <v>7575</v>
      </c>
      <c r="C335" s="4" t="s">
        <v>72</v>
      </c>
      <c r="D335" s="9" t="s">
        <v>8</v>
      </c>
      <c r="E335" s="10">
        <v>806</v>
      </c>
      <c r="F335" s="10"/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3">
        <f t="shared" si="92"/>
        <v>0</v>
      </c>
      <c r="W335" s="2"/>
    </row>
    <row r="336" spans="2:23" ht="15.75" customHeight="1" x14ac:dyDescent="0.25">
      <c r="B336" s="8">
        <v>7575</v>
      </c>
      <c r="C336" s="4" t="s">
        <v>72</v>
      </c>
      <c r="D336" s="9" t="s">
        <v>8</v>
      </c>
      <c r="E336" s="10">
        <v>807</v>
      </c>
      <c r="F336" s="10"/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3">
        <f t="shared" si="92"/>
        <v>0</v>
      </c>
      <c r="W336" s="2"/>
    </row>
    <row r="337" spans="2:23" ht="15.75" customHeight="1" x14ac:dyDescent="0.25">
      <c r="B337" s="8">
        <v>7575</v>
      </c>
      <c r="C337" s="4" t="s">
        <v>72</v>
      </c>
      <c r="D337" s="9" t="s">
        <v>8</v>
      </c>
      <c r="E337" s="10">
        <v>808</v>
      </c>
      <c r="F337" s="10"/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3">
        <f t="shared" si="92"/>
        <v>0</v>
      </c>
      <c r="W337" s="2"/>
    </row>
    <row r="338" spans="2:23" ht="15.75" customHeight="1" x14ac:dyDescent="0.25">
      <c r="B338" s="8">
        <v>7575</v>
      </c>
      <c r="C338" s="4" t="s">
        <v>72</v>
      </c>
      <c r="D338" s="9" t="s">
        <v>8</v>
      </c>
      <c r="E338" s="10">
        <v>809</v>
      </c>
      <c r="F338" s="10"/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3">
        <f t="shared" si="92"/>
        <v>0</v>
      </c>
      <c r="W338" s="2"/>
    </row>
    <row r="339" spans="2:23" ht="15.75" customHeight="1" x14ac:dyDescent="0.25">
      <c r="B339" s="8">
        <v>7575</v>
      </c>
      <c r="C339" s="4" t="s">
        <v>72</v>
      </c>
      <c r="D339" s="9" t="s">
        <v>8</v>
      </c>
      <c r="E339" s="10">
        <v>810</v>
      </c>
      <c r="F339" s="10"/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3">
        <f t="shared" si="92"/>
        <v>0</v>
      </c>
      <c r="W339" s="2"/>
    </row>
    <row r="340" spans="2:23" ht="15.75" customHeight="1" x14ac:dyDescent="0.25">
      <c r="B340" s="10"/>
      <c r="C340" s="15"/>
      <c r="D340" s="16"/>
      <c r="E340" s="10"/>
      <c r="F340" s="10"/>
      <c r="G340" s="18">
        <f t="shared" ref="G340:S340" si="94">SUM(G329:G339)</f>
        <v>372.75</v>
      </c>
      <c r="H340" s="18">
        <f t="shared" si="94"/>
        <v>372.75</v>
      </c>
      <c r="I340" s="18">
        <f t="shared" si="94"/>
        <v>372.75</v>
      </c>
      <c r="J340" s="18">
        <f t="shared" si="94"/>
        <v>372.75</v>
      </c>
      <c r="K340" s="18">
        <f t="shared" si="94"/>
        <v>372.75</v>
      </c>
      <c r="L340" s="18">
        <f t="shared" si="94"/>
        <v>372.75</v>
      </c>
      <c r="M340" s="18">
        <f t="shared" si="94"/>
        <v>372.75</v>
      </c>
      <c r="N340" s="18">
        <f t="shared" si="94"/>
        <v>372.75</v>
      </c>
      <c r="O340" s="18">
        <f t="shared" si="94"/>
        <v>372.75</v>
      </c>
      <c r="P340" s="18">
        <f t="shared" si="94"/>
        <v>372.75</v>
      </c>
      <c r="Q340" s="18">
        <f t="shared" si="94"/>
        <v>372.75</v>
      </c>
      <c r="R340" s="18">
        <f t="shared" si="94"/>
        <v>372.75</v>
      </c>
      <c r="S340" s="19">
        <f t="shared" si="94"/>
        <v>4473</v>
      </c>
      <c r="W340" s="2"/>
    </row>
    <row r="341" spans="2:23" ht="15.75" customHeight="1" x14ac:dyDescent="0.25">
      <c r="B341" s="10"/>
      <c r="C341" s="15"/>
      <c r="D341" s="16"/>
      <c r="E341" s="10"/>
      <c r="F341" s="10"/>
      <c r="G341" s="20"/>
      <c r="H341" s="20"/>
      <c r="I341" s="20"/>
      <c r="J341" s="20"/>
      <c r="K341" s="15"/>
      <c r="L341" s="1"/>
      <c r="M341" s="21"/>
      <c r="W341" s="2"/>
    </row>
    <row r="342" spans="2:23" ht="15.75" customHeight="1" x14ac:dyDescent="0.25">
      <c r="B342" s="10"/>
      <c r="C342" s="15"/>
      <c r="D342" s="16"/>
      <c r="E342" s="10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W342" s="2"/>
    </row>
    <row r="343" spans="2:23" ht="15.75" customHeight="1" x14ac:dyDescent="0.25">
      <c r="B343" s="10"/>
      <c r="C343" s="15"/>
      <c r="D343" s="16"/>
      <c r="E343" s="10"/>
      <c r="F343" s="4">
        <v>2024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f t="shared" ref="S343:S344" si="95">SUM(G343:R343)</f>
        <v>0</v>
      </c>
      <c r="W343" s="2"/>
    </row>
    <row r="344" spans="2:23" ht="15.75" customHeight="1" x14ac:dyDescent="0.25">
      <c r="B344" s="10"/>
      <c r="C344" s="15"/>
      <c r="D344" s="16"/>
      <c r="E344" s="10"/>
      <c r="F344" s="4">
        <v>2025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f t="shared" si="95"/>
        <v>0</v>
      </c>
      <c r="W344" s="2"/>
    </row>
    <row r="345" spans="2:23" ht="15.75" customHeight="1" x14ac:dyDescent="0.25">
      <c r="B345" s="10"/>
      <c r="C345" s="15"/>
      <c r="D345" s="16"/>
      <c r="E345" s="10"/>
      <c r="F345" s="10"/>
      <c r="G345" s="20"/>
      <c r="H345" s="20"/>
      <c r="I345" s="20"/>
      <c r="J345" s="20"/>
      <c r="K345" s="15"/>
      <c r="L345" s="1"/>
      <c r="M345" s="21"/>
      <c r="W345" s="2"/>
    </row>
    <row r="346" spans="2:23" ht="15.75" customHeight="1" x14ac:dyDescent="0.25">
      <c r="B346" s="10"/>
      <c r="C346" s="15"/>
      <c r="D346" s="16"/>
      <c r="E346" s="10"/>
      <c r="F346" s="10"/>
      <c r="G346" s="20"/>
      <c r="H346" s="20"/>
      <c r="I346" s="20"/>
      <c r="J346" s="20"/>
      <c r="K346" s="15"/>
      <c r="L346" s="1"/>
      <c r="M346" s="21"/>
      <c r="W346" s="2"/>
    </row>
    <row r="347" spans="2:23" ht="15.75" customHeight="1" x14ac:dyDescent="0.25">
      <c r="B347" s="10"/>
      <c r="C347" s="15"/>
      <c r="D347" s="16"/>
      <c r="E347" s="10"/>
      <c r="F347" s="10"/>
      <c r="G347" s="7">
        <v>46023</v>
      </c>
      <c r="H347" s="7">
        <v>46054</v>
      </c>
      <c r="I347" s="7">
        <v>46082</v>
      </c>
      <c r="J347" s="7">
        <v>46113</v>
      </c>
      <c r="K347" s="7">
        <v>46143</v>
      </c>
      <c r="L347" s="7">
        <v>46174</v>
      </c>
      <c r="M347" s="7">
        <v>46204</v>
      </c>
      <c r="N347" s="7">
        <v>46235</v>
      </c>
      <c r="O347" s="7">
        <v>46266</v>
      </c>
      <c r="P347" s="7">
        <v>46296</v>
      </c>
      <c r="Q347" s="7">
        <v>46327</v>
      </c>
      <c r="R347" s="7">
        <v>46357</v>
      </c>
      <c r="S347" s="7" t="s">
        <v>6</v>
      </c>
      <c r="W347" s="2"/>
    </row>
    <row r="348" spans="2:23" ht="15.75" customHeight="1" x14ac:dyDescent="0.25">
      <c r="B348" s="8">
        <v>7580</v>
      </c>
      <c r="C348" s="4" t="s">
        <v>74</v>
      </c>
      <c r="D348" s="9" t="s">
        <v>8</v>
      </c>
      <c r="E348" s="10">
        <v>800</v>
      </c>
      <c r="F348" s="4" t="s">
        <v>75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3">
        <f t="shared" ref="S348:S358" si="96">SUM(G348:R348)</f>
        <v>0</v>
      </c>
      <c r="W348" s="2"/>
    </row>
    <row r="349" spans="2:23" ht="15.75" customHeight="1" x14ac:dyDescent="0.25">
      <c r="B349" s="8">
        <v>7580</v>
      </c>
      <c r="C349" s="4" t="s">
        <v>74</v>
      </c>
      <c r="D349" s="9" t="s">
        <v>8</v>
      </c>
      <c r="E349" s="10">
        <v>801</v>
      </c>
      <c r="F349" s="10"/>
      <c r="G349" s="23"/>
      <c r="H349" s="23"/>
      <c r="I349" s="23"/>
      <c r="J349" s="24"/>
      <c r="K349" s="25"/>
      <c r="L349" s="26"/>
      <c r="M349" s="27"/>
      <c r="N349" s="27"/>
      <c r="O349" s="27"/>
      <c r="P349" s="27"/>
      <c r="Q349" s="27"/>
      <c r="R349" s="27"/>
      <c r="S349" s="13">
        <f t="shared" si="96"/>
        <v>0</v>
      </c>
      <c r="W349" s="2"/>
    </row>
    <row r="350" spans="2:23" ht="15.75" customHeight="1" x14ac:dyDescent="0.25">
      <c r="B350" s="8">
        <v>7580</v>
      </c>
      <c r="C350" s="4" t="s">
        <v>74</v>
      </c>
      <c r="D350" s="9" t="s">
        <v>8</v>
      </c>
      <c r="E350" s="10">
        <v>802</v>
      </c>
      <c r="F350" s="10"/>
      <c r="G350" s="23"/>
      <c r="H350" s="23"/>
      <c r="I350" s="23"/>
      <c r="J350" s="24"/>
      <c r="K350" s="25"/>
      <c r="L350" s="26"/>
      <c r="M350" s="27"/>
      <c r="N350" s="27"/>
      <c r="O350" s="27"/>
      <c r="P350" s="27"/>
      <c r="Q350" s="27"/>
      <c r="R350" s="27"/>
      <c r="S350" s="13">
        <f t="shared" si="96"/>
        <v>0</v>
      </c>
      <c r="W350" s="2"/>
    </row>
    <row r="351" spans="2:23" ht="15.75" customHeight="1" x14ac:dyDescent="0.25">
      <c r="B351" s="8">
        <v>7580</v>
      </c>
      <c r="C351" s="4" t="s">
        <v>74</v>
      </c>
      <c r="D351" s="9" t="s">
        <v>8</v>
      </c>
      <c r="E351" s="10">
        <v>803</v>
      </c>
      <c r="F351" s="10"/>
      <c r="G351" s="23"/>
      <c r="H351" s="23"/>
      <c r="I351" s="23"/>
      <c r="J351" s="24"/>
      <c r="K351" s="25"/>
      <c r="L351" s="26"/>
      <c r="M351" s="27"/>
      <c r="N351" s="27"/>
      <c r="O351" s="27"/>
      <c r="P351" s="27"/>
      <c r="Q351" s="27"/>
      <c r="R351" s="27"/>
      <c r="S351" s="13">
        <f t="shared" si="96"/>
        <v>0</v>
      </c>
      <c r="W351" s="2"/>
    </row>
    <row r="352" spans="2:23" ht="15.75" customHeight="1" x14ac:dyDescent="0.25">
      <c r="B352" s="8">
        <v>7580</v>
      </c>
      <c r="C352" s="4" t="s">
        <v>74</v>
      </c>
      <c r="D352" s="9" t="s">
        <v>8</v>
      </c>
      <c r="E352" s="10">
        <v>804</v>
      </c>
      <c r="F352" s="10"/>
      <c r="G352" s="23"/>
      <c r="H352" s="23"/>
      <c r="I352" s="23"/>
      <c r="J352" s="24"/>
      <c r="K352" s="25"/>
      <c r="L352" s="26"/>
      <c r="M352" s="27"/>
      <c r="N352" s="27"/>
      <c r="O352" s="27"/>
      <c r="P352" s="27"/>
      <c r="Q352" s="27"/>
      <c r="R352" s="27"/>
      <c r="S352" s="13">
        <f t="shared" si="96"/>
        <v>0</v>
      </c>
      <c r="W352" s="2"/>
    </row>
    <row r="353" spans="1:34" ht="15.75" customHeight="1" x14ac:dyDescent="0.25">
      <c r="B353" s="8">
        <v>7580</v>
      </c>
      <c r="C353" s="4" t="s">
        <v>74</v>
      </c>
      <c r="D353" s="9" t="s">
        <v>8</v>
      </c>
      <c r="E353" s="10">
        <v>805</v>
      </c>
      <c r="F353" s="10"/>
      <c r="G353" s="23"/>
      <c r="H353" s="23"/>
      <c r="I353" s="23"/>
      <c r="J353" s="24"/>
      <c r="K353" s="25"/>
      <c r="L353" s="26"/>
      <c r="M353" s="27"/>
      <c r="N353" s="27"/>
      <c r="O353" s="27"/>
      <c r="P353" s="27"/>
      <c r="Q353" s="27"/>
      <c r="R353" s="27"/>
      <c r="S353" s="13">
        <f t="shared" si="96"/>
        <v>0</v>
      </c>
      <c r="W353" s="2"/>
    </row>
    <row r="354" spans="1:34" ht="15.75" customHeight="1" x14ac:dyDescent="0.25">
      <c r="B354" s="8">
        <v>7580</v>
      </c>
      <c r="C354" s="4" t="s">
        <v>74</v>
      </c>
      <c r="D354" s="9" t="s">
        <v>8</v>
      </c>
      <c r="E354" s="10">
        <v>806</v>
      </c>
      <c r="F354" s="10"/>
      <c r="G354" s="23"/>
      <c r="H354" s="23"/>
      <c r="I354" s="23"/>
      <c r="J354" s="24"/>
      <c r="K354" s="25"/>
      <c r="L354" s="26"/>
      <c r="M354" s="27"/>
      <c r="N354" s="27"/>
      <c r="O354" s="27"/>
      <c r="P354" s="27"/>
      <c r="Q354" s="27"/>
      <c r="R354" s="27"/>
      <c r="S354" s="13">
        <f t="shared" si="96"/>
        <v>0</v>
      </c>
      <c r="W354" s="2"/>
    </row>
    <row r="355" spans="1:34" ht="15.75" customHeight="1" x14ac:dyDescent="0.25">
      <c r="B355" s="8">
        <v>7580</v>
      </c>
      <c r="C355" s="4" t="s">
        <v>74</v>
      </c>
      <c r="D355" s="9" t="s">
        <v>8</v>
      </c>
      <c r="E355" s="10">
        <v>807</v>
      </c>
      <c r="F355" s="10"/>
      <c r="G355" s="23"/>
      <c r="H355" s="23"/>
      <c r="I355" s="23"/>
      <c r="J355" s="24"/>
      <c r="K355" s="25"/>
      <c r="L355" s="26"/>
      <c r="M355" s="27"/>
      <c r="N355" s="27"/>
      <c r="O355" s="27"/>
      <c r="P355" s="27"/>
      <c r="Q355" s="27"/>
      <c r="R355" s="27"/>
      <c r="S355" s="13">
        <f t="shared" si="96"/>
        <v>0</v>
      </c>
      <c r="W355" s="2"/>
    </row>
    <row r="356" spans="1:34" ht="15.75" customHeight="1" x14ac:dyDescent="0.25">
      <c r="B356" s="8">
        <v>7580</v>
      </c>
      <c r="C356" s="4" t="s">
        <v>74</v>
      </c>
      <c r="D356" s="9" t="s">
        <v>8</v>
      </c>
      <c r="E356" s="10">
        <v>808</v>
      </c>
      <c r="F356" s="10"/>
      <c r="G356" s="23"/>
      <c r="H356" s="23"/>
      <c r="I356" s="23"/>
      <c r="J356" s="24"/>
      <c r="K356" s="25"/>
      <c r="L356" s="26"/>
      <c r="M356" s="27"/>
      <c r="N356" s="27"/>
      <c r="O356" s="27"/>
      <c r="P356" s="27"/>
      <c r="Q356" s="27"/>
      <c r="R356" s="27"/>
      <c r="S356" s="13">
        <f t="shared" si="96"/>
        <v>0</v>
      </c>
      <c r="W356" s="2"/>
    </row>
    <row r="357" spans="1:34" ht="15.75" customHeight="1" x14ac:dyDescent="0.25">
      <c r="B357" s="8">
        <v>7580</v>
      </c>
      <c r="C357" s="4" t="s">
        <v>74</v>
      </c>
      <c r="D357" s="9" t="s">
        <v>8</v>
      </c>
      <c r="E357" s="10">
        <v>809</v>
      </c>
      <c r="F357" s="10"/>
      <c r="G357" s="23"/>
      <c r="H357" s="23"/>
      <c r="I357" s="23"/>
      <c r="J357" s="24"/>
      <c r="K357" s="25"/>
      <c r="L357" s="26"/>
      <c r="M357" s="27"/>
      <c r="N357" s="27"/>
      <c r="O357" s="27"/>
      <c r="P357" s="27"/>
      <c r="Q357" s="27"/>
      <c r="R357" s="27"/>
      <c r="S357" s="13">
        <f t="shared" si="96"/>
        <v>0</v>
      </c>
      <c r="W357" s="2"/>
    </row>
    <row r="358" spans="1:34" ht="15.75" customHeight="1" x14ac:dyDescent="0.25">
      <c r="B358" s="8">
        <v>7580</v>
      </c>
      <c r="C358" s="4" t="s">
        <v>74</v>
      </c>
      <c r="D358" s="9" t="s">
        <v>8</v>
      </c>
      <c r="E358" s="10">
        <v>810</v>
      </c>
      <c r="F358" s="10"/>
      <c r="G358" s="28"/>
      <c r="H358" s="28"/>
      <c r="I358" s="28"/>
      <c r="J358" s="29"/>
      <c r="K358" s="30"/>
      <c r="L358" s="31"/>
      <c r="M358" s="32"/>
      <c r="N358" s="32"/>
      <c r="O358" s="32"/>
      <c r="P358" s="32"/>
      <c r="Q358" s="32"/>
      <c r="R358" s="32"/>
      <c r="S358" s="13">
        <f t="shared" si="96"/>
        <v>0</v>
      </c>
      <c r="W358" s="2"/>
    </row>
    <row r="359" spans="1:34" ht="15.75" customHeight="1" x14ac:dyDescent="0.25">
      <c r="B359" s="10"/>
      <c r="C359" s="15"/>
      <c r="D359" s="16"/>
      <c r="E359" s="10"/>
      <c r="F359" s="10"/>
      <c r="G359" s="18">
        <f t="shared" ref="G359:S359" si="97">SUM(G348:G358)</f>
        <v>0</v>
      </c>
      <c r="H359" s="18">
        <f t="shared" si="97"/>
        <v>0</v>
      </c>
      <c r="I359" s="18">
        <f t="shared" si="97"/>
        <v>0</v>
      </c>
      <c r="J359" s="18">
        <f t="shared" si="97"/>
        <v>0</v>
      </c>
      <c r="K359" s="18">
        <f t="shared" si="97"/>
        <v>0</v>
      </c>
      <c r="L359" s="18">
        <f t="shared" si="97"/>
        <v>0</v>
      </c>
      <c r="M359" s="18">
        <f t="shared" si="97"/>
        <v>0</v>
      </c>
      <c r="N359" s="18">
        <f t="shared" si="97"/>
        <v>0</v>
      </c>
      <c r="O359" s="18">
        <f t="shared" si="97"/>
        <v>0</v>
      </c>
      <c r="P359" s="18">
        <f t="shared" si="97"/>
        <v>0</v>
      </c>
      <c r="Q359" s="18">
        <f t="shared" si="97"/>
        <v>0</v>
      </c>
      <c r="R359" s="18">
        <f t="shared" si="97"/>
        <v>0</v>
      </c>
      <c r="S359" s="19">
        <f t="shared" si="97"/>
        <v>0</v>
      </c>
      <c r="W359" s="2"/>
    </row>
    <row r="360" spans="1:34" ht="15.75" customHeight="1" x14ac:dyDescent="0.25">
      <c r="A360" s="38"/>
      <c r="B360" s="39"/>
      <c r="C360" s="40"/>
      <c r="D360" s="16"/>
      <c r="E360" s="39"/>
      <c r="F360" s="39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38"/>
      <c r="U360" s="38"/>
      <c r="V360" s="38"/>
      <c r="W360" s="2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</row>
    <row r="361" spans="1:34" ht="15.75" customHeight="1" x14ac:dyDescent="0.25">
      <c r="A361" s="38"/>
      <c r="B361" s="39"/>
      <c r="C361" s="40"/>
      <c r="D361" s="16"/>
      <c r="E361" s="39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8"/>
      <c r="U361" s="38"/>
      <c r="V361" s="38"/>
      <c r="W361" s="2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</row>
    <row r="362" spans="1:34" ht="15.75" customHeight="1" x14ac:dyDescent="0.25">
      <c r="A362" s="38"/>
      <c r="B362" s="39"/>
      <c r="C362" s="40"/>
      <c r="D362" s="16"/>
      <c r="E362" s="39"/>
      <c r="F362" s="4">
        <v>2024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f t="shared" ref="S362:S363" si="98">SUM(G362:R362)</f>
        <v>0</v>
      </c>
      <c r="T362" s="38"/>
      <c r="U362" s="38"/>
      <c r="V362" s="38"/>
      <c r="W362" s="2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</row>
    <row r="363" spans="1:34" ht="15.75" customHeight="1" x14ac:dyDescent="0.25">
      <c r="A363" s="38"/>
      <c r="B363" s="39"/>
      <c r="C363" s="40"/>
      <c r="D363" s="16"/>
      <c r="E363" s="39"/>
      <c r="F363" s="4">
        <v>2025</v>
      </c>
      <c r="G363" s="43">
        <v>369.33380331335917</v>
      </c>
      <c r="H363" s="43">
        <v>0</v>
      </c>
      <c r="I363" s="43">
        <v>0</v>
      </c>
      <c r="J363" s="43">
        <v>561.80753937007876</v>
      </c>
      <c r="K363" s="43">
        <v>295.01996313291761</v>
      </c>
      <c r="L363" s="43">
        <v>0</v>
      </c>
      <c r="M363" s="43">
        <v>18.278823645126387</v>
      </c>
      <c r="N363" s="43">
        <v>253.71338242513502</v>
      </c>
      <c r="O363" s="43">
        <v>0</v>
      </c>
      <c r="P363" s="43">
        <v>0</v>
      </c>
      <c r="Q363" s="43">
        <v>0</v>
      </c>
      <c r="R363" s="43">
        <v>0</v>
      </c>
      <c r="S363" s="3">
        <f t="shared" si="98"/>
        <v>1498.1535118866168</v>
      </c>
      <c r="T363" s="38"/>
      <c r="U363" s="38"/>
      <c r="V363" s="38"/>
      <c r="W363" s="2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</row>
    <row r="364" spans="1:34" ht="15.75" customHeight="1" x14ac:dyDescent="0.25">
      <c r="A364" s="38"/>
      <c r="B364" s="39"/>
      <c r="C364" s="40"/>
      <c r="D364" s="16"/>
      <c r="E364" s="39"/>
      <c r="F364" s="39"/>
      <c r="G364" s="20"/>
      <c r="H364" s="20"/>
      <c r="I364" s="20"/>
      <c r="J364" s="20"/>
      <c r="K364" s="40"/>
      <c r="L364" s="1"/>
      <c r="M364" s="42"/>
      <c r="N364" s="38"/>
      <c r="O364" s="38"/>
      <c r="P364" s="38"/>
      <c r="Q364" s="38"/>
      <c r="R364" s="38"/>
      <c r="S364" s="38"/>
      <c r="T364" s="38"/>
      <c r="U364" s="38"/>
      <c r="V364" s="38"/>
      <c r="W364" s="2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</row>
    <row r="365" spans="1:34" ht="15.75" customHeight="1" x14ac:dyDescent="0.25">
      <c r="B365" s="10"/>
      <c r="C365" s="15"/>
      <c r="D365" s="16"/>
      <c r="E365" s="10"/>
      <c r="F365" s="10"/>
      <c r="G365" s="20"/>
      <c r="H365" s="20"/>
      <c r="I365" s="20"/>
      <c r="J365" s="20"/>
      <c r="K365" s="15"/>
      <c r="L365" s="1"/>
      <c r="M365" s="21"/>
      <c r="W365" s="2"/>
    </row>
    <row r="366" spans="1:34" ht="15.75" customHeight="1" x14ac:dyDescent="0.25">
      <c r="B366" s="10"/>
      <c r="C366" s="15"/>
      <c r="D366" s="16"/>
      <c r="E366" s="10"/>
      <c r="F366" s="10"/>
      <c r="G366" s="7">
        <v>46023</v>
      </c>
      <c r="H366" s="7">
        <v>46054</v>
      </c>
      <c r="I366" s="7">
        <v>46082</v>
      </c>
      <c r="J366" s="7">
        <v>46113</v>
      </c>
      <c r="K366" s="7">
        <v>46143</v>
      </c>
      <c r="L366" s="7">
        <v>46174</v>
      </c>
      <c r="M366" s="7">
        <v>46204</v>
      </c>
      <c r="N366" s="7">
        <v>46235</v>
      </c>
      <c r="O366" s="7">
        <v>46266</v>
      </c>
      <c r="P366" s="7">
        <v>46296</v>
      </c>
      <c r="Q366" s="7">
        <v>46327</v>
      </c>
      <c r="R366" s="7">
        <v>46357</v>
      </c>
      <c r="S366" s="7" t="s">
        <v>6</v>
      </c>
      <c r="W366" s="2"/>
    </row>
    <row r="367" spans="1:34" ht="15.75" customHeight="1" x14ac:dyDescent="0.25">
      <c r="B367" s="8">
        <v>7585</v>
      </c>
      <c r="C367" s="4" t="s">
        <v>76</v>
      </c>
      <c r="D367" s="9" t="s">
        <v>8</v>
      </c>
      <c r="E367" s="10">
        <v>800</v>
      </c>
      <c r="F367" s="45" t="s">
        <v>77</v>
      </c>
      <c r="G367" s="14">
        <v>0</v>
      </c>
      <c r="H367" s="14">
        <v>0</v>
      </c>
      <c r="I367" s="14">
        <v>0</v>
      </c>
      <c r="J367" s="36">
        <v>20</v>
      </c>
      <c r="K367" s="14">
        <v>0</v>
      </c>
      <c r="L367" s="14">
        <v>0</v>
      </c>
      <c r="M367" s="14">
        <v>0</v>
      </c>
      <c r="N367" s="36">
        <v>20</v>
      </c>
      <c r="O367" s="14">
        <v>0</v>
      </c>
      <c r="P367" s="14">
        <v>0</v>
      </c>
      <c r="Q367" s="36">
        <v>20</v>
      </c>
      <c r="R367" s="14">
        <v>0</v>
      </c>
      <c r="S367" s="13">
        <f t="shared" ref="S367:S377" si="99">SUM(G367:R367)</f>
        <v>60</v>
      </c>
      <c r="W367" s="2"/>
    </row>
    <row r="368" spans="1:34" ht="15.75" customHeight="1" x14ac:dyDescent="0.25">
      <c r="B368" s="8">
        <v>7585</v>
      </c>
      <c r="C368" s="4" t="s">
        <v>76</v>
      </c>
      <c r="D368" s="9" t="s">
        <v>8</v>
      </c>
      <c r="E368" s="10">
        <v>801</v>
      </c>
      <c r="F368" s="45" t="s">
        <v>78</v>
      </c>
      <c r="G368" s="14">
        <v>0</v>
      </c>
      <c r="H368" s="14">
        <v>0</v>
      </c>
      <c r="I368" s="14">
        <v>0</v>
      </c>
      <c r="J368" s="36">
        <v>105</v>
      </c>
      <c r="K368" s="14">
        <v>0</v>
      </c>
      <c r="L368" s="14">
        <v>0</v>
      </c>
      <c r="M368" s="14">
        <v>0</v>
      </c>
      <c r="N368" s="36">
        <v>105</v>
      </c>
      <c r="O368" s="14">
        <v>0</v>
      </c>
      <c r="P368" s="14">
        <v>0</v>
      </c>
      <c r="Q368" s="36">
        <v>105</v>
      </c>
      <c r="R368" s="14">
        <v>0</v>
      </c>
      <c r="S368" s="13">
        <f t="shared" si="99"/>
        <v>315</v>
      </c>
      <c r="W368" s="2"/>
    </row>
    <row r="369" spans="2:23" ht="15.75" customHeight="1" x14ac:dyDescent="0.25">
      <c r="B369" s="8">
        <v>7585</v>
      </c>
      <c r="C369" s="4" t="s">
        <v>76</v>
      </c>
      <c r="D369" s="9" t="s">
        <v>8</v>
      </c>
      <c r="E369" s="10">
        <v>802</v>
      </c>
      <c r="F369" s="4" t="s">
        <v>79</v>
      </c>
      <c r="G369" s="14">
        <v>0</v>
      </c>
      <c r="H369" s="14">
        <v>0</v>
      </c>
      <c r="I369" s="14">
        <v>0</v>
      </c>
      <c r="J369" s="36">
        <v>20</v>
      </c>
      <c r="K369" s="14">
        <v>0</v>
      </c>
      <c r="L369" s="14">
        <v>0</v>
      </c>
      <c r="M369" s="14">
        <v>0</v>
      </c>
      <c r="N369" s="36">
        <v>20</v>
      </c>
      <c r="O369" s="14">
        <v>0</v>
      </c>
      <c r="P369" s="14">
        <v>0</v>
      </c>
      <c r="Q369" s="36">
        <v>20</v>
      </c>
      <c r="R369" s="14">
        <v>0</v>
      </c>
      <c r="S369" s="13">
        <f t="shared" si="99"/>
        <v>60</v>
      </c>
      <c r="W369" s="2"/>
    </row>
    <row r="370" spans="2:23" ht="15.75" customHeight="1" x14ac:dyDescent="0.25">
      <c r="B370" s="8">
        <v>7585</v>
      </c>
      <c r="C370" s="4" t="s">
        <v>76</v>
      </c>
      <c r="D370" s="9" t="s">
        <v>8</v>
      </c>
      <c r="E370" s="10">
        <v>803</v>
      </c>
      <c r="F370" s="45" t="s">
        <v>80</v>
      </c>
      <c r="G370" s="14">
        <v>0</v>
      </c>
      <c r="H370" s="14">
        <v>0</v>
      </c>
      <c r="I370" s="14">
        <v>0</v>
      </c>
      <c r="J370" s="36">
        <v>140</v>
      </c>
      <c r="K370" s="14">
        <v>0</v>
      </c>
      <c r="L370" s="14">
        <v>0</v>
      </c>
      <c r="M370" s="14">
        <v>0</v>
      </c>
      <c r="N370" s="36">
        <v>140</v>
      </c>
      <c r="O370" s="14">
        <v>0</v>
      </c>
      <c r="P370" s="14">
        <v>0</v>
      </c>
      <c r="Q370" s="36">
        <v>140</v>
      </c>
      <c r="R370" s="14">
        <v>0</v>
      </c>
      <c r="S370" s="13">
        <f t="shared" si="99"/>
        <v>420</v>
      </c>
      <c r="W370" s="2"/>
    </row>
    <row r="371" spans="2:23" ht="15.75" customHeight="1" x14ac:dyDescent="0.25">
      <c r="B371" s="8">
        <v>7585</v>
      </c>
      <c r="C371" s="4" t="s">
        <v>76</v>
      </c>
      <c r="D371" s="9" t="s">
        <v>8</v>
      </c>
      <c r="E371" s="10">
        <v>804</v>
      </c>
      <c r="F371" s="45" t="s">
        <v>81</v>
      </c>
      <c r="G371" s="14">
        <v>0</v>
      </c>
      <c r="H371" s="14">
        <v>0</v>
      </c>
      <c r="I371" s="14">
        <v>0</v>
      </c>
      <c r="J371" s="36">
        <v>412</v>
      </c>
      <c r="K371" s="14">
        <v>0</v>
      </c>
      <c r="L371" s="14">
        <v>0</v>
      </c>
      <c r="M371" s="14">
        <v>0</v>
      </c>
      <c r="N371" s="36">
        <v>412</v>
      </c>
      <c r="O371" s="14">
        <v>0</v>
      </c>
      <c r="P371" s="14">
        <v>0</v>
      </c>
      <c r="Q371" s="36">
        <v>412</v>
      </c>
      <c r="R371" s="14">
        <v>0</v>
      </c>
      <c r="S371" s="13">
        <f t="shared" si="99"/>
        <v>1236</v>
      </c>
      <c r="W371" s="2"/>
    </row>
    <row r="372" spans="2:23" ht="15.75" customHeight="1" x14ac:dyDescent="0.25">
      <c r="B372" s="8">
        <v>7585</v>
      </c>
      <c r="C372" s="4" t="s">
        <v>76</v>
      </c>
      <c r="D372" s="9" t="s">
        <v>8</v>
      </c>
      <c r="E372" s="10">
        <v>805</v>
      </c>
      <c r="F372" s="11" t="s">
        <v>82</v>
      </c>
      <c r="G372" s="14">
        <v>0</v>
      </c>
      <c r="H372" s="14">
        <v>0</v>
      </c>
      <c r="I372" s="14">
        <v>0</v>
      </c>
      <c r="J372" s="36">
        <v>52</v>
      </c>
      <c r="K372" s="14">
        <v>0</v>
      </c>
      <c r="L372" s="14">
        <v>0</v>
      </c>
      <c r="M372" s="14">
        <v>0</v>
      </c>
      <c r="N372" s="36">
        <v>52</v>
      </c>
      <c r="O372" s="14">
        <v>0</v>
      </c>
      <c r="P372" s="14">
        <v>0</v>
      </c>
      <c r="Q372" s="36">
        <v>52</v>
      </c>
      <c r="R372" s="14">
        <v>0</v>
      </c>
      <c r="S372" s="13">
        <f t="shared" si="99"/>
        <v>156</v>
      </c>
      <c r="W372" s="2"/>
    </row>
    <row r="373" spans="2:23" ht="15.75" customHeight="1" x14ac:dyDescent="0.25">
      <c r="B373" s="8">
        <v>7585</v>
      </c>
      <c r="C373" s="4" t="s">
        <v>76</v>
      </c>
      <c r="D373" s="9" t="s">
        <v>8</v>
      </c>
      <c r="E373" s="10">
        <v>806</v>
      </c>
      <c r="F373" s="11" t="s">
        <v>83</v>
      </c>
      <c r="G373" s="14">
        <v>0</v>
      </c>
      <c r="H373" s="14">
        <v>0</v>
      </c>
      <c r="I373" s="14">
        <v>0</v>
      </c>
      <c r="J373" s="36">
        <v>210</v>
      </c>
      <c r="K373" s="14">
        <v>0</v>
      </c>
      <c r="L373" s="14">
        <v>0</v>
      </c>
      <c r="M373" s="14">
        <v>0</v>
      </c>
      <c r="N373" s="36">
        <v>210</v>
      </c>
      <c r="O373" s="14">
        <v>0</v>
      </c>
      <c r="P373" s="14">
        <v>0</v>
      </c>
      <c r="Q373" s="36">
        <v>210</v>
      </c>
      <c r="R373" s="14">
        <v>0</v>
      </c>
      <c r="S373" s="13">
        <f t="shared" si="99"/>
        <v>630</v>
      </c>
      <c r="W373" s="2"/>
    </row>
    <row r="374" spans="2:23" ht="15.75" customHeight="1" x14ac:dyDescent="0.25">
      <c r="B374" s="8">
        <v>7585</v>
      </c>
      <c r="C374" s="4" t="s">
        <v>76</v>
      </c>
      <c r="D374" s="9" t="s">
        <v>8</v>
      </c>
      <c r="E374" s="10">
        <v>807</v>
      </c>
      <c r="F374" s="11" t="s">
        <v>84</v>
      </c>
      <c r="G374" s="14">
        <v>0</v>
      </c>
      <c r="H374" s="14">
        <v>0</v>
      </c>
      <c r="I374" s="14">
        <v>0</v>
      </c>
      <c r="J374" s="36">
        <v>250</v>
      </c>
      <c r="K374" s="14">
        <v>0</v>
      </c>
      <c r="L374" s="14">
        <v>0</v>
      </c>
      <c r="M374" s="14">
        <v>0</v>
      </c>
      <c r="N374" s="36">
        <v>250</v>
      </c>
      <c r="O374" s="14">
        <v>0</v>
      </c>
      <c r="P374" s="14">
        <v>0</v>
      </c>
      <c r="Q374" s="36">
        <v>250</v>
      </c>
      <c r="R374" s="14">
        <v>0</v>
      </c>
      <c r="S374" s="13">
        <f t="shared" si="99"/>
        <v>750</v>
      </c>
      <c r="W374" s="2"/>
    </row>
    <row r="375" spans="2:23" ht="15.75" customHeight="1" x14ac:dyDescent="0.25">
      <c r="B375" s="8">
        <v>7585</v>
      </c>
      <c r="C375" s="4" t="s">
        <v>76</v>
      </c>
      <c r="D375" s="9" t="s">
        <v>8</v>
      </c>
      <c r="E375" s="10">
        <v>808</v>
      </c>
      <c r="F375" s="45" t="s">
        <v>85</v>
      </c>
      <c r="G375" s="14">
        <v>0</v>
      </c>
      <c r="H375" s="14">
        <v>0</v>
      </c>
      <c r="I375" s="14">
        <v>0</v>
      </c>
      <c r="J375" s="36">
        <v>50</v>
      </c>
      <c r="K375" s="14">
        <v>0</v>
      </c>
      <c r="L375" s="14">
        <v>0</v>
      </c>
      <c r="M375" s="14">
        <v>0</v>
      </c>
      <c r="N375" s="36">
        <v>50</v>
      </c>
      <c r="O375" s="14">
        <v>0</v>
      </c>
      <c r="P375" s="14">
        <v>0</v>
      </c>
      <c r="Q375" s="36">
        <v>50</v>
      </c>
      <c r="R375" s="14">
        <v>0</v>
      </c>
      <c r="S375" s="13">
        <f t="shared" si="99"/>
        <v>150</v>
      </c>
      <c r="W375" s="2"/>
    </row>
    <row r="376" spans="2:23" ht="15.75" customHeight="1" x14ac:dyDescent="0.25">
      <c r="B376" s="8">
        <v>7585</v>
      </c>
      <c r="C376" s="4" t="s">
        <v>76</v>
      </c>
      <c r="D376" s="9" t="s">
        <v>8</v>
      </c>
      <c r="E376" s="10">
        <v>809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3">
        <f t="shared" si="99"/>
        <v>0</v>
      </c>
      <c r="W376" s="2"/>
    </row>
    <row r="377" spans="2:23" ht="15.75" customHeight="1" x14ac:dyDescent="0.25">
      <c r="B377" s="8">
        <v>7585</v>
      </c>
      <c r="C377" s="4" t="s">
        <v>76</v>
      </c>
      <c r="D377" s="9" t="s">
        <v>8</v>
      </c>
      <c r="E377" s="10">
        <v>810</v>
      </c>
      <c r="F377" s="11"/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3">
        <f t="shared" si="99"/>
        <v>0</v>
      </c>
      <c r="W377" s="2"/>
    </row>
    <row r="378" spans="2:23" ht="15.75" customHeight="1" x14ac:dyDescent="0.25">
      <c r="B378" s="10"/>
      <c r="C378" s="15"/>
      <c r="D378" s="16"/>
      <c r="E378" s="10"/>
      <c r="F378" s="10"/>
      <c r="G378" s="18">
        <f t="shared" ref="G378:S378" si="100">SUM(G367:G377)</f>
        <v>0</v>
      </c>
      <c r="H378" s="18">
        <f t="shared" si="100"/>
        <v>0</v>
      </c>
      <c r="I378" s="18">
        <f t="shared" si="100"/>
        <v>0</v>
      </c>
      <c r="J378" s="18">
        <f t="shared" si="100"/>
        <v>1259</v>
      </c>
      <c r="K378" s="18">
        <f t="shared" si="100"/>
        <v>0</v>
      </c>
      <c r="L378" s="18">
        <f t="shared" si="100"/>
        <v>0</v>
      </c>
      <c r="M378" s="18">
        <f t="shared" si="100"/>
        <v>0</v>
      </c>
      <c r="N378" s="18">
        <f t="shared" si="100"/>
        <v>1259</v>
      </c>
      <c r="O378" s="18">
        <f t="shared" si="100"/>
        <v>0</v>
      </c>
      <c r="P378" s="18">
        <f t="shared" si="100"/>
        <v>0</v>
      </c>
      <c r="Q378" s="18">
        <f t="shared" si="100"/>
        <v>1259</v>
      </c>
      <c r="R378" s="18">
        <f t="shared" si="100"/>
        <v>0</v>
      </c>
      <c r="S378" s="19">
        <f t="shared" si="100"/>
        <v>3777</v>
      </c>
      <c r="W378" s="2"/>
    </row>
    <row r="379" spans="2:23" ht="15.75" customHeight="1" x14ac:dyDescent="0.25">
      <c r="B379" s="10"/>
      <c r="C379" s="15"/>
      <c r="D379" s="16"/>
      <c r="E379" s="10"/>
      <c r="F379" s="10"/>
      <c r="G379" s="20"/>
      <c r="H379" s="20"/>
      <c r="I379" s="20"/>
      <c r="J379" s="20"/>
      <c r="K379" s="15"/>
      <c r="L379" s="1"/>
      <c r="M379" s="21"/>
      <c r="W379" s="2"/>
    </row>
    <row r="380" spans="2:23" ht="15.75" customHeight="1" x14ac:dyDescent="0.25">
      <c r="B380" s="10"/>
      <c r="C380" s="15"/>
      <c r="D380" s="16"/>
      <c r="E380" s="10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W380" s="2"/>
    </row>
    <row r="381" spans="2:23" ht="15.75" customHeight="1" x14ac:dyDescent="0.25">
      <c r="B381" s="10"/>
      <c r="C381" s="15"/>
      <c r="D381" s="16"/>
      <c r="E381" s="10"/>
      <c r="F381" s="4">
        <v>2024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f t="shared" ref="S381:S382" si="101">SUM(G381:R381)</f>
        <v>0</v>
      </c>
      <c r="W381" s="2"/>
    </row>
    <row r="382" spans="2:23" ht="15.75" customHeight="1" x14ac:dyDescent="0.25">
      <c r="B382" s="10"/>
      <c r="C382" s="15"/>
      <c r="D382" s="16"/>
      <c r="E382" s="10"/>
      <c r="F382" s="4">
        <v>2025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f t="shared" si="101"/>
        <v>0</v>
      </c>
      <c r="W382" s="2"/>
    </row>
    <row r="383" spans="2:23" ht="15.75" customHeight="1" x14ac:dyDescent="0.25">
      <c r="B383" s="10"/>
      <c r="C383" s="15"/>
      <c r="D383" s="16"/>
      <c r="E383" s="10"/>
      <c r="F383" s="10"/>
      <c r="G383" s="20"/>
      <c r="H383" s="20"/>
      <c r="I383" s="20"/>
      <c r="J383" s="20"/>
      <c r="K383" s="15"/>
      <c r="L383" s="1"/>
      <c r="M383" s="21"/>
      <c r="W383" s="2"/>
    </row>
    <row r="384" spans="2:23" ht="15.75" customHeight="1" x14ac:dyDescent="0.25">
      <c r="B384" s="10"/>
      <c r="C384" s="15"/>
      <c r="D384" s="16"/>
      <c r="E384" s="10"/>
      <c r="F384" s="10"/>
      <c r="G384" s="20"/>
      <c r="H384" s="20"/>
      <c r="I384" s="20"/>
      <c r="J384" s="20"/>
      <c r="K384" s="15"/>
      <c r="L384" s="1"/>
      <c r="M384" s="21"/>
      <c r="W384" s="2"/>
    </row>
    <row r="385" spans="2:23" ht="15.75" customHeight="1" x14ac:dyDescent="0.25">
      <c r="B385" s="10"/>
      <c r="C385" s="15"/>
      <c r="D385" s="16"/>
      <c r="E385" s="10"/>
      <c r="F385" s="10"/>
      <c r="G385" s="20"/>
      <c r="H385" s="20"/>
      <c r="I385" s="20"/>
      <c r="J385" s="20"/>
      <c r="K385" s="15"/>
      <c r="L385" s="1"/>
      <c r="M385" s="21"/>
      <c r="W385" s="2"/>
    </row>
    <row r="386" spans="2:23" ht="15.75" customHeight="1" x14ac:dyDescent="0.25">
      <c r="B386" s="10"/>
      <c r="C386" s="15"/>
      <c r="D386" s="16"/>
      <c r="E386" s="10"/>
      <c r="F386" s="10"/>
      <c r="G386" s="7">
        <v>46023</v>
      </c>
      <c r="H386" s="7">
        <v>46054</v>
      </c>
      <c r="I386" s="7">
        <v>46082</v>
      </c>
      <c r="J386" s="7">
        <v>46113</v>
      </c>
      <c r="K386" s="7">
        <v>46143</v>
      </c>
      <c r="L386" s="7">
        <v>46174</v>
      </c>
      <c r="M386" s="7">
        <v>46204</v>
      </c>
      <c r="N386" s="7">
        <v>46235</v>
      </c>
      <c r="O386" s="7">
        <v>46266</v>
      </c>
      <c r="P386" s="7">
        <v>46296</v>
      </c>
      <c r="Q386" s="7">
        <v>46327</v>
      </c>
      <c r="R386" s="7">
        <v>46357</v>
      </c>
      <c r="S386" s="7" t="s">
        <v>6</v>
      </c>
      <c r="W386" s="2"/>
    </row>
    <row r="387" spans="2:23" ht="15.75" customHeight="1" x14ac:dyDescent="0.25">
      <c r="B387" s="8">
        <v>7595</v>
      </c>
      <c r="C387" s="4" t="s">
        <v>86</v>
      </c>
      <c r="D387" s="9" t="s">
        <v>8</v>
      </c>
      <c r="E387" s="10">
        <v>800</v>
      </c>
      <c r="F387" s="4" t="s">
        <v>87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3">
        <f t="shared" ref="S387:S397" si="102">SUM(G387:R387)</f>
        <v>0</v>
      </c>
      <c r="W387" s="2"/>
    </row>
    <row r="388" spans="2:23" ht="15.75" customHeight="1" x14ac:dyDescent="0.25">
      <c r="B388" s="8">
        <v>7595</v>
      </c>
      <c r="C388" s="4" t="s">
        <v>86</v>
      </c>
      <c r="D388" s="9" t="s">
        <v>8</v>
      </c>
      <c r="E388" s="10">
        <v>801</v>
      </c>
      <c r="F388" s="4" t="s">
        <v>88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3">
        <f t="shared" si="102"/>
        <v>0</v>
      </c>
      <c r="W388" s="2"/>
    </row>
    <row r="389" spans="2:23" ht="15.75" customHeight="1" x14ac:dyDescent="0.25">
      <c r="B389" s="8">
        <v>7595</v>
      </c>
      <c r="C389" s="4" t="s">
        <v>86</v>
      </c>
      <c r="D389" s="9" t="s">
        <v>8</v>
      </c>
      <c r="E389" s="10">
        <v>802</v>
      </c>
      <c r="F389" s="45" t="s">
        <v>89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3">
        <f t="shared" si="102"/>
        <v>0</v>
      </c>
      <c r="W389" s="2"/>
    </row>
    <row r="390" spans="2:23" ht="15.75" customHeight="1" x14ac:dyDescent="0.25">
      <c r="B390" s="8">
        <v>7595</v>
      </c>
      <c r="C390" s="4" t="s">
        <v>86</v>
      </c>
      <c r="D390" s="9" t="s">
        <v>8</v>
      </c>
      <c r="E390" s="10">
        <v>803</v>
      </c>
      <c r="F390" s="10"/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3">
        <f t="shared" si="102"/>
        <v>0</v>
      </c>
      <c r="W390" s="2"/>
    </row>
    <row r="391" spans="2:23" ht="15.75" customHeight="1" x14ac:dyDescent="0.25">
      <c r="B391" s="8">
        <v>7595</v>
      </c>
      <c r="C391" s="4" t="s">
        <v>86</v>
      </c>
      <c r="D391" s="9" t="s">
        <v>8</v>
      </c>
      <c r="E391" s="10">
        <v>804</v>
      </c>
      <c r="F391" s="10" t="s">
        <v>90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3">
        <f t="shared" si="102"/>
        <v>0</v>
      </c>
      <c r="W391" s="2"/>
    </row>
    <row r="392" spans="2:23" ht="15.75" customHeight="1" x14ac:dyDescent="0.25">
      <c r="B392" s="8">
        <v>7595</v>
      </c>
      <c r="C392" s="4" t="s">
        <v>86</v>
      </c>
      <c r="D392" s="9" t="s">
        <v>8</v>
      </c>
      <c r="E392" s="10">
        <v>805</v>
      </c>
      <c r="F392" s="10"/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3">
        <f t="shared" si="102"/>
        <v>0</v>
      </c>
      <c r="W392" s="2"/>
    </row>
    <row r="393" spans="2:23" ht="15.75" customHeight="1" x14ac:dyDescent="0.25">
      <c r="B393" s="8">
        <v>7595</v>
      </c>
      <c r="C393" s="4" t="s">
        <v>86</v>
      </c>
      <c r="D393" s="9" t="s">
        <v>8</v>
      </c>
      <c r="E393" s="10">
        <v>806</v>
      </c>
      <c r="F393" s="10"/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3">
        <f t="shared" si="102"/>
        <v>0</v>
      </c>
      <c r="W393" s="2"/>
    </row>
    <row r="394" spans="2:23" ht="15.75" customHeight="1" x14ac:dyDescent="0.25">
      <c r="B394" s="8">
        <v>7595</v>
      </c>
      <c r="C394" s="4" t="s">
        <v>86</v>
      </c>
      <c r="D394" s="9" t="s">
        <v>8</v>
      </c>
      <c r="E394" s="10">
        <v>807</v>
      </c>
      <c r="F394" s="10"/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3">
        <f t="shared" si="102"/>
        <v>0</v>
      </c>
      <c r="W394" s="2"/>
    </row>
    <row r="395" spans="2:23" ht="15.75" customHeight="1" x14ac:dyDescent="0.25">
      <c r="B395" s="8">
        <v>7595</v>
      </c>
      <c r="C395" s="4" t="s">
        <v>86</v>
      </c>
      <c r="D395" s="9" t="s">
        <v>8</v>
      </c>
      <c r="E395" s="10">
        <v>808</v>
      </c>
      <c r="F395" s="10"/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3">
        <f t="shared" si="102"/>
        <v>0</v>
      </c>
      <c r="W395" s="2"/>
    </row>
    <row r="396" spans="2:23" ht="15.75" customHeight="1" x14ac:dyDescent="0.25">
      <c r="B396" s="8">
        <v>7595</v>
      </c>
      <c r="C396" s="4" t="s">
        <v>86</v>
      </c>
      <c r="D396" s="9" t="s">
        <v>8</v>
      </c>
      <c r="E396" s="10">
        <v>809</v>
      </c>
      <c r="F396" s="10"/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3">
        <f t="shared" si="102"/>
        <v>0</v>
      </c>
      <c r="W396" s="2"/>
    </row>
    <row r="397" spans="2:23" ht="15.75" customHeight="1" x14ac:dyDescent="0.25">
      <c r="B397" s="8">
        <v>7595</v>
      </c>
      <c r="C397" s="4" t="s">
        <v>86</v>
      </c>
      <c r="D397" s="9" t="s">
        <v>8</v>
      </c>
      <c r="E397" s="10">
        <v>810</v>
      </c>
      <c r="F397" s="10"/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3">
        <f t="shared" si="102"/>
        <v>0</v>
      </c>
      <c r="W397" s="2"/>
    </row>
    <row r="398" spans="2:23" ht="15.75" customHeight="1" x14ac:dyDescent="0.25">
      <c r="B398" s="10"/>
      <c r="C398" s="15"/>
      <c r="D398" s="16"/>
      <c r="E398" s="10"/>
      <c r="F398" s="10"/>
      <c r="G398" s="18">
        <f t="shared" ref="G398:S398" si="103">SUM(G387:G397)</f>
        <v>0</v>
      </c>
      <c r="H398" s="18">
        <f t="shared" si="103"/>
        <v>0</v>
      </c>
      <c r="I398" s="18">
        <f t="shared" si="103"/>
        <v>0</v>
      </c>
      <c r="J398" s="18">
        <f t="shared" si="103"/>
        <v>0</v>
      </c>
      <c r="K398" s="18">
        <f t="shared" si="103"/>
        <v>0</v>
      </c>
      <c r="L398" s="18">
        <f t="shared" si="103"/>
        <v>0</v>
      </c>
      <c r="M398" s="18">
        <f t="shared" si="103"/>
        <v>0</v>
      </c>
      <c r="N398" s="18">
        <f t="shared" si="103"/>
        <v>0</v>
      </c>
      <c r="O398" s="18">
        <f t="shared" si="103"/>
        <v>0</v>
      </c>
      <c r="P398" s="18">
        <f t="shared" si="103"/>
        <v>0</v>
      </c>
      <c r="Q398" s="18">
        <f t="shared" si="103"/>
        <v>0</v>
      </c>
      <c r="R398" s="18">
        <f t="shared" si="103"/>
        <v>0</v>
      </c>
      <c r="S398" s="19">
        <f t="shared" si="103"/>
        <v>0</v>
      </c>
      <c r="W398" s="2"/>
    </row>
    <row r="399" spans="2:23" ht="15.75" customHeight="1" x14ac:dyDescent="0.25">
      <c r="B399" s="10"/>
      <c r="C399" s="15"/>
      <c r="D399" s="16"/>
      <c r="E399" s="10"/>
      <c r="F399" s="10"/>
      <c r="G399" s="20"/>
      <c r="H399" s="20"/>
      <c r="I399" s="20"/>
      <c r="J399" s="20"/>
      <c r="K399" s="15"/>
      <c r="L399" s="1"/>
      <c r="M399" s="21"/>
      <c r="W399" s="2"/>
    </row>
    <row r="400" spans="2:23" ht="15.75" customHeight="1" x14ac:dyDescent="0.25">
      <c r="B400" s="10"/>
      <c r="C400" s="15"/>
      <c r="D400" s="16"/>
      <c r="E400" s="10"/>
      <c r="F400" s="10"/>
      <c r="G400" s="20"/>
      <c r="H400" s="20"/>
      <c r="I400" s="20"/>
      <c r="J400" s="20"/>
      <c r="K400" s="15"/>
      <c r="L400" s="1"/>
      <c r="M400" s="21"/>
      <c r="W400" s="2"/>
    </row>
    <row r="401" spans="2:23" ht="15.75" customHeight="1" x14ac:dyDescent="0.25">
      <c r="B401" s="10"/>
      <c r="C401" s="15"/>
      <c r="D401" s="16"/>
      <c r="E401" s="1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W401" s="2"/>
    </row>
    <row r="402" spans="2:23" ht="15.75" customHeight="1" x14ac:dyDescent="0.25">
      <c r="B402" s="10"/>
      <c r="C402" s="15"/>
      <c r="D402" s="16"/>
      <c r="E402" s="10"/>
      <c r="F402" s="4">
        <v>2024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f t="shared" ref="S402:S403" si="104">SUM(G402:R402)</f>
        <v>0</v>
      </c>
      <c r="W402" s="2"/>
    </row>
    <row r="403" spans="2:23" ht="15.75" customHeight="1" x14ac:dyDescent="0.25">
      <c r="B403" s="10"/>
      <c r="C403" s="15"/>
      <c r="D403" s="16"/>
      <c r="E403" s="10"/>
      <c r="F403" s="4">
        <v>2025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356.30010819317397</v>
      </c>
      <c r="N403" s="3">
        <v>1237.4612862052038</v>
      </c>
      <c r="O403" s="3">
        <v>0</v>
      </c>
      <c r="P403" s="3">
        <v>0</v>
      </c>
      <c r="Q403" s="3">
        <v>0</v>
      </c>
      <c r="R403" s="3">
        <v>0</v>
      </c>
      <c r="S403" s="3">
        <f t="shared" si="104"/>
        <v>1593.7613943983779</v>
      </c>
      <c r="W403" s="2"/>
    </row>
    <row r="404" spans="2:23" ht="15.75" customHeight="1" x14ac:dyDescent="0.25">
      <c r="B404" s="10"/>
      <c r="C404" s="15"/>
      <c r="D404" s="16"/>
      <c r="E404" s="10"/>
      <c r="F404" s="10"/>
      <c r="G404" s="20"/>
      <c r="H404" s="20"/>
      <c r="I404" s="20"/>
      <c r="J404" s="20"/>
      <c r="K404" s="15"/>
      <c r="L404" s="1"/>
      <c r="M404" s="21"/>
      <c r="W404" s="2"/>
    </row>
    <row r="405" spans="2:23" ht="15.75" customHeight="1" x14ac:dyDescent="0.25">
      <c r="B405" s="10"/>
      <c r="C405" s="15"/>
      <c r="D405" s="16"/>
      <c r="E405" s="10"/>
      <c r="F405" s="10"/>
      <c r="G405" s="20"/>
      <c r="H405" s="20"/>
      <c r="I405" s="20"/>
      <c r="J405" s="20"/>
      <c r="K405" s="15"/>
      <c r="L405" s="1"/>
      <c r="M405" s="21"/>
      <c r="W405" s="2"/>
    </row>
    <row r="406" spans="2:23" ht="15.75" customHeight="1" x14ac:dyDescent="0.25">
      <c r="B406" s="10"/>
      <c r="C406" s="15"/>
      <c r="D406" s="16"/>
      <c r="E406" s="10"/>
      <c r="F406" s="10"/>
      <c r="G406" s="7">
        <v>46023</v>
      </c>
      <c r="H406" s="7">
        <v>46054</v>
      </c>
      <c r="I406" s="7">
        <v>46082</v>
      </c>
      <c r="J406" s="7">
        <v>46113</v>
      </c>
      <c r="K406" s="7">
        <v>46143</v>
      </c>
      <c r="L406" s="7">
        <v>46174</v>
      </c>
      <c r="M406" s="7">
        <v>46204</v>
      </c>
      <c r="N406" s="7">
        <v>46235</v>
      </c>
      <c r="O406" s="7">
        <v>46266</v>
      </c>
      <c r="P406" s="7">
        <v>46296</v>
      </c>
      <c r="Q406" s="7">
        <v>46327</v>
      </c>
      <c r="R406" s="7">
        <v>46357</v>
      </c>
      <c r="S406" s="7" t="s">
        <v>6</v>
      </c>
      <c r="W406" s="2"/>
    </row>
    <row r="407" spans="2:23" ht="15.75" customHeight="1" x14ac:dyDescent="0.25">
      <c r="B407" s="8">
        <v>7600</v>
      </c>
      <c r="C407" s="4" t="s">
        <v>91</v>
      </c>
      <c r="D407" s="9" t="s">
        <v>8</v>
      </c>
      <c r="E407" s="10">
        <v>800</v>
      </c>
      <c r="F407" s="4" t="s">
        <v>92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3">
        <f t="shared" ref="S407:S417" si="105">SUM(G407:R407)</f>
        <v>0</v>
      </c>
      <c r="W407" s="2"/>
    </row>
    <row r="408" spans="2:23" ht="15.75" customHeight="1" x14ac:dyDescent="0.25">
      <c r="B408" s="8">
        <v>7600</v>
      </c>
      <c r="C408" s="4" t="s">
        <v>91</v>
      </c>
      <c r="D408" s="9" t="s">
        <v>8</v>
      </c>
      <c r="E408" s="10">
        <v>801</v>
      </c>
      <c r="F408" s="10"/>
      <c r="G408" s="23"/>
      <c r="H408" s="23"/>
      <c r="I408" s="23"/>
      <c r="J408" s="24"/>
      <c r="K408" s="25"/>
      <c r="L408" s="26"/>
      <c r="M408" s="27"/>
      <c r="N408" s="27"/>
      <c r="O408" s="27"/>
      <c r="P408" s="27"/>
      <c r="Q408" s="27"/>
      <c r="R408" s="27"/>
      <c r="S408" s="13">
        <f t="shared" si="105"/>
        <v>0</v>
      </c>
      <c r="W408" s="2"/>
    </row>
    <row r="409" spans="2:23" ht="15.75" customHeight="1" x14ac:dyDescent="0.25">
      <c r="B409" s="8">
        <v>7600</v>
      </c>
      <c r="C409" s="4" t="s">
        <v>91</v>
      </c>
      <c r="D409" s="9" t="s">
        <v>8</v>
      </c>
      <c r="E409" s="10">
        <v>802</v>
      </c>
      <c r="F409" s="10" t="s">
        <v>93</v>
      </c>
      <c r="G409" s="23"/>
      <c r="H409" s="23"/>
      <c r="I409" s="23"/>
      <c r="J409" s="24"/>
      <c r="K409" s="25"/>
      <c r="L409" s="26"/>
      <c r="M409" s="27"/>
      <c r="N409" s="27"/>
      <c r="O409" s="27"/>
      <c r="P409" s="27"/>
      <c r="Q409" s="27"/>
      <c r="R409" s="27"/>
      <c r="S409" s="13">
        <f t="shared" si="105"/>
        <v>0</v>
      </c>
      <c r="W409" s="2"/>
    </row>
    <row r="410" spans="2:23" ht="15.75" customHeight="1" x14ac:dyDescent="0.25">
      <c r="B410" s="8">
        <v>7600</v>
      </c>
      <c r="C410" s="4" t="s">
        <v>91</v>
      </c>
      <c r="D410" s="9" t="s">
        <v>8</v>
      </c>
      <c r="E410" s="10">
        <v>803</v>
      </c>
      <c r="F410" s="10" t="s">
        <v>94</v>
      </c>
      <c r="G410" s="23"/>
      <c r="H410" s="23"/>
      <c r="I410" s="23"/>
      <c r="J410" s="24"/>
      <c r="K410" s="25"/>
      <c r="L410" s="26"/>
      <c r="M410" s="27"/>
      <c r="N410" s="27"/>
      <c r="O410" s="27"/>
      <c r="P410" s="27"/>
      <c r="Q410" s="27"/>
      <c r="R410" s="27"/>
      <c r="S410" s="13">
        <f t="shared" si="105"/>
        <v>0</v>
      </c>
      <c r="W410" s="2"/>
    </row>
    <row r="411" spans="2:23" ht="15.75" customHeight="1" x14ac:dyDescent="0.25">
      <c r="B411" s="8">
        <v>7600</v>
      </c>
      <c r="C411" s="4" t="s">
        <v>91</v>
      </c>
      <c r="D411" s="9" t="s">
        <v>8</v>
      </c>
      <c r="E411" s="10">
        <v>804</v>
      </c>
      <c r="F411" s="10"/>
      <c r="G411" s="23"/>
      <c r="H411" s="23"/>
      <c r="I411" s="23"/>
      <c r="J411" s="24"/>
      <c r="K411" s="25"/>
      <c r="L411" s="26"/>
      <c r="M411" s="27"/>
      <c r="N411" s="27"/>
      <c r="O411" s="27"/>
      <c r="P411" s="27"/>
      <c r="Q411" s="27"/>
      <c r="R411" s="27"/>
      <c r="S411" s="13">
        <f t="shared" si="105"/>
        <v>0</v>
      </c>
      <c r="W411" s="2"/>
    </row>
    <row r="412" spans="2:23" ht="15.75" customHeight="1" x14ac:dyDescent="0.25">
      <c r="B412" s="8">
        <v>7600</v>
      </c>
      <c r="C412" s="4" t="s">
        <v>91</v>
      </c>
      <c r="D412" s="9" t="s">
        <v>8</v>
      </c>
      <c r="E412" s="10">
        <v>805</v>
      </c>
      <c r="F412" s="10"/>
      <c r="G412" s="23"/>
      <c r="H412" s="23"/>
      <c r="I412" s="23"/>
      <c r="J412" s="24"/>
      <c r="K412" s="25"/>
      <c r="L412" s="26"/>
      <c r="M412" s="27"/>
      <c r="N412" s="27"/>
      <c r="O412" s="27"/>
      <c r="P412" s="27"/>
      <c r="Q412" s="27"/>
      <c r="R412" s="27"/>
      <c r="S412" s="13">
        <f t="shared" si="105"/>
        <v>0</v>
      </c>
      <c r="W412" s="2"/>
    </row>
    <row r="413" spans="2:23" ht="15.75" customHeight="1" x14ac:dyDescent="0.25">
      <c r="B413" s="8">
        <v>7600</v>
      </c>
      <c r="C413" s="4" t="s">
        <v>91</v>
      </c>
      <c r="D413" s="9" t="s">
        <v>8</v>
      </c>
      <c r="E413" s="10">
        <v>806</v>
      </c>
      <c r="F413" s="10"/>
      <c r="G413" s="23"/>
      <c r="H413" s="23"/>
      <c r="I413" s="23"/>
      <c r="J413" s="24"/>
      <c r="K413" s="25"/>
      <c r="L413" s="26"/>
      <c r="M413" s="27"/>
      <c r="N413" s="27"/>
      <c r="O413" s="27"/>
      <c r="P413" s="27"/>
      <c r="Q413" s="27"/>
      <c r="R413" s="27"/>
      <c r="S413" s="13">
        <f t="shared" si="105"/>
        <v>0</v>
      </c>
      <c r="W413" s="2"/>
    </row>
    <row r="414" spans="2:23" ht="15.75" customHeight="1" x14ac:dyDescent="0.25">
      <c r="B414" s="8">
        <v>7600</v>
      </c>
      <c r="C414" s="4" t="s">
        <v>91</v>
      </c>
      <c r="D414" s="9" t="s">
        <v>8</v>
      </c>
      <c r="E414" s="10">
        <v>807</v>
      </c>
      <c r="F414" s="10"/>
      <c r="G414" s="23"/>
      <c r="H414" s="23"/>
      <c r="I414" s="23"/>
      <c r="J414" s="24"/>
      <c r="K414" s="25"/>
      <c r="L414" s="26"/>
      <c r="M414" s="27"/>
      <c r="N414" s="27"/>
      <c r="O414" s="27"/>
      <c r="P414" s="27"/>
      <c r="Q414" s="27"/>
      <c r="R414" s="27"/>
      <c r="S414" s="13">
        <f t="shared" si="105"/>
        <v>0</v>
      </c>
      <c r="W414" s="2"/>
    </row>
    <row r="415" spans="2:23" ht="15.75" customHeight="1" x14ac:dyDescent="0.25">
      <c r="B415" s="8">
        <v>7600</v>
      </c>
      <c r="C415" s="4" t="s">
        <v>91</v>
      </c>
      <c r="D415" s="9" t="s">
        <v>8</v>
      </c>
      <c r="E415" s="10">
        <v>808</v>
      </c>
      <c r="F415" s="10"/>
      <c r="G415" s="23"/>
      <c r="H415" s="23"/>
      <c r="I415" s="23"/>
      <c r="J415" s="24"/>
      <c r="K415" s="25"/>
      <c r="L415" s="26"/>
      <c r="M415" s="27"/>
      <c r="N415" s="27"/>
      <c r="O415" s="27"/>
      <c r="P415" s="27"/>
      <c r="Q415" s="27"/>
      <c r="R415" s="27"/>
      <c r="S415" s="13">
        <f t="shared" si="105"/>
        <v>0</v>
      </c>
      <c r="W415" s="2"/>
    </row>
    <row r="416" spans="2:23" ht="15.75" customHeight="1" x14ac:dyDescent="0.25">
      <c r="B416" s="8">
        <v>7600</v>
      </c>
      <c r="C416" s="4" t="s">
        <v>91</v>
      </c>
      <c r="D416" s="9" t="s">
        <v>8</v>
      </c>
      <c r="E416" s="10">
        <v>809</v>
      </c>
      <c r="F416" s="10"/>
      <c r="G416" s="23"/>
      <c r="H416" s="23"/>
      <c r="I416" s="23"/>
      <c r="J416" s="24"/>
      <c r="K416" s="25"/>
      <c r="L416" s="26"/>
      <c r="M416" s="27"/>
      <c r="N416" s="27"/>
      <c r="O416" s="27"/>
      <c r="P416" s="27"/>
      <c r="Q416" s="27"/>
      <c r="R416" s="27"/>
      <c r="S416" s="13">
        <f t="shared" si="105"/>
        <v>0</v>
      </c>
      <c r="W416" s="2"/>
    </row>
    <row r="417" spans="2:23" ht="15.75" customHeight="1" x14ac:dyDescent="0.25">
      <c r="B417" s="8">
        <v>7600</v>
      </c>
      <c r="C417" s="4" t="s">
        <v>91</v>
      </c>
      <c r="D417" s="9" t="s">
        <v>8</v>
      </c>
      <c r="E417" s="10">
        <v>810</v>
      </c>
      <c r="F417" s="10"/>
      <c r="G417" s="28"/>
      <c r="H417" s="28"/>
      <c r="I417" s="28"/>
      <c r="J417" s="29"/>
      <c r="K417" s="30"/>
      <c r="L417" s="31"/>
      <c r="M417" s="32"/>
      <c r="N417" s="32"/>
      <c r="O417" s="32"/>
      <c r="P417" s="32"/>
      <c r="Q417" s="32"/>
      <c r="R417" s="32"/>
      <c r="S417" s="13">
        <f t="shared" si="105"/>
        <v>0</v>
      </c>
      <c r="W417" s="2"/>
    </row>
    <row r="418" spans="2:23" ht="15.75" customHeight="1" x14ac:dyDescent="0.25">
      <c r="B418" s="10"/>
      <c r="C418" s="15"/>
      <c r="D418" s="16"/>
      <c r="E418" s="10"/>
      <c r="F418" s="10"/>
      <c r="G418" s="18">
        <f t="shared" ref="G418:S418" si="106">SUM(G407:G417)</f>
        <v>0</v>
      </c>
      <c r="H418" s="18">
        <f t="shared" si="106"/>
        <v>0</v>
      </c>
      <c r="I418" s="18">
        <f t="shared" si="106"/>
        <v>0</v>
      </c>
      <c r="J418" s="18">
        <f t="shared" si="106"/>
        <v>0</v>
      </c>
      <c r="K418" s="18">
        <f t="shared" si="106"/>
        <v>0</v>
      </c>
      <c r="L418" s="18">
        <f t="shared" si="106"/>
        <v>0</v>
      </c>
      <c r="M418" s="18">
        <f t="shared" si="106"/>
        <v>0</v>
      </c>
      <c r="N418" s="18">
        <f t="shared" si="106"/>
        <v>0</v>
      </c>
      <c r="O418" s="18">
        <f t="shared" si="106"/>
        <v>0</v>
      </c>
      <c r="P418" s="18">
        <f t="shared" si="106"/>
        <v>0</v>
      </c>
      <c r="Q418" s="18">
        <f t="shared" si="106"/>
        <v>0</v>
      </c>
      <c r="R418" s="18">
        <f t="shared" si="106"/>
        <v>0</v>
      </c>
      <c r="S418" s="19">
        <f t="shared" si="106"/>
        <v>0</v>
      </c>
      <c r="W418" s="2"/>
    </row>
    <row r="419" spans="2:23" ht="15.75" customHeight="1" x14ac:dyDescent="0.25">
      <c r="B419" s="10"/>
      <c r="C419" s="15"/>
      <c r="D419" s="16"/>
      <c r="E419" s="10"/>
      <c r="F419" s="10"/>
      <c r="G419" s="20"/>
      <c r="H419" s="20"/>
      <c r="I419" s="20"/>
      <c r="J419" s="20"/>
      <c r="K419" s="15"/>
      <c r="L419" s="1"/>
      <c r="M419" s="21"/>
      <c r="W419" s="2"/>
    </row>
    <row r="420" spans="2:23" ht="15.75" customHeight="1" x14ac:dyDescent="0.25">
      <c r="B420" s="10"/>
      <c r="C420" s="15"/>
      <c r="D420" s="16"/>
      <c r="E420" s="10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W420" s="2"/>
    </row>
    <row r="421" spans="2:23" ht="15.75" customHeight="1" x14ac:dyDescent="0.25">
      <c r="B421" s="10"/>
      <c r="C421" s="15"/>
      <c r="D421" s="16"/>
      <c r="E421" s="10"/>
      <c r="F421" s="4">
        <v>2024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f t="shared" ref="S421:S422" si="107">SUM(G421:R421)</f>
        <v>0</v>
      </c>
      <c r="W421" s="2"/>
    </row>
    <row r="422" spans="2:23" ht="15.75" customHeight="1" x14ac:dyDescent="0.25">
      <c r="B422" s="10"/>
      <c r="C422" s="15"/>
      <c r="D422" s="16"/>
      <c r="E422" s="10"/>
      <c r="F422" s="4">
        <v>2025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f t="shared" si="107"/>
        <v>0</v>
      </c>
      <c r="W422" s="2"/>
    </row>
    <row r="423" spans="2:23" ht="15.75" customHeight="1" x14ac:dyDescent="0.25">
      <c r="B423" s="10"/>
      <c r="C423" s="15"/>
      <c r="D423" s="16"/>
      <c r="E423" s="10"/>
      <c r="F423" s="10"/>
      <c r="G423" s="20"/>
      <c r="H423" s="20"/>
      <c r="I423" s="20"/>
      <c r="J423" s="20"/>
      <c r="K423" s="15"/>
      <c r="L423" s="1"/>
      <c r="M423" s="21"/>
      <c r="W423" s="2"/>
    </row>
    <row r="424" spans="2:23" ht="15.75" customHeight="1" x14ac:dyDescent="0.25">
      <c r="B424" s="10"/>
      <c r="C424" s="15"/>
      <c r="D424" s="16"/>
      <c r="E424" s="10"/>
      <c r="F424" s="10"/>
      <c r="G424" s="20"/>
      <c r="H424" s="20"/>
      <c r="I424" s="20"/>
      <c r="J424" s="20"/>
      <c r="K424" s="15"/>
      <c r="L424" s="1"/>
      <c r="M424" s="21"/>
      <c r="W424" s="2"/>
    </row>
    <row r="425" spans="2:23" ht="15.75" customHeight="1" x14ac:dyDescent="0.25">
      <c r="B425" s="10"/>
      <c r="C425" s="15"/>
      <c r="D425" s="16"/>
      <c r="E425" s="10"/>
      <c r="F425" s="10"/>
      <c r="G425" s="7">
        <v>46023</v>
      </c>
      <c r="H425" s="7">
        <v>46054</v>
      </c>
      <c r="I425" s="7">
        <v>46082</v>
      </c>
      <c r="J425" s="7">
        <v>46113</v>
      </c>
      <c r="K425" s="7">
        <v>46143</v>
      </c>
      <c r="L425" s="7">
        <v>46174</v>
      </c>
      <c r="M425" s="7">
        <v>46204</v>
      </c>
      <c r="N425" s="7">
        <v>46235</v>
      </c>
      <c r="O425" s="7">
        <v>46266</v>
      </c>
      <c r="P425" s="7">
        <v>46296</v>
      </c>
      <c r="Q425" s="7">
        <v>46327</v>
      </c>
      <c r="R425" s="7">
        <v>46357</v>
      </c>
      <c r="S425" s="7" t="s">
        <v>6</v>
      </c>
      <c r="W425" s="2"/>
    </row>
    <row r="426" spans="2:23" ht="15.75" customHeight="1" x14ac:dyDescent="0.25">
      <c r="B426" s="8">
        <v>7605</v>
      </c>
      <c r="C426" s="4" t="s">
        <v>95</v>
      </c>
      <c r="D426" s="9" t="s">
        <v>8</v>
      </c>
      <c r="E426" s="10">
        <v>800</v>
      </c>
      <c r="F426" s="4" t="s">
        <v>96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3">
        <f t="shared" ref="S426:S436" si="108">SUM(G426:R426)</f>
        <v>0</v>
      </c>
      <c r="W426" s="2"/>
    </row>
    <row r="427" spans="2:23" ht="15.75" customHeight="1" x14ac:dyDescent="0.25">
      <c r="B427" s="8">
        <v>7605</v>
      </c>
      <c r="C427" s="4" t="s">
        <v>95</v>
      </c>
      <c r="D427" s="9" t="s">
        <v>8</v>
      </c>
      <c r="E427" s="10">
        <v>801</v>
      </c>
      <c r="F427" s="4" t="s">
        <v>97</v>
      </c>
      <c r="G427" s="23"/>
      <c r="H427" s="23"/>
      <c r="I427" s="23"/>
      <c r="J427" s="24"/>
      <c r="K427" s="25"/>
      <c r="L427" s="26"/>
      <c r="M427" s="27"/>
      <c r="N427" s="27"/>
      <c r="O427" s="27"/>
      <c r="P427" s="27"/>
      <c r="Q427" s="27"/>
      <c r="R427" s="27"/>
      <c r="S427" s="13">
        <f t="shared" si="108"/>
        <v>0</v>
      </c>
      <c r="W427" s="2"/>
    </row>
    <row r="428" spans="2:23" ht="15.75" customHeight="1" x14ac:dyDescent="0.25">
      <c r="B428" s="8">
        <v>7605</v>
      </c>
      <c r="C428" s="4" t="s">
        <v>95</v>
      </c>
      <c r="D428" s="9" t="s">
        <v>8</v>
      </c>
      <c r="E428" s="10">
        <v>802</v>
      </c>
      <c r="F428" s="10"/>
      <c r="G428" s="23"/>
      <c r="H428" s="23"/>
      <c r="I428" s="23"/>
      <c r="J428" s="24"/>
      <c r="K428" s="25"/>
      <c r="L428" s="26"/>
      <c r="M428" s="27"/>
      <c r="N428" s="27"/>
      <c r="O428" s="27"/>
      <c r="P428" s="27"/>
      <c r="Q428" s="27"/>
      <c r="R428" s="27"/>
      <c r="S428" s="13">
        <f t="shared" si="108"/>
        <v>0</v>
      </c>
      <c r="W428" s="2"/>
    </row>
    <row r="429" spans="2:23" ht="15.75" customHeight="1" x14ac:dyDescent="0.25">
      <c r="B429" s="8">
        <v>7605</v>
      </c>
      <c r="C429" s="4" t="s">
        <v>95</v>
      </c>
      <c r="D429" s="9" t="s">
        <v>8</v>
      </c>
      <c r="E429" s="10">
        <v>803</v>
      </c>
      <c r="F429" s="10"/>
      <c r="G429" s="23"/>
      <c r="H429" s="23"/>
      <c r="I429" s="23"/>
      <c r="J429" s="24"/>
      <c r="K429" s="25"/>
      <c r="L429" s="26"/>
      <c r="M429" s="27"/>
      <c r="N429" s="27"/>
      <c r="O429" s="27"/>
      <c r="P429" s="27"/>
      <c r="Q429" s="27"/>
      <c r="R429" s="27"/>
      <c r="S429" s="13">
        <f t="shared" si="108"/>
        <v>0</v>
      </c>
      <c r="W429" s="2"/>
    </row>
    <row r="430" spans="2:23" ht="15.75" customHeight="1" x14ac:dyDescent="0.25">
      <c r="B430" s="8">
        <v>7605</v>
      </c>
      <c r="C430" s="4" t="s">
        <v>95</v>
      </c>
      <c r="D430" s="9" t="s">
        <v>8</v>
      </c>
      <c r="E430" s="10">
        <v>804</v>
      </c>
      <c r="F430" s="10"/>
      <c r="G430" s="23"/>
      <c r="H430" s="23"/>
      <c r="I430" s="23"/>
      <c r="J430" s="24"/>
      <c r="K430" s="25"/>
      <c r="L430" s="26"/>
      <c r="M430" s="27"/>
      <c r="N430" s="27"/>
      <c r="O430" s="27"/>
      <c r="P430" s="27"/>
      <c r="Q430" s="27"/>
      <c r="R430" s="27"/>
      <c r="S430" s="13">
        <f t="shared" si="108"/>
        <v>0</v>
      </c>
      <c r="W430" s="2"/>
    </row>
    <row r="431" spans="2:23" ht="15.75" customHeight="1" x14ac:dyDescent="0.25">
      <c r="B431" s="8">
        <v>7605</v>
      </c>
      <c r="C431" s="4" t="s">
        <v>95</v>
      </c>
      <c r="D431" s="9" t="s">
        <v>8</v>
      </c>
      <c r="E431" s="10">
        <v>805</v>
      </c>
      <c r="F431" s="10"/>
      <c r="G431" s="23"/>
      <c r="H431" s="23"/>
      <c r="I431" s="23"/>
      <c r="J431" s="24"/>
      <c r="K431" s="25"/>
      <c r="L431" s="26"/>
      <c r="M431" s="27"/>
      <c r="N431" s="27"/>
      <c r="O431" s="27"/>
      <c r="P431" s="27"/>
      <c r="Q431" s="27"/>
      <c r="R431" s="27"/>
      <c r="S431" s="13">
        <f t="shared" si="108"/>
        <v>0</v>
      </c>
      <c r="W431" s="2"/>
    </row>
    <row r="432" spans="2:23" ht="15.75" customHeight="1" x14ac:dyDescent="0.25">
      <c r="B432" s="8">
        <v>7605</v>
      </c>
      <c r="C432" s="4" t="s">
        <v>95</v>
      </c>
      <c r="D432" s="9" t="s">
        <v>8</v>
      </c>
      <c r="E432" s="10">
        <v>806</v>
      </c>
      <c r="F432" s="10"/>
      <c r="G432" s="23"/>
      <c r="H432" s="23"/>
      <c r="I432" s="23"/>
      <c r="J432" s="24"/>
      <c r="K432" s="25"/>
      <c r="L432" s="26"/>
      <c r="M432" s="27"/>
      <c r="N432" s="27"/>
      <c r="O432" s="27"/>
      <c r="P432" s="27"/>
      <c r="Q432" s="27"/>
      <c r="R432" s="27"/>
      <c r="S432" s="13">
        <f t="shared" si="108"/>
        <v>0</v>
      </c>
      <c r="W432" s="2"/>
    </row>
    <row r="433" spans="2:23" ht="15.75" customHeight="1" x14ac:dyDescent="0.25">
      <c r="B433" s="8">
        <v>7605</v>
      </c>
      <c r="C433" s="4" t="s">
        <v>95</v>
      </c>
      <c r="D433" s="9" t="s">
        <v>8</v>
      </c>
      <c r="E433" s="10">
        <v>807</v>
      </c>
      <c r="F433" s="10"/>
      <c r="G433" s="23"/>
      <c r="H433" s="23"/>
      <c r="I433" s="23"/>
      <c r="J433" s="24"/>
      <c r="K433" s="25"/>
      <c r="L433" s="26"/>
      <c r="M433" s="27"/>
      <c r="N433" s="27"/>
      <c r="O433" s="27"/>
      <c r="P433" s="27"/>
      <c r="Q433" s="27"/>
      <c r="R433" s="27"/>
      <c r="S433" s="13">
        <f t="shared" si="108"/>
        <v>0</v>
      </c>
      <c r="W433" s="2"/>
    </row>
    <row r="434" spans="2:23" ht="15.75" customHeight="1" x14ac:dyDescent="0.25">
      <c r="B434" s="8">
        <v>7605</v>
      </c>
      <c r="C434" s="4" t="s">
        <v>95</v>
      </c>
      <c r="D434" s="9" t="s">
        <v>8</v>
      </c>
      <c r="E434" s="10">
        <v>808</v>
      </c>
      <c r="F434" s="10"/>
      <c r="G434" s="23"/>
      <c r="H434" s="23"/>
      <c r="I434" s="23"/>
      <c r="J434" s="24"/>
      <c r="K434" s="25"/>
      <c r="L434" s="26"/>
      <c r="M434" s="27"/>
      <c r="N434" s="27"/>
      <c r="O434" s="27"/>
      <c r="P434" s="27"/>
      <c r="Q434" s="27"/>
      <c r="R434" s="27"/>
      <c r="S434" s="13">
        <f t="shared" si="108"/>
        <v>0</v>
      </c>
      <c r="W434" s="2"/>
    </row>
    <row r="435" spans="2:23" ht="15.75" customHeight="1" x14ac:dyDescent="0.25">
      <c r="B435" s="8">
        <v>7605</v>
      </c>
      <c r="C435" s="4" t="s">
        <v>95</v>
      </c>
      <c r="D435" s="9" t="s">
        <v>8</v>
      </c>
      <c r="E435" s="10">
        <v>809</v>
      </c>
      <c r="F435" s="10"/>
      <c r="G435" s="23"/>
      <c r="H435" s="23"/>
      <c r="I435" s="23"/>
      <c r="J435" s="24"/>
      <c r="K435" s="25"/>
      <c r="L435" s="26"/>
      <c r="M435" s="27"/>
      <c r="N435" s="27"/>
      <c r="O435" s="27"/>
      <c r="P435" s="27"/>
      <c r="Q435" s="27"/>
      <c r="R435" s="27"/>
      <c r="S435" s="13">
        <f t="shared" si="108"/>
        <v>0</v>
      </c>
      <c r="W435" s="2"/>
    </row>
    <row r="436" spans="2:23" ht="15.75" customHeight="1" x14ac:dyDescent="0.25">
      <c r="B436" s="8">
        <v>7605</v>
      </c>
      <c r="C436" s="4" t="s">
        <v>95</v>
      </c>
      <c r="D436" s="9" t="s">
        <v>8</v>
      </c>
      <c r="E436" s="10">
        <v>810</v>
      </c>
      <c r="F436" s="10"/>
      <c r="G436" s="28"/>
      <c r="H436" s="28"/>
      <c r="I436" s="28"/>
      <c r="J436" s="29"/>
      <c r="K436" s="30"/>
      <c r="L436" s="31"/>
      <c r="M436" s="32"/>
      <c r="N436" s="32"/>
      <c r="O436" s="32"/>
      <c r="P436" s="32"/>
      <c r="Q436" s="32"/>
      <c r="R436" s="32"/>
      <c r="S436" s="13">
        <f t="shared" si="108"/>
        <v>0</v>
      </c>
      <c r="W436" s="2"/>
    </row>
    <row r="437" spans="2:23" ht="15.75" customHeight="1" x14ac:dyDescent="0.25">
      <c r="B437" s="10"/>
      <c r="C437" s="15"/>
      <c r="D437" s="16"/>
      <c r="E437" s="10"/>
      <c r="F437" s="10"/>
      <c r="G437" s="18">
        <f t="shared" ref="G437:S437" si="109">SUM(G426:G436)</f>
        <v>0</v>
      </c>
      <c r="H437" s="18">
        <f t="shared" si="109"/>
        <v>0</v>
      </c>
      <c r="I437" s="18">
        <f t="shared" si="109"/>
        <v>0</v>
      </c>
      <c r="J437" s="18">
        <f t="shared" si="109"/>
        <v>0</v>
      </c>
      <c r="K437" s="18">
        <f t="shared" si="109"/>
        <v>0</v>
      </c>
      <c r="L437" s="18">
        <f t="shared" si="109"/>
        <v>0</v>
      </c>
      <c r="M437" s="18">
        <f t="shared" si="109"/>
        <v>0</v>
      </c>
      <c r="N437" s="18">
        <f t="shared" si="109"/>
        <v>0</v>
      </c>
      <c r="O437" s="18">
        <f t="shared" si="109"/>
        <v>0</v>
      </c>
      <c r="P437" s="18">
        <f t="shared" si="109"/>
        <v>0</v>
      </c>
      <c r="Q437" s="18">
        <f t="shared" si="109"/>
        <v>0</v>
      </c>
      <c r="R437" s="18">
        <f t="shared" si="109"/>
        <v>0</v>
      </c>
      <c r="S437" s="19">
        <f t="shared" si="109"/>
        <v>0</v>
      </c>
      <c r="W437" s="2"/>
    </row>
    <row r="438" spans="2:23" ht="15.75" customHeight="1" x14ac:dyDescent="0.25">
      <c r="B438" s="10"/>
      <c r="C438" s="15"/>
      <c r="D438" s="16"/>
      <c r="E438" s="10"/>
      <c r="F438" s="10"/>
      <c r="G438" s="20"/>
      <c r="H438" s="20"/>
      <c r="I438" s="20"/>
      <c r="J438" s="20"/>
      <c r="K438" s="15"/>
      <c r="L438" s="1"/>
      <c r="M438" s="21"/>
      <c r="W438" s="2"/>
    </row>
    <row r="439" spans="2:23" ht="15.75" customHeight="1" x14ac:dyDescent="0.25">
      <c r="B439" s="10"/>
      <c r="C439" s="15"/>
      <c r="D439" s="16"/>
      <c r="E439" s="10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W439" s="2"/>
    </row>
    <row r="440" spans="2:23" ht="15.75" customHeight="1" x14ac:dyDescent="0.25">
      <c r="B440" s="10"/>
      <c r="C440" s="15"/>
      <c r="D440" s="16"/>
      <c r="E440" s="10"/>
      <c r="F440" s="4">
        <v>2024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f t="shared" ref="S440:S441" si="110">SUM(G440:R440)</f>
        <v>0</v>
      </c>
      <c r="W440" s="2"/>
    </row>
    <row r="441" spans="2:23" ht="15.75" customHeight="1" x14ac:dyDescent="0.25">
      <c r="B441" s="10"/>
      <c r="C441" s="15"/>
      <c r="D441" s="16"/>
      <c r="E441" s="10"/>
      <c r="F441" s="4">
        <v>2025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f t="shared" si="110"/>
        <v>0</v>
      </c>
      <c r="W441" s="2"/>
    </row>
    <row r="442" spans="2:23" ht="15.75" customHeight="1" x14ac:dyDescent="0.25">
      <c r="B442" s="10"/>
      <c r="C442" s="15"/>
      <c r="D442" s="16"/>
      <c r="E442" s="10"/>
      <c r="F442" s="10"/>
      <c r="G442" s="20"/>
      <c r="H442" s="20"/>
      <c r="I442" s="20"/>
      <c r="J442" s="20"/>
      <c r="K442" s="15"/>
      <c r="L442" s="1"/>
      <c r="M442" s="21"/>
      <c r="W442" s="2"/>
    </row>
    <row r="443" spans="2:23" ht="15.75" customHeight="1" x14ac:dyDescent="0.25">
      <c r="B443" s="10"/>
      <c r="C443" s="15"/>
      <c r="D443" s="16"/>
      <c r="E443" s="10"/>
      <c r="F443" s="10"/>
      <c r="G443" s="20"/>
      <c r="H443" s="20"/>
      <c r="I443" s="20"/>
      <c r="J443" s="20"/>
      <c r="K443" s="15"/>
      <c r="L443" s="1"/>
      <c r="M443" s="21"/>
      <c r="W443" s="2"/>
    </row>
    <row r="444" spans="2:23" ht="15.75" customHeight="1" x14ac:dyDescent="0.25">
      <c r="B444" s="10"/>
      <c r="C444" s="15"/>
      <c r="D444" s="16"/>
      <c r="E444" s="10"/>
      <c r="F444" s="10"/>
      <c r="G444" s="7">
        <v>46023</v>
      </c>
      <c r="H444" s="7">
        <v>46054</v>
      </c>
      <c r="I444" s="7">
        <v>46082</v>
      </c>
      <c r="J444" s="7">
        <v>46113</v>
      </c>
      <c r="K444" s="7">
        <v>46143</v>
      </c>
      <c r="L444" s="7">
        <v>46174</v>
      </c>
      <c r="M444" s="7">
        <v>46204</v>
      </c>
      <c r="N444" s="7">
        <v>46235</v>
      </c>
      <c r="O444" s="7">
        <v>46266</v>
      </c>
      <c r="P444" s="7">
        <v>46296</v>
      </c>
      <c r="Q444" s="7">
        <v>46327</v>
      </c>
      <c r="R444" s="7">
        <v>46357</v>
      </c>
      <c r="S444" s="7" t="s">
        <v>6</v>
      </c>
      <c r="W444" s="2"/>
    </row>
    <row r="445" spans="2:23" ht="15.75" customHeight="1" x14ac:dyDescent="0.25">
      <c r="B445" s="8">
        <v>7610</v>
      </c>
      <c r="C445" s="4" t="s">
        <v>98</v>
      </c>
      <c r="D445" s="9" t="s">
        <v>8</v>
      </c>
      <c r="E445" s="10">
        <v>800</v>
      </c>
      <c r="F445" s="10"/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3">
        <f t="shared" ref="S445:S455" si="111">SUM(G445:R445)</f>
        <v>0</v>
      </c>
      <c r="W445" s="2"/>
    </row>
    <row r="446" spans="2:23" ht="15.75" customHeight="1" x14ac:dyDescent="0.25">
      <c r="B446" s="8">
        <v>7610</v>
      </c>
      <c r="C446" s="4" t="s">
        <v>98</v>
      </c>
      <c r="D446" s="9" t="s">
        <v>8</v>
      </c>
      <c r="E446" s="10">
        <v>801</v>
      </c>
      <c r="F446" s="10"/>
      <c r="G446" s="23"/>
      <c r="H446" s="23"/>
      <c r="I446" s="23"/>
      <c r="J446" s="24"/>
      <c r="K446" s="25"/>
      <c r="L446" s="26"/>
      <c r="M446" s="27"/>
      <c r="N446" s="27"/>
      <c r="O446" s="27"/>
      <c r="P446" s="27"/>
      <c r="Q446" s="27"/>
      <c r="R446" s="27"/>
      <c r="S446" s="13">
        <f t="shared" si="111"/>
        <v>0</v>
      </c>
      <c r="W446" s="2"/>
    </row>
    <row r="447" spans="2:23" ht="15.75" customHeight="1" x14ac:dyDescent="0.25">
      <c r="B447" s="8">
        <v>7610</v>
      </c>
      <c r="C447" s="4" t="s">
        <v>98</v>
      </c>
      <c r="D447" s="9" t="s">
        <v>8</v>
      </c>
      <c r="E447" s="10">
        <v>802</v>
      </c>
      <c r="F447" s="10"/>
      <c r="G447" s="23"/>
      <c r="H447" s="23"/>
      <c r="I447" s="23"/>
      <c r="J447" s="24"/>
      <c r="K447" s="25"/>
      <c r="L447" s="26"/>
      <c r="M447" s="27"/>
      <c r="N447" s="27"/>
      <c r="O447" s="27"/>
      <c r="P447" s="27"/>
      <c r="Q447" s="27"/>
      <c r="R447" s="27"/>
      <c r="S447" s="13">
        <f t="shared" si="111"/>
        <v>0</v>
      </c>
      <c r="W447" s="2"/>
    </row>
    <row r="448" spans="2:23" ht="15.75" customHeight="1" x14ac:dyDescent="0.25">
      <c r="B448" s="8">
        <v>7610</v>
      </c>
      <c r="C448" s="4" t="s">
        <v>98</v>
      </c>
      <c r="D448" s="9" t="s">
        <v>8</v>
      </c>
      <c r="E448" s="10">
        <v>803</v>
      </c>
      <c r="F448" s="10"/>
      <c r="G448" s="23"/>
      <c r="H448" s="23"/>
      <c r="I448" s="23"/>
      <c r="J448" s="24"/>
      <c r="K448" s="25"/>
      <c r="L448" s="26"/>
      <c r="M448" s="27"/>
      <c r="N448" s="27"/>
      <c r="O448" s="27"/>
      <c r="P448" s="27"/>
      <c r="Q448" s="27"/>
      <c r="R448" s="27"/>
      <c r="S448" s="13">
        <f t="shared" si="111"/>
        <v>0</v>
      </c>
      <c r="W448" s="2"/>
    </row>
    <row r="449" spans="2:23" ht="15.75" customHeight="1" x14ac:dyDescent="0.25">
      <c r="B449" s="8">
        <v>7610</v>
      </c>
      <c r="C449" s="4" t="s">
        <v>98</v>
      </c>
      <c r="D449" s="9" t="s">
        <v>8</v>
      </c>
      <c r="E449" s="10">
        <v>804</v>
      </c>
      <c r="F449" s="10"/>
      <c r="G449" s="23"/>
      <c r="H449" s="23"/>
      <c r="I449" s="23"/>
      <c r="J449" s="24"/>
      <c r="K449" s="25"/>
      <c r="L449" s="26"/>
      <c r="M449" s="27"/>
      <c r="N449" s="27"/>
      <c r="O449" s="27"/>
      <c r="P449" s="27"/>
      <c r="Q449" s="27"/>
      <c r="R449" s="27"/>
      <c r="S449" s="13">
        <f t="shared" si="111"/>
        <v>0</v>
      </c>
      <c r="W449" s="2"/>
    </row>
    <row r="450" spans="2:23" ht="15.75" customHeight="1" x14ac:dyDescent="0.25">
      <c r="B450" s="8">
        <v>7610</v>
      </c>
      <c r="C450" s="4" t="s">
        <v>98</v>
      </c>
      <c r="D450" s="9" t="s">
        <v>8</v>
      </c>
      <c r="E450" s="10">
        <v>805</v>
      </c>
      <c r="F450" s="10"/>
      <c r="G450" s="23"/>
      <c r="H450" s="23"/>
      <c r="I450" s="23"/>
      <c r="J450" s="24"/>
      <c r="K450" s="25"/>
      <c r="L450" s="26"/>
      <c r="M450" s="27"/>
      <c r="N450" s="27"/>
      <c r="O450" s="27"/>
      <c r="P450" s="27"/>
      <c r="Q450" s="27"/>
      <c r="R450" s="27"/>
      <c r="S450" s="13">
        <f t="shared" si="111"/>
        <v>0</v>
      </c>
      <c r="W450" s="2"/>
    </row>
    <row r="451" spans="2:23" ht="15.75" customHeight="1" x14ac:dyDescent="0.25">
      <c r="B451" s="8">
        <v>7610</v>
      </c>
      <c r="C451" s="4" t="s">
        <v>98</v>
      </c>
      <c r="D451" s="9" t="s">
        <v>8</v>
      </c>
      <c r="E451" s="10">
        <v>806</v>
      </c>
      <c r="F451" s="10"/>
      <c r="G451" s="23"/>
      <c r="H451" s="23"/>
      <c r="I451" s="23"/>
      <c r="J451" s="24"/>
      <c r="K451" s="25"/>
      <c r="L451" s="26"/>
      <c r="M451" s="27"/>
      <c r="N451" s="27"/>
      <c r="O451" s="27"/>
      <c r="P451" s="27"/>
      <c r="Q451" s="27"/>
      <c r="R451" s="27"/>
      <c r="S451" s="13">
        <f t="shared" si="111"/>
        <v>0</v>
      </c>
      <c r="W451" s="2"/>
    </row>
    <row r="452" spans="2:23" ht="15.75" customHeight="1" x14ac:dyDescent="0.25">
      <c r="B452" s="8">
        <v>7610</v>
      </c>
      <c r="C452" s="4" t="s">
        <v>98</v>
      </c>
      <c r="D452" s="9" t="s">
        <v>8</v>
      </c>
      <c r="E452" s="10">
        <v>807</v>
      </c>
      <c r="F452" s="10"/>
      <c r="G452" s="23"/>
      <c r="H452" s="23"/>
      <c r="I452" s="23"/>
      <c r="J452" s="24"/>
      <c r="K452" s="25"/>
      <c r="L452" s="26"/>
      <c r="M452" s="27"/>
      <c r="N452" s="27"/>
      <c r="O452" s="27"/>
      <c r="P452" s="27"/>
      <c r="Q452" s="27"/>
      <c r="R452" s="27"/>
      <c r="S452" s="13">
        <f t="shared" si="111"/>
        <v>0</v>
      </c>
      <c r="W452" s="2"/>
    </row>
    <row r="453" spans="2:23" ht="15.75" customHeight="1" x14ac:dyDescent="0.25">
      <c r="B453" s="8">
        <v>7610</v>
      </c>
      <c r="C453" s="4" t="s">
        <v>98</v>
      </c>
      <c r="D453" s="9" t="s">
        <v>8</v>
      </c>
      <c r="E453" s="10">
        <v>808</v>
      </c>
      <c r="F453" s="10"/>
      <c r="G453" s="23"/>
      <c r="H453" s="23"/>
      <c r="I453" s="23"/>
      <c r="J453" s="24"/>
      <c r="K453" s="25"/>
      <c r="L453" s="26"/>
      <c r="M453" s="27"/>
      <c r="N453" s="27"/>
      <c r="O453" s="27"/>
      <c r="P453" s="27"/>
      <c r="Q453" s="27"/>
      <c r="R453" s="27"/>
      <c r="S453" s="13">
        <f t="shared" si="111"/>
        <v>0</v>
      </c>
      <c r="W453" s="2"/>
    </row>
    <row r="454" spans="2:23" ht="15.75" customHeight="1" x14ac:dyDescent="0.25">
      <c r="B454" s="8">
        <v>7610</v>
      </c>
      <c r="C454" s="4" t="s">
        <v>98</v>
      </c>
      <c r="D454" s="9" t="s">
        <v>8</v>
      </c>
      <c r="E454" s="10">
        <v>809</v>
      </c>
      <c r="F454" s="10"/>
      <c r="G454" s="23"/>
      <c r="H454" s="23"/>
      <c r="I454" s="23"/>
      <c r="J454" s="24"/>
      <c r="K454" s="25"/>
      <c r="L454" s="26"/>
      <c r="M454" s="27"/>
      <c r="N454" s="27"/>
      <c r="O454" s="27"/>
      <c r="P454" s="27"/>
      <c r="Q454" s="27"/>
      <c r="R454" s="27"/>
      <c r="S454" s="13">
        <f t="shared" si="111"/>
        <v>0</v>
      </c>
      <c r="W454" s="2"/>
    </row>
    <row r="455" spans="2:23" ht="15.75" customHeight="1" x14ac:dyDescent="0.25">
      <c r="B455" s="8">
        <v>7610</v>
      </c>
      <c r="C455" s="4" t="s">
        <v>98</v>
      </c>
      <c r="D455" s="9" t="s">
        <v>8</v>
      </c>
      <c r="E455" s="10">
        <v>810</v>
      </c>
      <c r="F455" s="10"/>
      <c r="G455" s="28"/>
      <c r="H455" s="28"/>
      <c r="I455" s="28"/>
      <c r="J455" s="29"/>
      <c r="K455" s="30"/>
      <c r="L455" s="31"/>
      <c r="M455" s="32"/>
      <c r="N455" s="32"/>
      <c r="O455" s="32"/>
      <c r="P455" s="32"/>
      <c r="Q455" s="32"/>
      <c r="R455" s="32"/>
      <c r="S455" s="13">
        <f t="shared" si="111"/>
        <v>0</v>
      </c>
      <c r="W455" s="2"/>
    </row>
    <row r="456" spans="2:23" ht="15.75" customHeight="1" x14ac:dyDescent="0.25">
      <c r="B456" s="10"/>
      <c r="C456" s="15"/>
      <c r="D456" s="16"/>
      <c r="E456" s="10"/>
      <c r="F456" s="10"/>
      <c r="G456" s="18">
        <f t="shared" ref="G456:S456" si="112">SUM(G445:G455)</f>
        <v>0</v>
      </c>
      <c r="H456" s="18">
        <f t="shared" si="112"/>
        <v>0</v>
      </c>
      <c r="I456" s="18">
        <f t="shared" si="112"/>
        <v>0</v>
      </c>
      <c r="J456" s="18">
        <f t="shared" si="112"/>
        <v>0</v>
      </c>
      <c r="K456" s="18">
        <f t="shared" si="112"/>
        <v>0</v>
      </c>
      <c r="L456" s="18">
        <f t="shared" si="112"/>
        <v>0</v>
      </c>
      <c r="M456" s="18">
        <f t="shared" si="112"/>
        <v>0</v>
      </c>
      <c r="N456" s="18">
        <f t="shared" si="112"/>
        <v>0</v>
      </c>
      <c r="O456" s="18">
        <f t="shared" si="112"/>
        <v>0</v>
      </c>
      <c r="P456" s="18">
        <f t="shared" si="112"/>
        <v>0</v>
      </c>
      <c r="Q456" s="18">
        <f t="shared" si="112"/>
        <v>0</v>
      </c>
      <c r="R456" s="18">
        <f t="shared" si="112"/>
        <v>0</v>
      </c>
      <c r="S456" s="19">
        <f t="shared" si="112"/>
        <v>0</v>
      </c>
      <c r="W456" s="2"/>
    </row>
    <row r="457" spans="2:23" ht="15.75" customHeight="1" x14ac:dyDescent="0.25">
      <c r="B457" s="10"/>
      <c r="C457" s="15"/>
      <c r="D457" s="16"/>
      <c r="E457" s="10"/>
      <c r="F457" s="10"/>
      <c r="G457" s="20"/>
      <c r="H457" s="20"/>
      <c r="I457" s="20"/>
      <c r="J457" s="20"/>
      <c r="K457" s="15"/>
      <c r="L457" s="1"/>
      <c r="M457" s="21"/>
      <c r="W457" s="2"/>
    </row>
    <row r="458" spans="2:23" ht="15.75" customHeight="1" x14ac:dyDescent="0.25">
      <c r="B458" s="10"/>
      <c r="C458" s="15"/>
      <c r="D458" s="16"/>
      <c r="E458" s="10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W458" s="2"/>
    </row>
    <row r="459" spans="2:23" ht="15.75" customHeight="1" x14ac:dyDescent="0.25">
      <c r="B459" s="10"/>
      <c r="C459" s="15"/>
      <c r="D459" s="16"/>
      <c r="E459" s="10"/>
      <c r="F459" s="4">
        <v>2024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f t="shared" ref="S459:S460" si="113">SUM(G459:R459)</f>
        <v>0</v>
      </c>
      <c r="W459" s="2"/>
    </row>
    <row r="460" spans="2:23" ht="15.75" customHeight="1" x14ac:dyDescent="0.25">
      <c r="B460" s="10"/>
      <c r="C460" s="15"/>
      <c r="D460" s="16"/>
      <c r="E460" s="10"/>
      <c r="F460" s="4">
        <v>2025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f t="shared" si="113"/>
        <v>0</v>
      </c>
      <c r="W460" s="2"/>
    </row>
    <row r="461" spans="2:23" ht="15.75" customHeight="1" x14ac:dyDescent="0.25">
      <c r="B461" s="10"/>
      <c r="C461" s="15"/>
      <c r="D461" s="16"/>
      <c r="E461" s="10"/>
      <c r="F461" s="10"/>
      <c r="G461" s="20"/>
      <c r="H461" s="20"/>
      <c r="I461" s="20"/>
      <c r="J461" s="20"/>
      <c r="K461" s="15"/>
      <c r="L461" s="1"/>
      <c r="M461" s="21"/>
      <c r="W461" s="2"/>
    </row>
    <row r="462" spans="2:23" ht="15.75" customHeight="1" x14ac:dyDescent="0.25">
      <c r="B462" s="10"/>
      <c r="C462" s="15"/>
      <c r="D462" s="16"/>
      <c r="E462" s="10"/>
      <c r="F462" s="10"/>
      <c r="G462" s="7">
        <v>46023</v>
      </c>
      <c r="H462" s="7">
        <v>46054</v>
      </c>
      <c r="I462" s="7">
        <v>46082</v>
      </c>
      <c r="J462" s="7">
        <v>46113</v>
      </c>
      <c r="K462" s="7">
        <v>46143</v>
      </c>
      <c r="L462" s="7">
        <v>46174</v>
      </c>
      <c r="M462" s="7">
        <v>46204</v>
      </c>
      <c r="N462" s="7">
        <v>46235</v>
      </c>
      <c r="O462" s="7">
        <v>46266</v>
      </c>
      <c r="P462" s="7">
        <v>46296</v>
      </c>
      <c r="Q462" s="7">
        <v>46327</v>
      </c>
      <c r="R462" s="7">
        <v>46357</v>
      </c>
      <c r="S462" s="7" t="s">
        <v>6</v>
      </c>
      <c r="W462" s="2"/>
    </row>
    <row r="463" spans="2:23" ht="15.75" customHeight="1" x14ac:dyDescent="0.25">
      <c r="B463" s="8">
        <v>7615</v>
      </c>
      <c r="C463" s="4" t="s">
        <v>99</v>
      </c>
      <c r="D463" s="9" t="s">
        <v>8</v>
      </c>
      <c r="E463" s="10">
        <v>800</v>
      </c>
      <c r="F463" s="10"/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3">
        <f t="shared" ref="S463:S473" si="114">SUM(G463:R463)</f>
        <v>0</v>
      </c>
      <c r="W463" s="2"/>
    </row>
    <row r="464" spans="2:23" ht="15.75" customHeight="1" x14ac:dyDescent="0.25">
      <c r="B464" s="8">
        <v>7615</v>
      </c>
      <c r="C464" s="4" t="s">
        <v>99</v>
      </c>
      <c r="D464" s="9" t="s">
        <v>8</v>
      </c>
      <c r="E464" s="10">
        <v>801</v>
      </c>
      <c r="F464" s="10"/>
      <c r="G464" s="23"/>
      <c r="H464" s="23"/>
      <c r="I464" s="23"/>
      <c r="J464" s="24"/>
      <c r="K464" s="25"/>
      <c r="L464" s="26"/>
      <c r="M464" s="27"/>
      <c r="N464" s="27"/>
      <c r="O464" s="27"/>
      <c r="P464" s="27"/>
      <c r="Q464" s="27"/>
      <c r="R464" s="27"/>
      <c r="S464" s="13">
        <f t="shared" si="114"/>
        <v>0</v>
      </c>
      <c r="W464" s="2"/>
    </row>
    <row r="465" spans="2:23" ht="15.75" customHeight="1" x14ac:dyDescent="0.25">
      <c r="B465" s="8">
        <v>7615</v>
      </c>
      <c r="C465" s="4" t="s">
        <v>99</v>
      </c>
      <c r="D465" s="9" t="s">
        <v>8</v>
      </c>
      <c r="E465" s="10">
        <v>802</v>
      </c>
      <c r="F465" s="10"/>
      <c r="G465" s="23"/>
      <c r="H465" s="23"/>
      <c r="I465" s="23"/>
      <c r="J465" s="24"/>
      <c r="K465" s="25"/>
      <c r="L465" s="26"/>
      <c r="M465" s="27"/>
      <c r="N465" s="27"/>
      <c r="O465" s="27"/>
      <c r="P465" s="27"/>
      <c r="Q465" s="27"/>
      <c r="R465" s="27"/>
      <c r="S465" s="13">
        <f t="shared" si="114"/>
        <v>0</v>
      </c>
      <c r="W465" s="2"/>
    </row>
    <row r="466" spans="2:23" ht="15.75" customHeight="1" x14ac:dyDescent="0.25">
      <c r="B466" s="8">
        <v>7615</v>
      </c>
      <c r="C466" s="4" t="s">
        <v>99</v>
      </c>
      <c r="D466" s="9" t="s">
        <v>8</v>
      </c>
      <c r="E466" s="10">
        <v>803</v>
      </c>
      <c r="F466" s="10"/>
      <c r="G466" s="23"/>
      <c r="H466" s="23"/>
      <c r="I466" s="23"/>
      <c r="J466" s="24"/>
      <c r="K466" s="25"/>
      <c r="L466" s="26"/>
      <c r="M466" s="27"/>
      <c r="N466" s="27"/>
      <c r="O466" s="27"/>
      <c r="P466" s="27"/>
      <c r="Q466" s="27"/>
      <c r="R466" s="27"/>
      <c r="S466" s="13">
        <f t="shared" si="114"/>
        <v>0</v>
      </c>
      <c r="W466" s="2"/>
    </row>
    <row r="467" spans="2:23" ht="15.75" customHeight="1" x14ac:dyDescent="0.25">
      <c r="B467" s="8">
        <v>7615</v>
      </c>
      <c r="C467" s="4" t="s">
        <v>99</v>
      </c>
      <c r="D467" s="9" t="s">
        <v>8</v>
      </c>
      <c r="E467" s="10">
        <v>804</v>
      </c>
      <c r="F467" s="10"/>
      <c r="G467" s="23"/>
      <c r="H467" s="23"/>
      <c r="I467" s="23"/>
      <c r="J467" s="24"/>
      <c r="K467" s="25"/>
      <c r="L467" s="26"/>
      <c r="M467" s="27"/>
      <c r="N467" s="27"/>
      <c r="O467" s="27"/>
      <c r="P467" s="27"/>
      <c r="Q467" s="27"/>
      <c r="R467" s="27"/>
      <c r="S467" s="13">
        <f t="shared" si="114"/>
        <v>0</v>
      </c>
      <c r="W467" s="2"/>
    </row>
    <row r="468" spans="2:23" ht="15.75" customHeight="1" x14ac:dyDescent="0.25">
      <c r="B468" s="8">
        <v>7615</v>
      </c>
      <c r="C468" s="4" t="s">
        <v>99</v>
      </c>
      <c r="D468" s="9" t="s">
        <v>8</v>
      </c>
      <c r="E468" s="10">
        <v>805</v>
      </c>
      <c r="F468" s="10"/>
      <c r="G468" s="23"/>
      <c r="H468" s="23"/>
      <c r="I468" s="23"/>
      <c r="J468" s="24"/>
      <c r="K468" s="25"/>
      <c r="L468" s="26"/>
      <c r="M468" s="27"/>
      <c r="N468" s="27"/>
      <c r="O468" s="27"/>
      <c r="P468" s="27"/>
      <c r="Q468" s="27"/>
      <c r="R468" s="27"/>
      <c r="S468" s="13">
        <f t="shared" si="114"/>
        <v>0</v>
      </c>
      <c r="W468" s="2"/>
    </row>
    <row r="469" spans="2:23" ht="15.75" customHeight="1" x14ac:dyDescent="0.25">
      <c r="B469" s="8">
        <v>7615</v>
      </c>
      <c r="C469" s="4" t="s">
        <v>99</v>
      </c>
      <c r="D469" s="9" t="s">
        <v>8</v>
      </c>
      <c r="E469" s="10">
        <v>806</v>
      </c>
      <c r="F469" s="10"/>
      <c r="G469" s="23"/>
      <c r="H469" s="23"/>
      <c r="I469" s="23"/>
      <c r="J469" s="24"/>
      <c r="K469" s="25"/>
      <c r="L469" s="26"/>
      <c r="M469" s="27"/>
      <c r="N469" s="27"/>
      <c r="O469" s="27"/>
      <c r="P469" s="27"/>
      <c r="Q469" s="27"/>
      <c r="R469" s="27"/>
      <c r="S469" s="13">
        <f t="shared" si="114"/>
        <v>0</v>
      </c>
      <c r="W469" s="2"/>
    </row>
    <row r="470" spans="2:23" ht="15.75" customHeight="1" x14ac:dyDescent="0.25">
      <c r="B470" s="8">
        <v>7615</v>
      </c>
      <c r="C470" s="4" t="s">
        <v>99</v>
      </c>
      <c r="D470" s="9" t="s">
        <v>8</v>
      </c>
      <c r="E470" s="10">
        <v>807</v>
      </c>
      <c r="F470" s="10"/>
      <c r="G470" s="23"/>
      <c r="H470" s="23"/>
      <c r="I470" s="23"/>
      <c r="J470" s="24"/>
      <c r="K470" s="25"/>
      <c r="L470" s="26"/>
      <c r="M470" s="27"/>
      <c r="N470" s="27"/>
      <c r="O470" s="27"/>
      <c r="P470" s="27"/>
      <c r="Q470" s="27"/>
      <c r="R470" s="27"/>
      <c r="S470" s="13">
        <f t="shared" si="114"/>
        <v>0</v>
      </c>
      <c r="W470" s="2"/>
    </row>
    <row r="471" spans="2:23" ht="15.75" customHeight="1" x14ac:dyDescent="0.25">
      <c r="B471" s="8">
        <v>7615</v>
      </c>
      <c r="C471" s="4" t="s">
        <v>99</v>
      </c>
      <c r="D471" s="9" t="s">
        <v>8</v>
      </c>
      <c r="E471" s="10">
        <v>808</v>
      </c>
      <c r="F471" s="10"/>
      <c r="G471" s="23"/>
      <c r="H471" s="23"/>
      <c r="I471" s="23"/>
      <c r="J471" s="24"/>
      <c r="K471" s="25"/>
      <c r="L471" s="26"/>
      <c r="M471" s="27"/>
      <c r="N471" s="27"/>
      <c r="O471" s="27"/>
      <c r="P471" s="27"/>
      <c r="Q471" s="27"/>
      <c r="R471" s="27"/>
      <c r="S471" s="13">
        <f t="shared" si="114"/>
        <v>0</v>
      </c>
      <c r="W471" s="2"/>
    </row>
    <row r="472" spans="2:23" ht="15.75" customHeight="1" x14ac:dyDescent="0.25">
      <c r="B472" s="8">
        <v>7615</v>
      </c>
      <c r="C472" s="4" t="s">
        <v>99</v>
      </c>
      <c r="D472" s="9" t="s">
        <v>8</v>
      </c>
      <c r="E472" s="10">
        <v>809</v>
      </c>
      <c r="F472" s="10"/>
      <c r="G472" s="23"/>
      <c r="H472" s="23"/>
      <c r="I472" s="23"/>
      <c r="J472" s="24"/>
      <c r="K472" s="25"/>
      <c r="L472" s="26"/>
      <c r="M472" s="27"/>
      <c r="N472" s="27"/>
      <c r="O472" s="27"/>
      <c r="P472" s="27"/>
      <c r="Q472" s="27"/>
      <c r="R472" s="27"/>
      <c r="S472" s="13">
        <f t="shared" si="114"/>
        <v>0</v>
      </c>
      <c r="W472" s="2"/>
    </row>
    <row r="473" spans="2:23" ht="15.75" customHeight="1" x14ac:dyDescent="0.25">
      <c r="B473" s="8">
        <v>7615</v>
      </c>
      <c r="C473" s="4" t="s">
        <v>99</v>
      </c>
      <c r="D473" s="9" t="s">
        <v>8</v>
      </c>
      <c r="E473" s="10">
        <v>810</v>
      </c>
      <c r="F473" s="10"/>
      <c r="G473" s="28"/>
      <c r="H473" s="28"/>
      <c r="I473" s="28"/>
      <c r="J473" s="29"/>
      <c r="K473" s="30"/>
      <c r="L473" s="31"/>
      <c r="M473" s="32"/>
      <c r="N473" s="32"/>
      <c r="O473" s="32"/>
      <c r="P473" s="32"/>
      <c r="Q473" s="32"/>
      <c r="R473" s="32"/>
      <c r="S473" s="13">
        <f t="shared" si="114"/>
        <v>0</v>
      </c>
      <c r="W473" s="2"/>
    </row>
    <row r="474" spans="2:23" ht="15.75" customHeight="1" x14ac:dyDescent="0.25">
      <c r="B474" s="10"/>
      <c r="C474" s="15"/>
      <c r="D474" s="16"/>
      <c r="E474" s="10"/>
      <c r="F474" s="10"/>
      <c r="G474" s="18">
        <f t="shared" ref="G474:S474" si="115">SUM(G463:G473)</f>
        <v>0</v>
      </c>
      <c r="H474" s="18">
        <f t="shared" si="115"/>
        <v>0</v>
      </c>
      <c r="I474" s="18">
        <f t="shared" si="115"/>
        <v>0</v>
      </c>
      <c r="J474" s="18">
        <f t="shared" si="115"/>
        <v>0</v>
      </c>
      <c r="K474" s="18">
        <f t="shared" si="115"/>
        <v>0</v>
      </c>
      <c r="L474" s="18">
        <f t="shared" si="115"/>
        <v>0</v>
      </c>
      <c r="M474" s="18">
        <f t="shared" si="115"/>
        <v>0</v>
      </c>
      <c r="N474" s="18">
        <f t="shared" si="115"/>
        <v>0</v>
      </c>
      <c r="O474" s="18">
        <f t="shared" si="115"/>
        <v>0</v>
      </c>
      <c r="P474" s="18">
        <f t="shared" si="115"/>
        <v>0</v>
      </c>
      <c r="Q474" s="18">
        <f t="shared" si="115"/>
        <v>0</v>
      </c>
      <c r="R474" s="18">
        <f t="shared" si="115"/>
        <v>0</v>
      </c>
      <c r="S474" s="19">
        <f t="shared" si="115"/>
        <v>0</v>
      </c>
      <c r="W474" s="2"/>
    </row>
    <row r="475" spans="2:23" ht="15.75" customHeight="1" x14ac:dyDescent="0.25">
      <c r="B475" s="10"/>
      <c r="C475" s="15"/>
      <c r="D475" s="16"/>
      <c r="E475" s="10"/>
      <c r="F475" s="10"/>
      <c r="G475" s="20"/>
      <c r="H475" s="20"/>
      <c r="I475" s="20"/>
      <c r="J475" s="20"/>
      <c r="K475" s="15"/>
      <c r="L475" s="1"/>
      <c r="M475" s="21"/>
      <c r="W475" s="2"/>
    </row>
    <row r="476" spans="2:23" ht="15.75" customHeight="1" x14ac:dyDescent="0.25">
      <c r="B476" s="10"/>
      <c r="C476" s="15"/>
      <c r="D476" s="16"/>
      <c r="E476" s="10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W476" s="2"/>
    </row>
    <row r="477" spans="2:23" ht="15.75" customHeight="1" x14ac:dyDescent="0.25">
      <c r="B477" s="10"/>
      <c r="C477" s="15"/>
      <c r="D477" s="16"/>
      <c r="E477" s="10"/>
      <c r="F477" s="4">
        <v>2024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f t="shared" ref="S477:S478" si="116">SUM(G477:R477)</f>
        <v>0</v>
      </c>
      <c r="W477" s="2"/>
    </row>
    <row r="478" spans="2:23" ht="15.75" customHeight="1" x14ac:dyDescent="0.25">
      <c r="B478" s="10"/>
      <c r="C478" s="15"/>
      <c r="D478" s="16"/>
      <c r="E478" s="10"/>
      <c r="F478" s="4">
        <v>2025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f t="shared" si="116"/>
        <v>0</v>
      </c>
      <c r="W478" s="2"/>
    </row>
    <row r="479" spans="2:23" ht="15.75" customHeight="1" x14ac:dyDescent="0.25">
      <c r="B479" s="10"/>
      <c r="C479" s="15"/>
      <c r="D479" s="16"/>
      <c r="E479" s="10"/>
      <c r="F479" s="10"/>
      <c r="G479" s="20"/>
      <c r="H479" s="20"/>
      <c r="I479" s="20"/>
      <c r="J479" s="20"/>
      <c r="K479" s="15"/>
      <c r="L479" s="1"/>
      <c r="M479" s="21"/>
      <c r="W479" s="2"/>
    </row>
    <row r="480" spans="2:23" ht="15.75" customHeight="1" x14ac:dyDescent="0.25">
      <c r="B480" s="10"/>
      <c r="C480" s="15"/>
      <c r="D480" s="16"/>
      <c r="E480" s="10"/>
      <c r="F480" s="10"/>
      <c r="G480" s="20"/>
      <c r="H480" s="20"/>
      <c r="I480" s="20"/>
      <c r="J480" s="20"/>
      <c r="K480" s="15"/>
      <c r="L480" s="1"/>
      <c r="M480" s="21"/>
      <c r="W480" s="2"/>
    </row>
    <row r="481" spans="2:23" ht="15.75" customHeight="1" x14ac:dyDescent="0.25">
      <c r="B481" s="10"/>
      <c r="C481" s="15"/>
      <c r="D481" s="16"/>
      <c r="E481" s="10"/>
      <c r="F481" s="10"/>
      <c r="G481" s="20"/>
      <c r="H481" s="20"/>
      <c r="I481" s="20"/>
      <c r="J481" s="20"/>
      <c r="K481" s="15"/>
      <c r="L481" s="1"/>
      <c r="M481" s="21"/>
      <c r="W481" s="2"/>
    </row>
    <row r="482" spans="2:23" ht="15.75" customHeight="1" x14ac:dyDescent="0.25">
      <c r="B482" s="10"/>
      <c r="C482" s="15"/>
      <c r="D482" s="16"/>
      <c r="E482" s="10"/>
      <c r="F482" s="10"/>
      <c r="G482" s="7">
        <v>46023</v>
      </c>
      <c r="H482" s="7">
        <v>46054</v>
      </c>
      <c r="I482" s="7">
        <v>46082</v>
      </c>
      <c r="J482" s="7">
        <v>46113</v>
      </c>
      <c r="K482" s="7">
        <v>46143</v>
      </c>
      <c r="L482" s="7">
        <v>46174</v>
      </c>
      <c r="M482" s="7">
        <v>46204</v>
      </c>
      <c r="N482" s="7">
        <v>46235</v>
      </c>
      <c r="O482" s="7">
        <v>46266</v>
      </c>
      <c r="P482" s="7">
        <v>46296</v>
      </c>
      <c r="Q482" s="7">
        <v>46327</v>
      </c>
      <c r="R482" s="7">
        <v>46357</v>
      </c>
      <c r="S482" s="7" t="s">
        <v>6</v>
      </c>
      <c r="W482" s="2"/>
    </row>
    <row r="483" spans="2:23" ht="15.75" customHeight="1" x14ac:dyDescent="0.25">
      <c r="B483" s="8">
        <v>7620</v>
      </c>
      <c r="C483" s="4" t="s">
        <v>100</v>
      </c>
      <c r="D483" s="9" t="s">
        <v>8</v>
      </c>
      <c r="E483" s="10">
        <v>800</v>
      </c>
      <c r="F483" s="10" t="s">
        <v>101</v>
      </c>
      <c r="G483" s="14">
        <v>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3">
        <f t="shared" ref="S483:S493" si="117">SUM(G483:R483)</f>
        <v>0</v>
      </c>
      <c r="W483" s="2"/>
    </row>
    <row r="484" spans="2:23" ht="15.75" customHeight="1" x14ac:dyDescent="0.25">
      <c r="B484" s="8">
        <v>7620</v>
      </c>
      <c r="C484" s="4" t="s">
        <v>100</v>
      </c>
      <c r="D484" s="9" t="s">
        <v>8</v>
      </c>
      <c r="E484" s="10">
        <v>801</v>
      </c>
      <c r="F484" s="10" t="s">
        <v>102</v>
      </c>
      <c r="G484" s="23"/>
      <c r="H484" s="23"/>
      <c r="I484" s="23"/>
      <c r="J484" s="24"/>
      <c r="K484" s="25"/>
      <c r="L484" s="26"/>
      <c r="M484" s="27"/>
      <c r="N484" s="27"/>
      <c r="O484" s="27"/>
      <c r="P484" s="27"/>
      <c r="Q484" s="27"/>
      <c r="R484" s="27"/>
      <c r="S484" s="13">
        <f t="shared" si="117"/>
        <v>0</v>
      </c>
      <c r="W484" s="2"/>
    </row>
    <row r="485" spans="2:23" ht="15.75" customHeight="1" x14ac:dyDescent="0.25">
      <c r="B485" s="8">
        <v>7620</v>
      </c>
      <c r="C485" s="4" t="s">
        <v>100</v>
      </c>
      <c r="D485" s="9" t="s">
        <v>8</v>
      </c>
      <c r="E485" s="10">
        <v>802</v>
      </c>
      <c r="F485" s="10"/>
      <c r="G485" s="23"/>
      <c r="H485" s="23"/>
      <c r="I485" s="23"/>
      <c r="J485" s="24"/>
      <c r="K485" s="25"/>
      <c r="L485" s="26"/>
      <c r="M485" s="27"/>
      <c r="N485" s="27"/>
      <c r="O485" s="27"/>
      <c r="P485" s="27"/>
      <c r="Q485" s="27"/>
      <c r="R485" s="27"/>
      <c r="S485" s="13">
        <f t="shared" si="117"/>
        <v>0</v>
      </c>
      <c r="W485" s="2"/>
    </row>
    <row r="486" spans="2:23" ht="15.75" customHeight="1" x14ac:dyDescent="0.25">
      <c r="B486" s="8">
        <v>7620</v>
      </c>
      <c r="C486" s="4" t="s">
        <v>100</v>
      </c>
      <c r="D486" s="9" t="s">
        <v>8</v>
      </c>
      <c r="E486" s="10">
        <v>803</v>
      </c>
      <c r="F486" s="10"/>
      <c r="G486" s="23"/>
      <c r="H486" s="23"/>
      <c r="I486" s="23"/>
      <c r="J486" s="24"/>
      <c r="K486" s="25"/>
      <c r="L486" s="26"/>
      <c r="M486" s="27"/>
      <c r="N486" s="27"/>
      <c r="O486" s="27"/>
      <c r="P486" s="27"/>
      <c r="Q486" s="27"/>
      <c r="R486" s="27"/>
      <c r="S486" s="13">
        <f t="shared" si="117"/>
        <v>0</v>
      </c>
      <c r="W486" s="2"/>
    </row>
    <row r="487" spans="2:23" ht="15.75" customHeight="1" x14ac:dyDescent="0.25">
      <c r="B487" s="8">
        <v>7620</v>
      </c>
      <c r="C487" s="4" t="s">
        <v>100</v>
      </c>
      <c r="D487" s="9" t="s">
        <v>8</v>
      </c>
      <c r="E487" s="10">
        <v>804</v>
      </c>
      <c r="F487" s="10"/>
      <c r="G487" s="23"/>
      <c r="H487" s="23"/>
      <c r="I487" s="23"/>
      <c r="J487" s="24"/>
      <c r="K487" s="25"/>
      <c r="L487" s="26"/>
      <c r="M487" s="27"/>
      <c r="N487" s="27"/>
      <c r="O487" s="27"/>
      <c r="P487" s="27"/>
      <c r="Q487" s="27"/>
      <c r="R487" s="27"/>
      <c r="S487" s="13">
        <f t="shared" si="117"/>
        <v>0</v>
      </c>
      <c r="W487" s="2"/>
    </row>
    <row r="488" spans="2:23" ht="15.75" customHeight="1" x14ac:dyDescent="0.25">
      <c r="B488" s="8">
        <v>7620</v>
      </c>
      <c r="C488" s="4" t="s">
        <v>100</v>
      </c>
      <c r="D488" s="9" t="s">
        <v>8</v>
      </c>
      <c r="E488" s="10">
        <v>805</v>
      </c>
      <c r="F488" s="10"/>
      <c r="G488" s="23"/>
      <c r="H488" s="23"/>
      <c r="I488" s="23"/>
      <c r="J488" s="24"/>
      <c r="K488" s="25"/>
      <c r="L488" s="26"/>
      <c r="M488" s="27"/>
      <c r="N488" s="27"/>
      <c r="O488" s="27"/>
      <c r="P488" s="27"/>
      <c r="Q488" s="27"/>
      <c r="R488" s="27"/>
      <c r="S488" s="13">
        <f t="shared" si="117"/>
        <v>0</v>
      </c>
      <c r="W488" s="2"/>
    </row>
    <row r="489" spans="2:23" ht="15.75" customHeight="1" x14ac:dyDescent="0.25">
      <c r="B489" s="8">
        <v>7620</v>
      </c>
      <c r="C489" s="4" t="s">
        <v>100</v>
      </c>
      <c r="D489" s="9" t="s">
        <v>8</v>
      </c>
      <c r="E489" s="10">
        <v>806</v>
      </c>
      <c r="F489" s="10"/>
      <c r="G489" s="23"/>
      <c r="H489" s="23"/>
      <c r="I489" s="23"/>
      <c r="J489" s="24"/>
      <c r="K489" s="25"/>
      <c r="L489" s="26"/>
      <c r="M489" s="27"/>
      <c r="N489" s="27"/>
      <c r="O489" s="27"/>
      <c r="P489" s="27"/>
      <c r="Q489" s="27"/>
      <c r="R489" s="27"/>
      <c r="S489" s="13">
        <f t="shared" si="117"/>
        <v>0</v>
      </c>
      <c r="W489" s="2"/>
    </row>
    <row r="490" spans="2:23" ht="15.75" customHeight="1" x14ac:dyDescent="0.25">
      <c r="B490" s="8">
        <v>7620</v>
      </c>
      <c r="C490" s="4" t="s">
        <v>100</v>
      </c>
      <c r="D490" s="9" t="s">
        <v>8</v>
      </c>
      <c r="E490" s="10">
        <v>807</v>
      </c>
      <c r="F490" s="10"/>
      <c r="G490" s="23"/>
      <c r="H490" s="23"/>
      <c r="I490" s="23"/>
      <c r="J490" s="24"/>
      <c r="K490" s="25"/>
      <c r="L490" s="26"/>
      <c r="M490" s="27"/>
      <c r="N490" s="27"/>
      <c r="O490" s="27"/>
      <c r="P490" s="27"/>
      <c r="Q490" s="27"/>
      <c r="R490" s="27"/>
      <c r="S490" s="13">
        <f t="shared" si="117"/>
        <v>0</v>
      </c>
      <c r="W490" s="2"/>
    </row>
    <row r="491" spans="2:23" ht="15.75" customHeight="1" x14ac:dyDescent="0.25">
      <c r="B491" s="8">
        <v>7620</v>
      </c>
      <c r="C491" s="4" t="s">
        <v>100</v>
      </c>
      <c r="D491" s="9" t="s">
        <v>8</v>
      </c>
      <c r="E491" s="10">
        <v>808</v>
      </c>
      <c r="F491" s="10"/>
      <c r="G491" s="23"/>
      <c r="H491" s="23"/>
      <c r="I491" s="23"/>
      <c r="J491" s="24"/>
      <c r="K491" s="25"/>
      <c r="L491" s="26"/>
      <c r="M491" s="27"/>
      <c r="N491" s="27"/>
      <c r="O491" s="27"/>
      <c r="P491" s="27"/>
      <c r="Q491" s="27"/>
      <c r="R491" s="27"/>
      <c r="S491" s="13">
        <f t="shared" si="117"/>
        <v>0</v>
      </c>
      <c r="W491" s="2"/>
    </row>
    <row r="492" spans="2:23" ht="15.75" customHeight="1" x14ac:dyDescent="0.25">
      <c r="B492" s="8">
        <v>7620</v>
      </c>
      <c r="C492" s="4" t="s">
        <v>100</v>
      </c>
      <c r="D492" s="9" t="s">
        <v>8</v>
      </c>
      <c r="E492" s="10">
        <v>809</v>
      </c>
      <c r="F492" s="10"/>
      <c r="G492" s="23"/>
      <c r="H492" s="23"/>
      <c r="I492" s="23"/>
      <c r="J492" s="24"/>
      <c r="K492" s="25"/>
      <c r="L492" s="26"/>
      <c r="M492" s="27"/>
      <c r="N492" s="27"/>
      <c r="O492" s="27"/>
      <c r="P492" s="27"/>
      <c r="Q492" s="27"/>
      <c r="R492" s="27"/>
      <c r="S492" s="13">
        <f t="shared" si="117"/>
        <v>0</v>
      </c>
      <c r="W492" s="2"/>
    </row>
    <row r="493" spans="2:23" ht="15.75" customHeight="1" x14ac:dyDescent="0.25">
      <c r="B493" s="8">
        <v>7620</v>
      </c>
      <c r="C493" s="4" t="s">
        <v>100</v>
      </c>
      <c r="D493" s="9" t="s">
        <v>8</v>
      </c>
      <c r="E493" s="10">
        <v>810</v>
      </c>
      <c r="F493" s="10"/>
      <c r="G493" s="28"/>
      <c r="H493" s="28"/>
      <c r="I493" s="28"/>
      <c r="J493" s="29"/>
      <c r="K493" s="30"/>
      <c r="L493" s="31"/>
      <c r="M493" s="32"/>
      <c r="N493" s="32"/>
      <c r="O493" s="32"/>
      <c r="P493" s="32"/>
      <c r="Q493" s="32"/>
      <c r="R493" s="32"/>
      <c r="S493" s="13">
        <f t="shared" si="117"/>
        <v>0</v>
      </c>
      <c r="W493" s="2"/>
    </row>
    <row r="494" spans="2:23" ht="15.75" customHeight="1" x14ac:dyDescent="0.25">
      <c r="B494" s="10"/>
      <c r="C494" s="15"/>
      <c r="D494" s="16"/>
      <c r="E494" s="10"/>
      <c r="F494" s="10"/>
      <c r="G494" s="18">
        <f t="shared" ref="G494:S494" si="118">SUM(G483:G493)</f>
        <v>0</v>
      </c>
      <c r="H494" s="18">
        <f t="shared" si="118"/>
        <v>0</v>
      </c>
      <c r="I494" s="18">
        <f t="shared" si="118"/>
        <v>0</v>
      </c>
      <c r="J494" s="18">
        <f t="shared" si="118"/>
        <v>0</v>
      </c>
      <c r="K494" s="18">
        <f t="shared" si="118"/>
        <v>0</v>
      </c>
      <c r="L494" s="18">
        <f t="shared" si="118"/>
        <v>0</v>
      </c>
      <c r="M494" s="18">
        <f t="shared" si="118"/>
        <v>0</v>
      </c>
      <c r="N494" s="18">
        <f t="shared" si="118"/>
        <v>0</v>
      </c>
      <c r="O494" s="18">
        <f t="shared" si="118"/>
        <v>0</v>
      </c>
      <c r="P494" s="18">
        <f t="shared" si="118"/>
        <v>0</v>
      </c>
      <c r="Q494" s="18">
        <f t="shared" si="118"/>
        <v>0</v>
      </c>
      <c r="R494" s="18">
        <f t="shared" si="118"/>
        <v>0</v>
      </c>
      <c r="S494" s="19">
        <f t="shared" si="118"/>
        <v>0</v>
      </c>
      <c r="W494" s="2"/>
    </row>
    <row r="495" spans="2:23" ht="15.75" customHeight="1" x14ac:dyDescent="0.25">
      <c r="B495" s="10"/>
      <c r="C495" s="15"/>
      <c r="D495" s="16"/>
      <c r="E495" s="10"/>
      <c r="F495" s="10"/>
      <c r="G495" s="20"/>
      <c r="H495" s="20"/>
      <c r="I495" s="20"/>
      <c r="J495" s="20"/>
      <c r="K495" s="15"/>
      <c r="L495" s="1"/>
      <c r="M495" s="21"/>
      <c r="W495" s="2"/>
    </row>
    <row r="496" spans="2:23" ht="15.75" customHeight="1" x14ac:dyDescent="0.25">
      <c r="B496" s="10"/>
      <c r="C496" s="15"/>
      <c r="D496" s="16"/>
      <c r="E496" s="1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W496" s="2"/>
    </row>
    <row r="497" spans="2:23" ht="15.75" customHeight="1" x14ac:dyDescent="0.25">
      <c r="B497" s="10"/>
      <c r="C497" s="15"/>
      <c r="D497" s="16"/>
      <c r="E497" s="10"/>
      <c r="F497" s="4">
        <v>2024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f t="shared" ref="S497:S498" si="119">SUM(G497:R497)</f>
        <v>0</v>
      </c>
      <c r="W497" s="2"/>
    </row>
    <row r="498" spans="2:23" ht="15.75" customHeight="1" x14ac:dyDescent="0.25">
      <c r="B498" s="10"/>
      <c r="C498" s="15"/>
      <c r="D498" s="16"/>
      <c r="E498" s="10"/>
      <c r="F498" s="4">
        <v>2025</v>
      </c>
      <c r="G498" s="43">
        <v>0</v>
      </c>
      <c r="H498" s="43">
        <v>0</v>
      </c>
      <c r="I498" s="43">
        <v>0</v>
      </c>
      <c r="J498" s="43">
        <v>0</v>
      </c>
      <c r="K498" s="43">
        <v>0</v>
      </c>
      <c r="L498" s="43">
        <v>0</v>
      </c>
      <c r="M498" s="43">
        <v>0</v>
      </c>
      <c r="N498" s="43">
        <v>0</v>
      </c>
      <c r="O498" s="43">
        <v>250</v>
      </c>
      <c r="P498" s="43">
        <v>250</v>
      </c>
      <c r="Q498" s="43">
        <v>250</v>
      </c>
      <c r="R498" s="43">
        <v>250</v>
      </c>
      <c r="S498" s="3">
        <f t="shared" si="119"/>
        <v>1000</v>
      </c>
      <c r="W498" s="2"/>
    </row>
    <row r="499" spans="2:23" ht="15.75" customHeight="1" x14ac:dyDescent="0.25">
      <c r="B499" s="10"/>
      <c r="C499" s="15"/>
      <c r="D499" s="16"/>
      <c r="E499" s="10"/>
      <c r="F499" s="10"/>
      <c r="G499" s="20"/>
      <c r="H499" s="20"/>
      <c r="I499" s="20"/>
      <c r="J499" s="20"/>
      <c r="K499" s="15"/>
      <c r="L499" s="1"/>
      <c r="M499" s="21"/>
      <c r="W499" s="2"/>
    </row>
    <row r="500" spans="2:23" ht="15.75" customHeight="1" x14ac:dyDescent="0.25">
      <c r="B500" s="10"/>
      <c r="C500" s="15"/>
      <c r="D500" s="16"/>
      <c r="E500" s="10"/>
      <c r="F500" s="10"/>
      <c r="G500" s="20"/>
      <c r="H500" s="20"/>
      <c r="I500" s="20"/>
      <c r="J500" s="20"/>
      <c r="K500" s="15"/>
      <c r="L500" s="1"/>
      <c r="M500" s="21"/>
      <c r="W500" s="2"/>
    </row>
    <row r="501" spans="2:23" ht="15.75" customHeight="1" x14ac:dyDescent="0.25">
      <c r="B501" s="10"/>
      <c r="C501" s="15"/>
      <c r="D501" s="16"/>
      <c r="E501" s="10"/>
      <c r="F501" s="10"/>
      <c r="G501" s="7">
        <v>46023</v>
      </c>
      <c r="H501" s="7">
        <v>46054</v>
      </c>
      <c r="I501" s="7">
        <v>46082</v>
      </c>
      <c r="J501" s="7">
        <v>46113</v>
      </c>
      <c r="K501" s="7">
        <v>46143</v>
      </c>
      <c r="L501" s="7">
        <v>46174</v>
      </c>
      <c r="M501" s="7">
        <v>46204</v>
      </c>
      <c r="N501" s="7">
        <v>46235</v>
      </c>
      <c r="O501" s="7">
        <v>46266</v>
      </c>
      <c r="P501" s="7">
        <v>46296</v>
      </c>
      <c r="Q501" s="7">
        <v>46327</v>
      </c>
      <c r="R501" s="7">
        <v>46357</v>
      </c>
      <c r="S501" s="7" t="s">
        <v>6</v>
      </c>
      <c r="W501" s="2"/>
    </row>
    <row r="502" spans="2:23" ht="15.75" customHeight="1" x14ac:dyDescent="0.25">
      <c r="B502" s="8">
        <v>7625</v>
      </c>
      <c r="C502" s="4" t="s">
        <v>103</v>
      </c>
      <c r="D502" s="9" t="s">
        <v>8</v>
      </c>
      <c r="E502" s="10">
        <v>800</v>
      </c>
      <c r="F502" s="11" t="s">
        <v>104</v>
      </c>
      <c r="G502" s="12">
        <f>+(150)</f>
        <v>150</v>
      </c>
      <c r="H502" s="12">
        <f t="shared" ref="H502:R502" si="120">+(150)</f>
        <v>150</v>
      </c>
      <c r="I502" s="12">
        <f t="shared" si="120"/>
        <v>150</v>
      </c>
      <c r="J502" s="12">
        <f t="shared" si="120"/>
        <v>150</v>
      </c>
      <c r="K502" s="12">
        <f t="shared" si="120"/>
        <v>150</v>
      </c>
      <c r="L502" s="12">
        <f t="shared" si="120"/>
        <v>150</v>
      </c>
      <c r="M502" s="12">
        <f t="shared" si="120"/>
        <v>150</v>
      </c>
      <c r="N502" s="12">
        <f t="shared" si="120"/>
        <v>150</v>
      </c>
      <c r="O502" s="12">
        <f t="shared" si="120"/>
        <v>150</v>
      </c>
      <c r="P502" s="12">
        <f t="shared" si="120"/>
        <v>150</v>
      </c>
      <c r="Q502" s="12">
        <f t="shared" si="120"/>
        <v>150</v>
      </c>
      <c r="R502" s="12">
        <f t="shared" si="120"/>
        <v>150</v>
      </c>
      <c r="S502" s="13">
        <f t="shared" ref="S502:S512" si="121">SUM(G502:R502)</f>
        <v>1800</v>
      </c>
      <c r="W502" s="2"/>
    </row>
    <row r="503" spans="2:23" ht="15.75" customHeight="1" x14ac:dyDescent="0.25">
      <c r="B503" s="8">
        <v>7625</v>
      </c>
      <c r="C503" s="4" t="s">
        <v>103</v>
      </c>
      <c r="D503" s="9" t="s">
        <v>8</v>
      </c>
      <c r="E503" s="10">
        <v>801</v>
      </c>
      <c r="F503" s="11" t="s">
        <v>105</v>
      </c>
      <c r="G503" s="12">
        <v>50</v>
      </c>
      <c r="H503" s="12">
        <v>50</v>
      </c>
      <c r="I503" s="12">
        <v>50</v>
      </c>
      <c r="J503" s="12">
        <v>50</v>
      </c>
      <c r="K503" s="12">
        <v>50</v>
      </c>
      <c r="L503" s="12">
        <v>50</v>
      </c>
      <c r="M503" s="12">
        <v>50</v>
      </c>
      <c r="N503" s="12">
        <v>50</v>
      </c>
      <c r="O503" s="12">
        <v>50</v>
      </c>
      <c r="P503" s="12">
        <v>50</v>
      </c>
      <c r="Q503" s="12">
        <v>50</v>
      </c>
      <c r="R503" s="12">
        <v>50</v>
      </c>
      <c r="S503" s="13">
        <f t="shared" si="121"/>
        <v>600</v>
      </c>
      <c r="W503" s="2"/>
    </row>
    <row r="504" spans="2:23" ht="15.75" customHeight="1" x14ac:dyDescent="0.25">
      <c r="B504" s="8">
        <v>7625</v>
      </c>
      <c r="C504" s="4" t="s">
        <v>103</v>
      </c>
      <c r="D504" s="9" t="s">
        <v>8</v>
      </c>
      <c r="E504" s="10">
        <v>802</v>
      </c>
      <c r="F504" s="11" t="s">
        <v>106</v>
      </c>
      <c r="G504" s="14">
        <f>+(83.3333333333333)</f>
        <v>83.333333333333329</v>
      </c>
      <c r="H504" s="14">
        <f t="shared" ref="H504:R504" si="122">+(83.3333333333333)</f>
        <v>83.333333333333329</v>
      </c>
      <c r="I504" s="14">
        <f t="shared" si="122"/>
        <v>83.333333333333329</v>
      </c>
      <c r="J504" s="14">
        <f t="shared" si="122"/>
        <v>83.333333333333329</v>
      </c>
      <c r="K504" s="14">
        <f t="shared" si="122"/>
        <v>83.333333333333329</v>
      </c>
      <c r="L504" s="14">
        <f t="shared" si="122"/>
        <v>83.333333333333329</v>
      </c>
      <c r="M504" s="14">
        <f t="shared" si="122"/>
        <v>83.333333333333329</v>
      </c>
      <c r="N504" s="14">
        <f t="shared" si="122"/>
        <v>83.333333333333329</v>
      </c>
      <c r="O504" s="14">
        <f t="shared" si="122"/>
        <v>83.333333333333329</v>
      </c>
      <c r="P504" s="14">
        <f t="shared" si="122"/>
        <v>83.333333333333329</v>
      </c>
      <c r="Q504" s="14">
        <f t="shared" si="122"/>
        <v>83.333333333333329</v>
      </c>
      <c r="R504" s="14">
        <f t="shared" si="122"/>
        <v>83.333333333333329</v>
      </c>
      <c r="S504" s="13">
        <f t="shared" si="121"/>
        <v>1000.0000000000001</v>
      </c>
      <c r="W504" s="2"/>
    </row>
    <row r="505" spans="2:23" ht="15.75" customHeight="1" x14ac:dyDescent="0.25">
      <c r="B505" s="8">
        <v>7625</v>
      </c>
      <c r="C505" s="4" t="s">
        <v>103</v>
      </c>
      <c r="D505" s="9" t="s">
        <v>8</v>
      </c>
      <c r="E505" s="10">
        <v>803</v>
      </c>
      <c r="F505" s="11" t="s">
        <v>107</v>
      </c>
      <c r="G505" s="12">
        <v>100</v>
      </c>
      <c r="H505" s="12">
        <v>100</v>
      </c>
      <c r="I505" s="12">
        <v>100</v>
      </c>
      <c r="J505" s="12">
        <v>100</v>
      </c>
      <c r="K505" s="12">
        <v>100</v>
      </c>
      <c r="L505" s="12">
        <v>100</v>
      </c>
      <c r="M505" s="12">
        <v>100</v>
      </c>
      <c r="N505" s="12">
        <v>100</v>
      </c>
      <c r="O505" s="12">
        <v>100</v>
      </c>
      <c r="P505" s="12">
        <v>100</v>
      </c>
      <c r="Q505" s="12">
        <v>100</v>
      </c>
      <c r="R505" s="12">
        <v>100</v>
      </c>
      <c r="S505" s="13">
        <f t="shared" si="121"/>
        <v>1200</v>
      </c>
      <c r="W505" s="2"/>
    </row>
    <row r="506" spans="2:23" ht="15.75" customHeight="1" x14ac:dyDescent="0.25">
      <c r="B506" s="8">
        <v>7625</v>
      </c>
      <c r="C506" s="4" t="s">
        <v>103</v>
      </c>
      <c r="D506" s="9" t="s">
        <v>8</v>
      </c>
      <c r="E506" s="10">
        <v>804</v>
      </c>
      <c r="F506" s="11" t="s">
        <v>108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3">
        <f t="shared" si="121"/>
        <v>0</v>
      </c>
      <c r="W506" s="2"/>
    </row>
    <row r="507" spans="2:23" ht="15.75" customHeight="1" x14ac:dyDescent="0.25">
      <c r="B507" s="8">
        <v>7625</v>
      </c>
      <c r="C507" s="4" t="s">
        <v>103</v>
      </c>
      <c r="D507" s="9" t="s">
        <v>8</v>
      </c>
      <c r="E507" s="10">
        <v>805</v>
      </c>
      <c r="F507" s="11" t="s">
        <v>109</v>
      </c>
      <c r="G507" s="12">
        <v>100</v>
      </c>
      <c r="H507" s="12">
        <v>100</v>
      </c>
      <c r="I507" s="12">
        <v>100</v>
      </c>
      <c r="J507" s="12">
        <v>100</v>
      </c>
      <c r="K507" s="12">
        <v>100</v>
      </c>
      <c r="L507" s="12">
        <v>100</v>
      </c>
      <c r="M507" s="12">
        <v>100</v>
      </c>
      <c r="N507" s="12">
        <v>100</v>
      </c>
      <c r="O507" s="12">
        <v>100</v>
      </c>
      <c r="P507" s="12">
        <v>100</v>
      </c>
      <c r="Q507" s="12">
        <v>100</v>
      </c>
      <c r="R507" s="12">
        <v>100</v>
      </c>
      <c r="S507" s="13">
        <f t="shared" si="121"/>
        <v>1200</v>
      </c>
      <c r="W507" s="2"/>
    </row>
    <row r="508" spans="2:23" ht="15.75" customHeight="1" x14ac:dyDescent="0.25">
      <c r="B508" s="8">
        <v>7625</v>
      </c>
      <c r="C508" s="4" t="s">
        <v>103</v>
      </c>
      <c r="D508" s="9" t="s">
        <v>8</v>
      </c>
      <c r="E508" s="10">
        <v>806</v>
      </c>
      <c r="F508" s="11" t="s">
        <v>132</v>
      </c>
      <c r="G508" s="14">
        <v>100</v>
      </c>
      <c r="H508" s="14">
        <v>100</v>
      </c>
      <c r="I508" s="14">
        <v>100</v>
      </c>
      <c r="J508" s="14">
        <v>100</v>
      </c>
      <c r="K508" s="14">
        <v>100</v>
      </c>
      <c r="L508" s="14">
        <v>100</v>
      </c>
      <c r="M508" s="14">
        <v>100</v>
      </c>
      <c r="N508" s="14">
        <v>100</v>
      </c>
      <c r="O508" s="14">
        <v>100</v>
      </c>
      <c r="P508" s="14">
        <v>100</v>
      </c>
      <c r="Q508" s="14">
        <v>100</v>
      </c>
      <c r="R508" s="14">
        <v>100</v>
      </c>
      <c r="S508" s="13">
        <f t="shared" si="121"/>
        <v>1200</v>
      </c>
      <c r="W508" s="2"/>
    </row>
    <row r="509" spans="2:23" ht="15.75" customHeight="1" x14ac:dyDescent="0.25">
      <c r="B509" s="8">
        <v>7625</v>
      </c>
      <c r="C509" s="4" t="s">
        <v>103</v>
      </c>
      <c r="D509" s="9" t="s">
        <v>8</v>
      </c>
      <c r="E509" s="10">
        <v>807</v>
      </c>
      <c r="F509" s="10"/>
      <c r="G509" s="14">
        <v>0</v>
      </c>
      <c r="H509" s="14">
        <v>0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3">
        <f t="shared" si="121"/>
        <v>0</v>
      </c>
      <c r="W509" s="2"/>
    </row>
    <row r="510" spans="2:23" ht="15.75" customHeight="1" x14ac:dyDescent="0.25">
      <c r="B510" s="8">
        <v>7625</v>
      </c>
      <c r="C510" s="4" t="s">
        <v>103</v>
      </c>
      <c r="D510" s="9" t="s">
        <v>8</v>
      </c>
      <c r="E510" s="10">
        <v>808</v>
      </c>
      <c r="F510" s="10"/>
      <c r="G510" s="14">
        <v>0</v>
      </c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3">
        <f t="shared" si="121"/>
        <v>0</v>
      </c>
      <c r="W510" s="2"/>
    </row>
    <row r="511" spans="2:23" ht="15.75" customHeight="1" x14ac:dyDescent="0.25">
      <c r="B511" s="8">
        <v>7625</v>
      </c>
      <c r="C511" s="4" t="s">
        <v>103</v>
      </c>
      <c r="D511" s="9" t="s">
        <v>8</v>
      </c>
      <c r="E511" s="10">
        <v>809</v>
      </c>
      <c r="F511" s="10"/>
      <c r="G511" s="14">
        <v>0</v>
      </c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3">
        <f t="shared" si="121"/>
        <v>0</v>
      </c>
      <c r="W511" s="2"/>
    </row>
    <row r="512" spans="2:23" ht="15.75" customHeight="1" x14ac:dyDescent="0.25">
      <c r="B512" s="8">
        <v>7625</v>
      </c>
      <c r="C512" s="4" t="s">
        <v>103</v>
      </c>
      <c r="D512" s="9" t="s">
        <v>8</v>
      </c>
      <c r="E512" s="10">
        <v>810</v>
      </c>
      <c r="F512" s="10"/>
      <c r="G512" s="14">
        <v>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3">
        <f t="shared" si="121"/>
        <v>0</v>
      </c>
      <c r="W512" s="2"/>
    </row>
    <row r="513" spans="2:23" ht="15.75" customHeight="1" x14ac:dyDescent="0.25">
      <c r="B513" s="10"/>
      <c r="C513" s="15"/>
      <c r="D513" s="16"/>
      <c r="E513" s="10"/>
      <c r="F513" s="10"/>
      <c r="G513" s="18">
        <f t="shared" ref="G513:S513" si="123">SUM(G502:G512)</f>
        <v>583.33333333333326</v>
      </c>
      <c r="H513" s="18">
        <f t="shared" si="123"/>
        <v>583.33333333333326</v>
      </c>
      <c r="I513" s="18">
        <f t="shared" si="123"/>
        <v>583.33333333333326</v>
      </c>
      <c r="J513" s="18">
        <f t="shared" si="123"/>
        <v>583.33333333333326</v>
      </c>
      <c r="K513" s="18">
        <f t="shared" si="123"/>
        <v>583.33333333333326</v>
      </c>
      <c r="L513" s="18">
        <f t="shared" si="123"/>
        <v>583.33333333333326</v>
      </c>
      <c r="M513" s="18">
        <f t="shared" si="123"/>
        <v>583.33333333333326</v>
      </c>
      <c r="N513" s="18">
        <f t="shared" si="123"/>
        <v>583.33333333333326</v>
      </c>
      <c r="O513" s="18">
        <f t="shared" si="123"/>
        <v>583.33333333333326</v>
      </c>
      <c r="P513" s="18">
        <f t="shared" si="123"/>
        <v>583.33333333333326</v>
      </c>
      <c r="Q513" s="18">
        <f t="shared" si="123"/>
        <v>583.33333333333326</v>
      </c>
      <c r="R513" s="18">
        <f t="shared" si="123"/>
        <v>583.33333333333326</v>
      </c>
      <c r="S513" s="19">
        <f t="shared" si="123"/>
        <v>7000</v>
      </c>
      <c r="W513" s="2"/>
    </row>
    <row r="514" spans="2:23" ht="15.75" customHeight="1" x14ac:dyDescent="0.25">
      <c r="B514" s="10"/>
      <c r="C514" s="15"/>
      <c r="D514" s="16"/>
      <c r="E514" s="10"/>
      <c r="F514" s="10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W514" s="2"/>
    </row>
    <row r="515" spans="2:23" ht="15.75" customHeight="1" x14ac:dyDescent="0.25">
      <c r="B515" s="10"/>
      <c r="C515" s="15"/>
      <c r="D515" s="16"/>
      <c r="E515" s="1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W515" s="2"/>
    </row>
    <row r="516" spans="2:23" ht="15.75" customHeight="1" x14ac:dyDescent="0.25">
      <c r="B516" s="10"/>
      <c r="C516" s="15"/>
      <c r="D516" s="16"/>
      <c r="E516" s="10"/>
      <c r="F516" s="4">
        <v>2024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f t="shared" ref="S516:S517" si="124">SUM(G516:R516)</f>
        <v>0</v>
      </c>
      <c r="W516" s="2"/>
    </row>
    <row r="517" spans="2:23" ht="15.75" customHeight="1" x14ac:dyDescent="0.25">
      <c r="B517" s="10"/>
      <c r="C517" s="15"/>
      <c r="D517" s="16"/>
      <c r="E517" s="10"/>
      <c r="F517" s="4">
        <v>2025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f t="shared" si="124"/>
        <v>0</v>
      </c>
      <c r="W517" s="2"/>
    </row>
    <row r="518" spans="2:23" ht="15.75" customHeight="1" x14ac:dyDescent="0.25">
      <c r="B518" s="10"/>
      <c r="C518" s="15"/>
      <c r="D518" s="16"/>
      <c r="E518" s="10"/>
      <c r="F518" s="10"/>
      <c r="G518" s="20"/>
      <c r="H518" s="20"/>
      <c r="I518" s="20"/>
      <c r="J518" s="20"/>
      <c r="K518" s="15"/>
      <c r="L518" s="1"/>
      <c r="M518" s="21"/>
      <c r="W518" s="2"/>
    </row>
    <row r="519" spans="2:23" ht="15.75" customHeight="1" x14ac:dyDescent="0.25">
      <c r="B519" s="10"/>
      <c r="C519" s="15"/>
      <c r="D519" s="16"/>
      <c r="E519" s="10"/>
      <c r="F519" s="10"/>
      <c r="G519" s="20"/>
      <c r="H519" s="20"/>
      <c r="I519" s="20"/>
      <c r="J519" s="20"/>
      <c r="K519" s="15"/>
      <c r="L519" s="1"/>
      <c r="M519" s="21"/>
      <c r="W519" s="2"/>
    </row>
    <row r="520" spans="2:23" ht="15.75" customHeight="1" x14ac:dyDescent="0.25">
      <c r="B520" s="10"/>
      <c r="C520" s="15"/>
      <c r="D520" s="16"/>
      <c r="E520" s="10"/>
      <c r="F520" s="10"/>
      <c r="G520" s="7">
        <v>46023</v>
      </c>
      <c r="H520" s="7">
        <v>46054</v>
      </c>
      <c r="I520" s="7">
        <v>46082</v>
      </c>
      <c r="J520" s="7">
        <v>46113</v>
      </c>
      <c r="K520" s="7">
        <v>46143</v>
      </c>
      <c r="L520" s="7">
        <v>46174</v>
      </c>
      <c r="M520" s="7">
        <v>46204</v>
      </c>
      <c r="N520" s="7">
        <v>46235</v>
      </c>
      <c r="O520" s="7">
        <v>46266</v>
      </c>
      <c r="P520" s="7">
        <v>46296</v>
      </c>
      <c r="Q520" s="7">
        <v>46327</v>
      </c>
      <c r="R520" s="7">
        <v>46357</v>
      </c>
      <c r="S520" s="7" t="s">
        <v>6</v>
      </c>
      <c r="W520" s="2"/>
    </row>
    <row r="521" spans="2:23" ht="15.75" customHeight="1" x14ac:dyDescent="0.25">
      <c r="B521" s="8">
        <v>7630</v>
      </c>
      <c r="C521" s="4" t="s">
        <v>110</v>
      </c>
      <c r="D521" s="9" t="s">
        <v>8</v>
      </c>
      <c r="E521" s="10">
        <v>800</v>
      </c>
      <c r="F521" s="11" t="s">
        <v>111</v>
      </c>
      <c r="G521" s="12">
        <v>80</v>
      </c>
      <c r="H521" s="12">
        <v>80</v>
      </c>
      <c r="I521" s="12">
        <v>80</v>
      </c>
      <c r="J521" s="12">
        <v>80</v>
      </c>
      <c r="K521" s="12">
        <v>80</v>
      </c>
      <c r="L521" s="12">
        <v>80</v>
      </c>
      <c r="M521" s="12">
        <v>80</v>
      </c>
      <c r="N521" s="12">
        <v>80</v>
      </c>
      <c r="O521" s="12">
        <v>80</v>
      </c>
      <c r="P521" s="12">
        <v>80</v>
      </c>
      <c r="Q521" s="12">
        <v>80</v>
      </c>
      <c r="R521" s="12">
        <v>80</v>
      </c>
      <c r="S521" s="13">
        <f t="shared" ref="S521:S531" si="125">SUM(G521:R521)</f>
        <v>960</v>
      </c>
      <c r="W521" s="2"/>
    </row>
    <row r="522" spans="2:23" ht="15.75" customHeight="1" x14ac:dyDescent="0.25">
      <c r="B522" s="8">
        <v>7630</v>
      </c>
      <c r="C522" s="4" t="s">
        <v>110</v>
      </c>
      <c r="D522" s="9" t="s">
        <v>8</v>
      </c>
      <c r="E522" s="10">
        <v>801</v>
      </c>
      <c r="F522" s="11" t="s">
        <v>129</v>
      </c>
      <c r="G522" s="12">
        <v>0</v>
      </c>
      <c r="H522" s="12">
        <v>0</v>
      </c>
      <c r="I522" s="12">
        <v>1500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3">
        <f t="shared" si="125"/>
        <v>1500</v>
      </c>
      <c r="W522" s="2"/>
    </row>
    <row r="523" spans="2:23" ht="15.75" customHeight="1" x14ac:dyDescent="0.25">
      <c r="B523" s="8">
        <v>7630</v>
      </c>
      <c r="C523" s="4" t="s">
        <v>110</v>
      </c>
      <c r="D523" s="9" t="s">
        <v>8</v>
      </c>
      <c r="E523" s="10">
        <v>802</v>
      </c>
      <c r="F523" s="11"/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3">
        <f t="shared" si="125"/>
        <v>0</v>
      </c>
      <c r="W523" s="2"/>
    </row>
    <row r="524" spans="2:23" ht="15.75" customHeight="1" x14ac:dyDescent="0.25">
      <c r="B524" s="8">
        <v>7630</v>
      </c>
      <c r="C524" s="4" t="s">
        <v>110</v>
      </c>
      <c r="D524" s="9" t="s">
        <v>8</v>
      </c>
      <c r="E524" s="10">
        <v>803</v>
      </c>
      <c r="F524" s="11"/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3">
        <f t="shared" si="125"/>
        <v>0</v>
      </c>
      <c r="W524" s="2"/>
    </row>
    <row r="525" spans="2:23" ht="15.75" customHeight="1" x14ac:dyDescent="0.25">
      <c r="B525" s="8">
        <v>7630</v>
      </c>
      <c r="C525" s="4" t="s">
        <v>110</v>
      </c>
      <c r="D525" s="9" t="s">
        <v>8</v>
      </c>
      <c r="E525" s="10">
        <v>804</v>
      </c>
      <c r="F525" s="10"/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3">
        <f t="shared" si="125"/>
        <v>0</v>
      </c>
      <c r="W525" s="2"/>
    </row>
    <row r="526" spans="2:23" ht="15.75" customHeight="1" x14ac:dyDescent="0.25">
      <c r="B526" s="8">
        <v>7630</v>
      </c>
      <c r="C526" s="4" t="s">
        <v>110</v>
      </c>
      <c r="D526" s="9" t="s">
        <v>8</v>
      </c>
      <c r="E526" s="10">
        <v>805</v>
      </c>
      <c r="F526" s="10"/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3">
        <f t="shared" si="125"/>
        <v>0</v>
      </c>
      <c r="W526" s="2"/>
    </row>
    <row r="527" spans="2:23" ht="15.75" customHeight="1" x14ac:dyDescent="0.25">
      <c r="B527" s="8">
        <v>7630</v>
      </c>
      <c r="C527" s="4" t="s">
        <v>110</v>
      </c>
      <c r="D527" s="9" t="s">
        <v>8</v>
      </c>
      <c r="E527" s="10">
        <v>806</v>
      </c>
      <c r="F527" s="10"/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3">
        <f t="shared" si="125"/>
        <v>0</v>
      </c>
      <c r="W527" s="2"/>
    </row>
    <row r="528" spans="2:23" ht="15.75" customHeight="1" x14ac:dyDescent="0.25">
      <c r="B528" s="8">
        <v>7630</v>
      </c>
      <c r="C528" s="4" t="s">
        <v>110</v>
      </c>
      <c r="D528" s="9" t="s">
        <v>8</v>
      </c>
      <c r="E528" s="10">
        <v>807</v>
      </c>
      <c r="F528" s="10"/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3">
        <f t="shared" si="125"/>
        <v>0</v>
      </c>
      <c r="W528" s="2"/>
    </row>
    <row r="529" spans="2:23" ht="15.75" customHeight="1" x14ac:dyDescent="0.25">
      <c r="B529" s="8">
        <v>7630</v>
      </c>
      <c r="C529" s="4" t="s">
        <v>110</v>
      </c>
      <c r="D529" s="9" t="s">
        <v>8</v>
      </c>
      <c r="E529" s="10">
        <v>808</v>
      </c>
      <c r="F529" s="10"/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3">
        <f t="shared" si="125"/>
        <v>0</v>
      </c>
      <c r="W529" s="2"/>
    </row>
    <row r="530" spans="2:23" ht="15.75" customHeight="1" x14ac:dyDescent="0.25">
      <c r="B530" s="8">
        <v>7630</v>
      </c>
      <c r="C530" s="4" t="s">
        <v>110</v>
      </c>
      <c r="D530" s="9" t="s">
        <v>8</v>
      </c>
      <c r="E530" s="10">
        <v>809</v>
      </c>
      <c r="F530" s="10"/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3">
        <f t="shared" si="125"/>
        <v>0</v>
      </c>
      <c r="W530" s="2"/>
    </row>
    <row r="531" spans="2:23" ht="15.75" customHeight="1" x14ac:dyDescent="0.25">
      <c r="B531" s="8">
        <v>7630</v>
      </c>
      <c r="C531" s="4" t="s">
        <v>110</v>
      </c>
      <c r="D531" s="9" t="s">
        <v>8</v>
      </c>
      <c r="E531" s="10">
        <v>810</v>
      </c>
      <c r="F531" s="10"/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3">
        <f t="shared" si="125"/>
        <v>0</v>
      </c>
      <c r="W531" s="2"/>
    </row>
    <row r="532" spans="2:23" ht="15.75" customHeight="1" x14ac:dyDescent="0.25">
      <c r="B532" s="10"/>
      <c r="C532" s="15"/>
      <c r="D532" s="16"/>
      <c r="E532" s="10"/>
      <c r="F532" s="10"/>
      <c r="G532" s="18">
        <f t="shared" ref="G532:S532" si="126">SUM(G521:G531)</f>
        <v>80</v>
      </c>
      <c r="H532" s="18">
        <f t="shared" si="126"/>
        <v>80</v>
      </c>
      <c r="I532" s="18">
        <f t="shared" si="126"/>
        <v>1580</v>
      </c>
      <c r="J532" s="18">
        <f t="shared" si="126"/>
        <v>80</v>
      </c>
      <c r="K532" s="18">
        <f t="shared" si="126"/>
        <v>80</v>
      </c>
      <c r="L532" s="18">
        <f t="shared" si="126"/>
        <v>80</v>
      </c>
      <c r="M532" s="18">
        <f t="shared" si="126"/>
        <v>80</v>
      </c>
      <c r="N532" s="18">
        <f t="shared" si="126"/>
        <v>80</v>
      </c>
      <c r="O532" s="18">
        <f t="shared" si="126"/>
        <v>80</v>
      </c>
      <c r="P532" s="18">
        <f t="shared" si="126"/>
        <v>80</v>
      </c>
      <c r="Q532" s="18">
        <f t="shared" si="126"/>
        <v>80</v>
      </c>
      <c r="R532" s="18">
        <f t="shared" si="126"/>
        <v>80</v>
      </c>
      <c r="S532" s="19">
        <f t="shared" si="126"/>
        <v>2460</v>
      </c>
      <c r="W532" s="2"/>
    </row>
    <row r="533" spans="2:23" ht="15.75" customHeight="1" x14ac:dyDescent="0.25">
      <c r="B533" s="10"/>
      <c r="C533" s="15"/>
      <c r="D533" s="16"/>
      <c r="E533" s="10"/>
      <c r="F533" s="10"/>
      <c r="G533" s="20"/>
      <c r="H533" s="20"/>
      <c r="I533" s="20"/>
      <c r="J533" s="20"/>
      <c r="K533" s="15"/>
      <c r="L533" s="1"/>
      <c r="M533" s="21"/>
      <c r="W533" s="2"/>
    </row>
    <row r="534" spans="2:23" ht="15.75" customHeight="1" x14ac:dyDescent="0.25">
      <c r="B534" s="10"/>
      <c r="C534" s="15"/>
      <c r="D534" s="16"/>
      <c r="E534" s="1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W534" s="2"/>
    </row>
    <row r="535" spans="2:23" ht="15.75" customHeight="1" x14ac:dyDescent="0.25">
      <c r="B535" s="10"/>
      <c r="C535" s="15"/>
      <c r="D535" s="16"/>
      <c r="E535" s="10"/>
      <c r="F535" s="4">
        <v>2024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f t="shared" ref="S535:S536" si="127">SUM(G535:R535)</f>
        <v>0</v>
      </c>
      <c r="W535" s="2"/>
    </row>
    <row r="536" spans="2:23" ht="15.75" customHeight="1" x14ac:dyDescent="0.25">
      <c r="B536" s="10"/>
      <c r="C536" s="15"/>
      <c r="D536" s="16"/>
      <c r="E536" s="10"/>
      <c r="F536" s="4">
        <v>2025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f t="shared" si="127"/>
        <v>0</v>
      </c>
      <c r="W536" s="2"/>
    </row>
    <row r="537" spans="2:23" ht="15.75" customHeight="1" x14ac:dyDescent="0.25">
      <c r="B537" s="10"/>
      <c r="C537" s="15"/>
      <c r="D537" s="16"/>
      <c r="E537" s="10"/>
      <c r="F537" s="10"/>
      <c r="G537" s="20"/>
      <c r="H537" s="20"/>
      <c r="I537" s="20"/>
      <c r="J537" s="20"/>
      <c r="K537" s="15"/>
      <c r="L537" s="1"/>
      <c r="M537" s="21"/>
      <c r="W537" s="2"/>
    </row>
    <row r="538" spans="2:23" ht="15.75" customHeight="1" x14ac:dyDescent="0.25">
      <c r="B538" s="10"/>
      <c r="C538" s="15"/>
      <c r="D538" s="16"/>
      <c r="E538" s="10"/>
      <c r="F538" s="10"/>
      <c r="G538" s="7">
        <v>46023</v>
      </c>
      <c r="H538" s="7">
        <v>46054</v>
      </c>
      <c r="I538" s="7">
        <v>46082</v>
      </c>
      <c r="J538" s="7">
        <v>46113</v>
      </c>
      <c r="K538" s="7">
        <v>46143</v>
      </c>
      <c r="L538" s="7">
        <v>46174</v>
      </c>
      <c r="M538" s="7">
        <v>46204</v>
      </c>
      <c r="N538" s="7">
        <v>46235</v>
      </c>
      <c r="O538" s="7">
        <v>46266</v>
      </c>
      <c r="P538" s="7">
        <v>46296</v>
      </c>
      <c r="Q538" s="7">
        <v>46327</v>
      </c>
      <c r="R538" s="7">
        <v>46357</v>
      </c>
      <c r="S538" s="7" t="s">
        <v>6</v>
      </c>
      <c r="W538" s="2"/>
    </row>
    <row r="539" spans="2:23" ht="15.75" customHeight="1" x14ac:dyDescent="0.25">
      <c r="B539" s="8">
        <v>7635</v>
      </c>
      <c r="C539" s="4" t="s">
        <v>112</v>
      </c>
      <c r="D539" s="9" t="s">
        <v>8</v>
      </c>
      <c r="E539" s="10">
        <v>800</v>
      </c>
      <c r="F539" s="45" t="s">
        <v>113</v>
      </c>
      <c r="G539" s="14">
        <v>0</v>
      </c>
      <c r="H539" s="36">
        <v>252</v>
      </c>
      <c r="I539" s="14">
        <v>0</v>
      </c>
      <c r="J539" s="14">
        <v>0</v>
      </c>
      <c r="K539" s="36">
        <v>252</v>
      </c>
      <c r="L539" s="14">
        <v>0</v>
      </c>
      <c r="M539" s="14">
        <v>0</v>
      </c>
      <c r="N539" s="14">
        <v>0</v>
      </c>
      <c r="O539" s="36">
        <v>252</v>
      </c>
      <c r="P539" s="14">
        <v>0</v>
      </c>
      <c r="Q539" s="14">
        <v>0</v>
      </c>
      <c r="R539" s="36">
        <v>252</v>
      </c>
      <c r="S539" s="13">
        <f t="shared" ref="S539:S549" si="128">SUM(G539:R539)</f>
        <v>1008</v>
      </c>
      <c r="W539" s="2"/>
    </row>
    <row r="540" spans="2:23" ht="15.75" customHeight="1" x14ac:dyDescent="0.25">
      <c r="B540" s="8">
        <v>7635</v>
      </c>
      <c r="C540" s="4" t="s">
        <v>112</v>
      </c>
      <c r="D540" s="9" t="s">
        <v>8</v>
      </c>
      <c r="E540" s="10">
        <v>801</v>
      </c>
      <c r="F540" s="45" t="s">
        <v>114</v>
      </c>
      <c r="G540" s="14">
        <v>0</v>
      </c>
      <c r="H540" s="36">
        <v>107.75</v>
      </c>
      <c r="I540" s="14">
        <v>0</v>
      </c>
      <c r="J540" s="14">
        <v>0</v>
      </c>
      <c r="K540" s="36">
        <v>107.75</v>
      </c>
      <c r="L540" s="14">
        <v>0</v>
      </c>
      <c r="M540" s="14">
        <v>0</v>
      </c>
      <c r="N540" s="14">
        <v>0</v>
      </c>
      <c r="O540" s="36">
        <v>107.75</v>
      </c>
      <c r="P540" s="14">
        <v>0</v>
      </c>
      <c r="Q540" s="14">
        <v>0</v>
      </c>
      <c r="R540" s="36">
        <v>107.75</v>
      </c>
      <c r="S540" s="13">
        <f t="shared" si="128"/>
        <v>431</v>
      </c>
      <c r="W540" s="2"/>
    </row>
    <row r="541" spans="2:23" ht="15.75" customHeight="1" x14ac:dyDescent="0.25">
      <c r="B541" s="8">
        <v>7635</v>
      </c>
      <c r="C541" s="4" t="s">
        <v>112</v>
      </c>
      <c r="D541" s="9" t="s">
        <v>8</v>
      </c>
      <c r="E541" s="10">
        <v>802</v>
      </c>
      <c r="F541" s="45" t="s">
        <v>115</v>
      </c>
      <c r="G541" s="14">
        <v>0</v>
      </c>
      <c r="H541" s="36">
        <v>141.25</v>
      </c>
      <c r="I541" s="14">
        <v>0</v>
      </c>
      <c r="J541" s="14">
        <v>0</v>
      </c>
      <c r="K541" s="36">
        <v>141.25</v>
      </c>
      <c r="L541" s="14">
        <v>0</v>
      </c>
      <c r="M541" s="14">
        <v>0</v>
      </c>
      <c r="N541" s="14">
        <v>0</v>
      </c>
      <c r="O541" s="36">
        <v>141.25</v>
      </c>
      <c r="P541" s="14">
        <v>0</v>
      </c>
      <c r="Q541" s="14">
        <v>0</v>
      </c>
      <c r="R541" s="36">
        <v>141.25</v>
      </c>
      <c r="S541" s="13">
        <f t="shared" si="128"/>
        <v>565</v>
      </c>
      <c r="W541" s="2"/>
    </row>
    <row r="542" spans="2:23" ht="15.75" customHeight="1" x14ac:dyDescent="0.25">
      <c r="B542" s="8">
        <v>7635</v>
      </c>
      <c r="C542" s="4" t="s">
        <v>112</v>
      </c>
      <c r="D542" s="9" t="s">
        <v>8</v>
      </c>
      <c r="E542" s="10">
        <v>803</v>
      </c>
      <c r="F542" s="45" t="s">
        <v>116</v>
      </c>
      <c r="G542" s="14">
        <v>0</v>
      </c>
      <c r="H542" s="36">
        <v>52</v>
      </c>
      <c r="I542" s="14">
        <v>0</v>
      </c>
      <c r="J542" s="14">
        <v>0</v>
      </c>
      <c r="K542" s="36">
        <v>52</v>
      </c>
      <c r="L542" s="14">
        <v>0</v>
      </c>
      <c r="M542" s="14">
        <v>0</v>
      </c>
      <c r="N542" s="14">
        <v>0</v>
      </c>
      <c r="O542" s="36">
        <v>52</v>
      </c>
      <c r="P542" s="14">
        <v>0</v>
      </c>
      <c r="Q542" s="14">
        <v>0</v>
      </c>
      <c r="R542" s="36">
        <v>52</v>
      </c>
      <c r="S542" s="13">
        <f t="shared" si="128"/>
        <v>208</v>
      </c>
      <c r="W542" s="2"/>
    </row>
    <row r="543" spans="2:23" ht="15.75" customHeight="1" x14ac:dyDescent="0.25">
      <c r="B543" s="8">
        <v>7635</v>
      </c>
      <c r="C543" s="4" t="s">
        <v>112</v>
      </c>
      <c r="D543" s="9" t="s">
        <v>8</v>
      </c>
      <c r="E543" s="10">
        <v>804</v>
      </c>
      <c r="F543" s="45" t="s">
        <v>117</v>
      </c>
      <c r="G543" s="14">
        <v>0</v>
      </c>
      <c r="H543" s="36">
        <v>101.7</v>
      </c>
      <c r="I543" s="14">
        <v>0</v>
      </c>
      <c r="J543" s="14">
        <v>0</v>
      </c>
      <c r="K543" s="36">
        <v>101.7</v>
      </c>
      <c r="L543" s="14">
        <v>0</v>
      </c>
      <c r="M543" s="14">
        <v>0</v>
      </c>
      <c r="N543" s="14">
        <v>0</v>
      </c>
      <c r="O543" s="36">
        <v>101.7</v>
      </c>
      <c r="P543" s="14">
        <v>0</v>
      </c>
      <c r="Q543" s="14">
        <v>0</v>
      </c>
      <c r="R543" s="36">
        <v>101.7</v>
      </c>
      <c r="S543" s="13">
        <f t="shared" si="128"/>
        <v>406.8</v>
      </c>
      <c r="W543" s="2"/>
    </row>
    <row r="544" spans="2:23" ht="15.75" customHeight="1" x14ac:dyDescent="0.25">
      <c r="B544" s="8">
        <v>7635</v>
      </c>
      <c r="C544" s="4" t="s">
        <v>112</v>
      </c>
      <c r="D544" s="9" t="s">
        <v>8</v>
      </c>
      <c r="E544" s="10">
        <v>805</v>
      </c>
      <c r="F544" s="45" t="s">
        <v>118</v>
      </c>
      <c r="G544" s="14">
        <v>0</v>
      </c>
      <c r="H544" s="36">
        <v>185</v>
      </c>
      <c r="I544" s="14">
        <v>0</v>
      </c>
      <c r="J544" s="14">
        <v>0</v>
      </c>
      <c r="K544" s="36">
        <v>185</v>
      </c>
      <c r="L544" s="14">
        <v>0</v>
      </c>
      <c r="M544" s="14">
        <v>0</v>
      </c>
      <c r="N544" s="14">
        <v>0</v>
      </c>
      <c r="O544" s="36">
        <v>185</v>
      </c>
      <c r="P544" s="14">
        <v>0</v>
      </c>
      <c r="Q544" s="14">
        <v>0</v>
      </c>
      <c r="R544" s="36">
        <v>185</v>
      </c>
      <c r="S544" s="13">
        <f t="shared" si="128"/>
        <v>740</v>
      </c>
      <c r="W544" s="2"/>
    </row>
    <row r="545" spans="2:23" ht="15.75" customHeight="1" x14ac:dyDescent="0.25">
      <c r="B545" s="8">
        <v>7635</v>
      </c>
      <c r="C545" s="4" t="s">
        <v>112</v>
      </c>
      <c r="D545" s="9" t="s">
        <v>8</v>
      </c>
      <c r="E545" s="10">
        <v>806</v>
      </c>
      <c r="F545" s="45"/>
      <c r="G545" s="14">
        <v>0</v>
      </c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3">
        <f t="shared" si="128"/>
        <v>0</v>
      </c>
      <c r="W545" s="2"/>
    </row>
    <row r="546" spans="2:23" ht="15.75" customHeight="1" x14ac:dyDescent="0.25">
      <c r="B546" s="8">
        <v>7635</v>
      </c>
      <c r="C546" s="4" t="s">
        <v>112</v>
      </c>
      <c r="D546" s="9" t="s">
        <v>8</v>
      </c>
      <c r="E546" s="10">
        <v>807</v>
      </c>
      <c r="F546" s="45"/>
      <c r="G546" s="14">
        <v>0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3">
        <f t="shared" si="128"/>
        <v>0</v>
      </c>
      <c r="W546" s="2"/>
    </row>
    <row r="547" spans="2:23" ht="15.75" customHeight="1" x14ac:dyDescent="0.25">
      <c r="B547" s="8">
        <v>7635</v>
      </c>
      <c r="C547" s="4" t="s">
        <v>112</v>
      </c>
      <c r="D547" s="9" t="s">
        <v>8</v>
      </c>
      <c r="E547" s="10">
        <v>808</v>
      </c>
      <c r="F547" s="10"/>
      <c r="G547" s="14">
        <v>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3">
        <f t="shared" si="128"/>
        <v>0</v>
      </c>
      <c r="W547" s="2"/>
    </row>
    <row r="548" spans="2:23" ht="15.75" customHeight="1" x14ac:dyDescent="0.25">
      <c r="B548" s="8">
        <v>7635</v>
      </c>
      <c r="C548" s="4" t="s">
        <v>112</v>
      </c>
      <c r="D548" s="9" t="s">
        <v>8</v>
      </c>
      <c r="E548" s="10">
        <v>809</v>
      </c>
      <c r="F548" s="10"/>
      <c r="G548" s="14">
        <v>0</v>
      </c>
      <c r="H548" s="14">
        <v>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3">
        <f t="shared" si="128"/>
        <v>0</v>
      </c>
      <c r="W548" s="2"/>
    </row>
    <row r="549" spans="2:23" ht="15.75" customHeight="1" x14ac:dyDescent="0.25">
      <c r="B549" s="8">
        <v>7635</v>
      </c>
      <c r="C549" s="4" t="s">
        <v>112</v>
      </c>
      <c r="D549" s="9" t="s">
        <v>8</v>
      </c>
      <c r="E549" s="10">
        <v>810</v>
      </c>
      <c r="F549" s="10"/>
      <c r="G549" s="14">
        <v>0</v>
      </c>
      <c r="H549" s="14">
        <v>0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2">
        <v>0</v>
      </c>
      <c r="S549" s="13">
        <f t="shared" si="128"/>
        <v>0</v>
      </c>
      <c r="W549" s="2"/>
    </row>
    <row r="550" spans="2:23" ht="15.75" customHeight="1" x14ac:dyDescent="0.25">
      <c r="B550" s="10"/>
      <c r="C550" s="15"/>
      <c r="D550" s="16"/>
      <c r="E550" s="10"/>
      <c r="F550" s="10"/>
      <c r="G550" s="18">
        <f t="shared" ref="G550:S550" si="129">SUM(G539:G549)</f>
        <v>0</v>
      </c>
      <c r="H550" s="18">
        <f t="shared" si="129"/>
        <v>839.7</v>
      </c>
      <c r="I550" s="18">
        <f t="shared" si="129"/>
        <v>0</v>
      </c>
      <c r="J550" s="18">
        <f t="shared" si="129"/>
        <v>0</v>
      </c>
      <c r="K550" s="18">
        <f t="shared" si="129"/>
        <v>839.7</v>
      </c>
      <c r="L550" s="18">
        <f t="shared" si="129"/>
        <v>0</v>
      </c>
      <c r="M550" s="18">
        <f t="shared" si="129"/>
        <v>0</v>
      </c>
      <c r="N550" s="18">
        <f t="shared" si="129"/>
        <v>0</v>
      </c>
      <c r="O550" s="18">
        <f t="shared" si="129"/>
        <v>839.7</v>
      </c>
      <c r="P550" s="18">
        <f t="shared" si="129"/>
        <v>0</v>
      </c>
      <c r="Q550" s="18">
        <f t="shared" si="129"/>
        <v>0</v>
      </c>
      <c r="R550" s="18">
        <f t="shared" si="129"/>
        <v>839.7</v>
      </c>
      <c r="S550" s="19">
        <f t="shared" si="129"/>
        <v>3358.8</v>
      </c>
      <c r="W550" s="2"/>
    </row>
    <row r="551" spans="2:23" ht="15.75" customHeight="1" x14ac:dyDescent="0.25">
      <c r="B551" s="10"/>
      <c r="C551" s="15"/>
      <c r="D551" s="16"/>
      <c r="E551" s="10"/>
      <c r="F551" s="10"/>
      <c r="G551" s="20"/>
      <c r="H551" s="20"/>
      <c r="I551" s="20"/>
      <c r="J551" s="20"/>
      <c r="K551" s="15"/>
      <c r="L551" s="1"/>
      <c r="M551" s="21"/>
      <c r="W551" s="2"/>
    </row>
    <row r="552" spans="2:23" ht="15.75" customHeight="1" x14ac:dyDescent="0.25">
      <c r="B552" s="10"/>
      <c r="C552" s="15"/>
      <c r="D552" s="16"/>
      <c r="E552" s="1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W552" s="2"/>
    </row>
    <row r="553" spans="2:23" ht="15.75" customHeight="1" x14ac:dyDescent="0.25">
      <c r="B553" s="10"/>
      <c r="C553" s="15"/>
      <c r="D553" s="16"/>
      <c r="E553" s="10"/>
      <c r="F553" s="4">
        <v>2024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f t="shared" ref="S553:S554" si="130">SUM(G553:R553)</f>
        <v>0</v>
      </c>
      <c r="W553" s="2"/>
    </row>
    <row r="554" spans="2:23" ht="15.75" customHeight="1" x14ac:dyDescent="0.25">
      <c r="B554" s="10"/>
      <c r="C554" s="15"/>
      <c r="D554" s="16"/>
      <c r="E554" s="10"/>
      <c r="F554" s="4">
        <v>2025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f t="shared" si="130"/>
        <v>0</v>
      </c>
      <c r="W554" s="2"/>
    </row>
    <row r="555" spans="2:23" ht="15.75" customHeight="1" x14ac:dyDescent="0.25">
      <c r="B555" s="10"/>
      <c r="C555" s="15"/>
      <c r="D555" s="16"/>
      <c r="E555" s="10"/>
      <c r="F555" s="10"/>
      <c r="G555" s="20"/>
      <c r="H555" s="20"/>
      <c r="I555" s="20"/>
      <c r="J555" s="20"/>
      <c r="K555" s="15"/>
      <c r="L555" s="1"/>
      <c r="M555" s="21"/>
      <c r="W555" s="2"/>
    </row>
    <row r="556" spans="2:23" ht="15.75" customHeight="1" x14ac:dyDescent="0.25">
      <c r="B556" s="10"/>
      <c r="C556" s="15"/>
      <c r="D556" s="16"/>
      <c r="E556" s="10"/>
      <c r="F556" s="10"/>
      <c r="G556" s="20"/>
      <c r="H556" s="20"/>
      <c r="I556" s="20"/>
      <c r="J556" s="20"/>
      <c r="K556" s="15"/>
      <c r="L556" s="1"/>
      <c r="M556" s="21"/>
      <c r="W556" s="2"/>
    </row>
    <row r="557" spans="2:23" ht="15.75" customHeight="1" x14ac:dyDescent="0.25">
      <c r="B557" s="10"/>
      <c r="C557" s="15"/>
      <c r="D557" s="16"/>
      <c r="E557" s="10"/>
      <c r="F557" s="10"/>
      <c r="G557" s="20"/>
      <c r="H557" s="20"/>
      <c r="I557" s="20"/>
      <c r="J557" s="20"/>
      <c r="K557" s="15"/>
      <c r="L557" s="1"/>
      <c r="M557" s="21"/>
      <c r="W557" s="2"/>
    </row>
    <row r="558" spans="2:23" ht="15.75" customHeight="1" x14ac:dyDescent="0.25">
      <c r="B558" s="10"/>
      <c r="C558" s="15"/>
      <c r="D558" s="16"/>
      <c r="E558" s="10"/>
      <c r="F558" s="10"/>
      <c r="G558" s="7">
        <v>46023</v>
      </c>
      <c r="H558" s="7">
        <v>46054</v>
      </c>
      <c r="I558" s="7">
        <v>46082</v>
      </c>
      <c r="J558" s="7">
        <v>46113</v>
      </c>
      <c r="K558" s="7">
        <v>46143</v>
      </c>
      <c r="L558" s="7">
        <v>46174</v>
      </c>
      <c r="M558" s="7">
        <v>46204</v>
      </c>
      <c r="N558" s="7">
        <v>46235</v>
      </c>
      <c r="O558" s="7">
        <v>46266</v>
      </c>
      <c r="P558" s="7">
        <v>46296</v>
      </c>
      <c r="Q558" s="7">
        <v>46327</v>
      </c>
      <c r="R558" s="7">
        <v>46357</v>
      </c>
      <c r="S558" s="7" t="s">
        <v>6</v>
      </c>
      <c r="W558" s="2"/>
    </row>
    <row r="559" spans="2:23" ht="15.75" customHeight="1" x14ac:dyDescent="0.25">
      <c r="B559" s="8">
        <v>7640</v>
      </c>
      <c r="C559" s="4" t="s">
        <v>119</v>
      </c>
      <c r="D559" s="9" t="s">
        <v>8</v>
      </c>
      <c r="E559" s="10">
        <v>800</v>
      </c>
      <c r="F559" s="10"/>
      <c r="G559" s="14">
        <v>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3">
        <f t="shared" ref="S559:S569" si="131">SUM(G559:R559)</f>
        <v>0</v>
      </c>
      <c r="W559" s="2"/>
    </row>
    <row r="560" spans="2:23" ht="15.75" customHeight="1" x14ac:dyDescent="0.25">
      <c r="B560" s="8">
        <v>7640</v>
      </c>
      <c r="C560" s="4" t="s">
        <v>119</v>
      </c>
      <c r="D560" s="9" t="s">
        <v>8</v>
      </c>
      <c r="E560" s="10">
        <v>801</v>
      </c>
      <c r="F560" s="10"/>
      <c r="G560" s="23"/>
      <c r="H560" s="23"/>
      <c r="I560" s="23"/>
      <c r="J560" s="24"/>
      <c r="K560" s="25"/>
      <c r="L560" s="26"/>
      <c r="M560" s="27"/>
      <c r="N560" s="27"/>
      <c r="O560" s="27"/>
      <c r="P560" s="27"/>
      <c r="Q560" s="27"/>
      <c r="R560" s="27"/>
      <c r="S560" s="13">
        <f t="shared" si="131"/>
        <v>0</v>
      </c>
      <c r="W560" s="2"/>
    </row>
    <row r="561" spans="2:23" ht="15.75" customHeight="1" x14ac:dyDescent="0.25">
      <c r="B561" s="8">
        <v>7640</v>
      </c>
      <c r="C561" s="4" t="s">
        <v>119</v>
      </c>
      <c r="D561" s="9" t="s">
        <v>8</v>
      </c>
      <c r="E561" s="10">
        <v>802</v>
      </c>
      <c r="F561" s="10"/>
      <c r="G561" s="23"/>
      <c r="H561" s="23"/>
      <c r="I561" s="23"/>
      <c r="J561" s="24"/>
      <c r="K561" s="25"/>
      <c r="L561" s="26"/>
      <c r="M561" s="27"/>
      <c r="N561" s="27"/>
      <c r="O561" s="27"/>
      <c r="P561" s="27"/>
      <c r="Q561" s="27"/>
      <c r="R561" s="27"/>
      <c r="S561" s="13">
        <f t="shared" si="131"/>
        <v>0</v>
      </c>
      <c r="W561" s="2"/>
    </row>
    <row r="562" spans="2:23" ht="15.75" customHeight="1" x14ac:dyDescent="0.25">
      <c r="B562" s="8">
        <v>7640</v>
      </c>
      <c r="C562" s="4" t="s">
        <v>119</v>
      </c>
      <c r="D562" s="9" t="s">
        <v>8</v>
      </c>
      <c r="E562" s="10">
        <v>803</v>
      </c>
      <c r="F562" s="10"/>
      <c r="G562" s="23"/>
      <c r="H562" s="23"/>
      <c r="I562" s="23"/>
      <c r="J562" s="24"/>
      <c r="K562" s="25"/>
      <c r="L562" s="26"/>
      <c r="M562" s="27"/>
      <c r="N562" s="27"/>
      <c r="O562" s="27"/>
      <c r="P562" s="27"/>
      <c r="Q562" s="27"/>
      <c r="R562" s="27"/>
      <c r="S562" s="13">
        <f t="shared" si="131"/>
        <v>0</v>
      </c>
      <c r="W562" s="2"/>
    </row>
    <row r="563" spans="2:23" ht="15.75" customHeight="1" x14ac:dyDescent="0.25">
      <c r="B563" s="8">
        <v>7640</v>
      </c>
      <c r="C563" s="4" t="s">
        <v>119</v>
      </c>
      <c r="D563" s="9" t="s">
        <v>8</v>
      </c>
      <c r="E563" s="10">
        <v>804</v>
      </c>
      <c r="F563" s="10"/>
      <c r="G563" s="23"/>
      <c r="H563" s="23"/>
      <c r="I563" s="23"/>
      <c r="J563" s="24"/>
      <c r="K563" s="25"/>
      <c r="L563" s="26"/>
      <c r="M563" s="27"/>
      <c r="N563" s="27"/>
      <c r="O563" s="27"/>
      <c r="P563" s="27"/>
      <c r="Q563" s="27"/>
      <c r="R563" s="27"/>
      <c r="S563" s="13">
        <f t="shared" si="131"/>
        <v>0</v>
      </c>
      <c r="W563" s="2"/>
    </row>
    <row r="564" spans="2:23" ht="15.75" customHeight="1" x14ac:dyDescent="0.25">
      <c r="B564" s="8">
        <v>7640</v>
      </c>
      <c r="C564" s="4" t="s">
        <v>119</v>
      </c>
      <c r="D564" s="9" t="s">
        <v>8</v>
      </c>
      <c r="E564" s="10">
        <v>805</v>
      </c>
      <c r="F564" s="10"/>
      <c r="G564" s="23"/>
      <c r="H564" s="23"/>
      <c r="I564" s="23"/>
      <c r="J564" s="24"/>
      <c r="K564" s="25"/>
      <c r="L564" s="26"/>
      <c r="M564" s="27"/>
      <c r="N564" s="27"/>
      <c r="O564" s="27"/>
      <c r="P564" s="27"/>
      <c r="Q564" s="27"/>
      <c r="R564" s="27"/>
      <c r="S564" s="13">
        <f t="shared" si="131"/>
        <v>0</v>
      </c>
      <c r="W564" s="2"/>
    </row>
    <row r="565" spans="2:23" ht="15.75" customHeight="1" x14ac:dyDescent="0.25">
      <c r="B565" s="8">
        <v>7640</v>
      </c>
      <c r="C565" s="4" t="s">
        <v>119</v>
      </c>
      <c r="D565" s="9" t="s">
        <v>8</v>
      </c>
      <c r="E565" s="10">
        <v>806</v>
      </c>
      <c r="F565" s="10"/>
      <c r="G565" s="23"/>
      <c r="H565" s="23"/>
      <c r="I565" s="23"/>
      <c r="J565" s="24"/>
      <c r="K565" s="25"/>
      <c r="L565" s="26"/>
      <c r="M565" s="27"/>
      <c r="N565" s="27"/>
      <c r="O565" s="27"/>
      <c r="P565" s="27"/>
      <c r="Q565" s="27"/>
      <c r="R565" s="27"/>
      <c r="S565" s="13">
        <f t="shared" si="131"/>
        <v>0</v>
      </c>
      <c r="W565" s="2"/>
    </row>
    <row r="566" spans="2:23" ht="15.75" customHeight="1" x14ac:dyDescent="0.25">
      <c r="B566" s="8">
        <v>7640</v>
      </c>
      <c r="C566" s="4" t="s">
        <v>119</v>
      </c>
      <c r="D566" s="9" t="s">
        <v>8</v>
      </c>
      <c r="E566" s="10">
        <v>807</v>
      </c>
      <c r="F566" s="10"/>
      <c r="G566" s="23"/>
      <c r="H566" s="23"/>
      <c r="I566" s="23"/>
      <c r="J566" s="24"/>
      <c r="K566" s="25"/>
      <c r="L566" s="26"/>
      <c r="M566" s="27"/>
      <c r="N566" s="27"/>
      <c r="O566" s="27"/>
      <c r="P566" s="27"/>
      <c r="Q566" s="27"/>
      <c r="R566" s="27"/>
      <c r="S566" s="13">
        <f t="shared" si="131"/>
        <v>0</v>
      </c>
      <c r="W566" s="2"/>
    </row>
    <row r="567" spans="2:23" ht="15.75" customHeight="1" x14ac:dyDescent="0.25">
      <c r="B567" s="8">
        <v>7640</v>
      </c>
      <c r="C567" s="4" t="s">
        <v>119</v>
      </c>
      <c r="D567" s="9" t="s">
        <v>8</v>
      </c>
      <c r="E567" s="10">
        <v>808</v>
      </c>
      <c r="F567" s="10"/>
      <c r="G567" s="23"/>
      <c r="H567" s="23"/>
      <c r="I567" s="23"/>
      <c r="J567" s="24"/>
      <c r="K567" s="25"/>
      <c r="L567" s="26"/>
      <c r="M567" s="27"/>
      <c r="N567" s="27"/>
      <c r="O567" s="27"/>
      <c r="P567" s="27"/>
      <c r="Q567" s="27"/>
      <c r="R567" s="27"/>
      <c r="S567" s="13">
        <f t="shared" si="131"/>
        <v>0</v>
      </c>
      <c r="W567" s="2"/>
    </row>
    <row r="568" spans="2:23" ht="15.75" customHeight="1" x14ac:dyDescent="0.25">
      <c r="B568" s="8">
        <v>7640</v>
      </c>
      <c r="C568" s="4" t="s">
        <v>119</v>
      </c>
      <c r="D568" s="9" t="s">
        <v>8</v>
      </c>
      <c r="E568" s="10">
        <v>809</v>
      </c>
      <c r="F568" s="10"/>
      <c r="G568" s="23"/>
      <c r="H568" s="23"/>
      <c r="I568" s="23"/>
      <c r="J568" s="24"/>
      <c r="K568" s="25"/>
      <c r="L568" s="26"/>
      <c r="M568" s="27"/>
      <c r="N568" s="27"/>
      <c r="O568" s="27"/>
      <c r="P568" s="27"/>
      <c r="Q568" s="27"/>
      <c r="R568" s="27"/>
      <c r="S568" s="13">
        <f t="shared" si="131"/>
        <v>0</v>
      </c>
      <c r="W568" s="2"/>
    </row>
    <row r="569" spans="2:23" ht="15.75" customHeight="1" x14ac:dyDescent="0.25">
      <c r="B569" s="8">
        <v>7640</v>
      </c>
      <c r="C569" s="4" t="s">
        <v>119</v>
      </c>
      <c r="D569" s="9" t="s">
        <v>8</v>
      </c>
      <c r="E569" s="10">
        <v>810</v>
      </c>
      <c r="F569" s="10"/>
      <c r="G569" s="28"/>
      <c r="H569" s="28"/>
      <c r="I569" s="28"/>
      <c r="J569" s="29"/>
      <c r="K569" s="30"/>
      <c r="L569" s="31"/>
      <c r="M569" s="32"/>
      <c r="N569" s="32"/>
      <c r="O569" s="32"/>
      <c r="P569" s="32"/>
      <c r="Q569" s="32"/>
      <c r="R569" s="32"/>
      <c r="S569" s="13">
        <f t="shared" si="131"/>
        <v>0</v>
      </c>
      <c r="W569" s="2"/>
    </row>
    <row r="570" spans="2:23" ht="15.75" customHeight="1" x14ac:dyDescent="0.25">
      <c r="B570" s="10"/>
      <c r="C570" s="15"/>
      <c r="D570" s="16"/>
      <c r="E570" s="10"/>
      <c r="F570" s="10"/>
      <c r="G570" s="18">
        <f t="shared" ref="G570:S570" si="132">SUM(G559:G569)</f>
        <v>0</v>
      </c>
      <c r="H570" s="18">
        <f t="shared" si="132"/>
        <v>0</v>
      </c>
      <c r="I570" s="18">
        <f t="shared" si="132"/>
        <v>0</v>
      </c>
      <c r="J570" s="18">
        <f t="shared" si="132"/>
        <v>0</v>
      </c>
      <c r="K570" s="18">
        <f t="shared" si="132"/>
        <v>0</v>
      </c>
      <c r="L570" s="18">
        <f t="shared" si="132"/>
        <v>0</v>
      </c>
      <c r="M570" s="18">
        <f t="shared" si="132"/>
        <v>0</v>
      </c>
      <c r="N570" s="18">
        <f t="shared" si="132"/>
        <v>0</v>
      </c>
      <c r="O570" s="18">
        <f t="shared" si="132"/>
        <v>0</v>
      </c>
      <c r="P570" s="18">
        <f t="shared" si="132"/>
        <v>0</v>
      </c>
      <c r="Q570" s="18">
        <f t="shared" si="132"/>
        <v>0</v>
      </c>
      <c r="R570" s="18">
        <f t="shared" si="132"/>
        <v>0</v>
      </c>
      <c r="S570" s="19">
        <f t="shared" si="132"/>
        <v>0</v>
      </c>
      <c r="W570" s="2"/>
    </row>
    <row r="571" spans="2:23" ht="15.75" customHeight="1" x14ac:dyDescent="0.25">
      <c r="B571" s="10"/>
      <c r="C571" s="15"/>
      <c r="D571" s="16"/>
      <c r="E571" s="10"/>
      <c r="F571" s="10"/>
      <c r="G571" s="20"/>
      <c r="H571" s="20"/>
      <c r="I571" s="20"/>
      <c r="J571" s="20"/>
      <c r="K571" s="15"/>
      <c r="L571" s="1"/>
      <c r="M571" s="21"/>
      <c r="W571" s="2"/>
    </row>
    <row r="572" spans="2:23" ht="15.75" customHeight="1" x14ac:dyDescent="0.25">
      <c r="B572" s="10"/>
      <c r="C572" s="15"/>
      <c r="D572" s="16"/>
      <c r="E572" s="1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W572" s="2"/>
    </row>
    <row r="573" spans="2:23" ht="15.75" customHeight="1" x14ac:dyDescent="0.25">
      <c r="B573" s="10"/>
      <c r="C573" s="15"/>
      <c r="D573" s="16"/>
      <c r="E573" s="10"/>
      <c r="F573" s="4">
        <v>2024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f t="shared" ref="S573:S574" si="133">SUM(G573:R573)</f>
        <v>0</v>
      </c>
      <c r="W573" s="2"/>
    </row>
    <row r="574" spans="2:23" ht="15.75" customHeight="1" x14ac:dyDescent="0.25">
      <c r="B574" s="10"/>
      <c r="C574" s="15"/>
      <c r="D574" s="16"/>
      <c r="E574" s="10"/>
      <c r="F574" s="4">
        <v>2025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f t="shared" si="133"/>
        <v>0</v>
      </c>
      <c r="W574" s="2"/>
    </row>
    <row r="575" spans="2:23" ht="15.75" customHeight="1" x14ac:dyDescent="0.25">
      <c r="B575" s="10"/>
      <c r="C575" s="15"/>
      <c r="D575" s="16"/>
      <c r="E575" s="10"/>
      <c r="F575" s="10"/>
      <c r="H575" s="20"/>
      <c r="I575" s="20"/>
      <c r="J575" s="20"/>
      <c r="K575" s="15"/>
      <c r="L575" s="1"/>
      <c r="M575" s="21"/>
      <c r="W575" s="2"/>
    </row>
    <row r="576" spans="2:23" ht="15.75" customHeight="1" x14ac:dyDescent="0.25">
      <c r="B576" s="10"/>
      <c r="C576" s="15"/>
      <c r="D576" s="16"/>
      <c r="E576" s="10"/>
      <c r="F576" s="10"/>
      <c r="H576" s="20"/>
      <c r="I576" s="20"/>
      <c r="J576" s="20"/>
      <c r="K576" s="15"/>
      <c r="L576" s="1"/>
      <c r="M576" s="21"/>
      <c r="W576" s="2"/>
    </row>
    <row r="577" spans="2:23" ht="15.75" customHeight="1" x14ac:dyDescent="0.25">
      <c r="B577" s="10"/>
      <c r="C577" s="15"/>
      <c r="D577" s="16"/>
      <c r="E577" s="10"/>
      <c r="F577" s="10"/>
      <c r="H577" s="20"/>
      <c r="I577" s="20"/>
      <c r="J577" s="20"/>
      <c r="K577" s="15"/>
      <c r="L577" s="1"/>
      <c r="M577" s="21"/>
      <c r="W577" s="2"/>
    </row>
    <row r="578" spans="2:23" ht="15.75" customHeight="1" x14ac:dyDescent="0.25">
      <c r="B578" s="10"/>
      <c r="C578" s="15"/>
      <c r="D578" s="16"/>
      <c r="E578" s="10"/>
      <c r="F578" s="10"/>
      <c r="G578" s="20"/>
      <c r="H578" s="20"/>
      <c r="I578" s="20"/>
      <c r="J578" s="20"/>
      <c r="K578" s="15"/>
      <c r="L578" s="1"/>
      <c r="M578" s="21"/>
      <c r="W578" s="2"/>
    </row>
    <row r="579" spans="2:23" ht="15.75" customHeight="1" x14ac:dyDescent="0.25">
      <c r="B579" s="10"/>
      <c r="C579" s="15"/>
      <c r="D579" s="16"/>
      <c r="E579" s="10"/>
      <c r="F579" s="10"/>
      <c r="G579" s="7">
        <v>46023</v>
      </c>
      <c r="H579" s="7">
        <v>46054</v>
      </c>
      <c r="I579" s="7">
        <v>46082</v>
      </c>
      <c r="J579" s="7">
        <v>46113</v>
      </c>
      <c r="K579" s="7">
        <v>46143</v>
      </c>
      <c r="L579" s="7">
        <v>46174</v>
      </c>
      <c r="M579" s="7">
        <v>46204</v>
      </c>
      <c r="N579" s="7">
        <v>46235</v>
      </c>
      <c r="O579" s="7">
        <v>46266</v>
      </c>
      <c r="P579" s="7">
        <v>46296</v>
      </c>
      <c r="Q579" s="7">
        <v>46327</v>
      </c>
      <c r="R579" s="7">
        <v>46357</v>
      </c>
      <c r="S579" s="7" t="s">
        <v>6</v>
      </c>
      <c r="W579" s="2"/>
    </row>
    <row r="580" spans="2:23" ht="15.75" customHeight="1" x14ac:dyDescent="0.25">
      <c r="B580" s="48"/>
      <c r="C580" s="4" t="s">
        <v>120</v>
      </c>
      <c r="D580" s="9" t="s">
        <v>8</v>
      </c>
      <c r="E580" s="10">
        <v>800</v>
      </c>
      <c r="F580" s="4" t="s">
        <v>121</v>
      </c>
      <c r="G580" s="14">
        <v>0</v>
      </c>
      <c r="H580" s="14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3">
        <f t="shared" ref="S580:S590" si="134">SUM(G580:R580)</f>
        <v>0</v>
      </c>
      <c r="W580" s="2"/>
    </row>
    <row r="581" spans="2:23" ht="15.75" customHeight="1" x14ac:dyDescent="0.25">
      <c r="B581" s="48"/>
      <c r="C581" s="4" t="s">
        <v>120</v>
      </c>
      <c r="D581" s="9" t="s">
        <v>8</v>
      </c>
      <c r="E581" s="10">
        <v>801</v>
      </c>
      <c r="F581" s="4" t="s">
        <v>122</v>
      </c>
      <c r="G581" s="23"/>
      <c r="H581" s="23"/>
      <c r="I581" s="23"/>
      <c r="J581" s="24"/>
      <c r="K581" s="25"/>
      <c r="L581" s="26"/>
      <c r="M581" s="27"/>
      <c r="N581" s="27"/>
      <c r="O581" s="27"/>
      <c r="P581" s="27"/>
      <c r="Q581" s="27"/>
      <c r="R581" s="27"/>
      <c r="S581" s="13">
        <f t="shared" si="134"/>
        <v>0</v>
      </c>
      <c r="W581" s="2"/>
    </row>
    <row r="582" spans="2:23" ht="15.75" customHeight="1" x14ac:dyDescent="0.25">
      <c r="B582" s="48"/>
      <c r="C582" s="4" t="s">
        <v>120</v>
      </c>
      <c r="D582" s="9" t="s">
        <v>8</v>
      </c>
      <c r="E582" s="10">
        <v>802</v>
      </c>
      <c r="F582" s="10"/>
      <c r="G582" s="23"/>
      <c r="H582" s="23"/>
      <c r="I582" s="23"/>
      <c r="J582" s="24"/>
      <c r="K582" s="25"/>
      <c r="L582" s="26"/>
      <c r="M582" s="27"/>
      <c r="N582" s="27"/>
      <c r="O582" s="27"/>
      <c r="P582" s="27"/>
      <c r="Q582" s="27"/>
      <c r="R582" s="27"/>
      <c r="S582" s="13">
        <f t="shared" si="134"/>
        <v>0</v>
      </c>
      <c r="W582" s="2"/>
    </row>
    <row r="583" spans="2:23" ht="15.75" customHeight="1" x14ac:dyDescent="0.25">
      <c r="B583" s="48"/>
      <c r="C583" s="4" t="s">
        <v>120</v>
      </c>
      <c r="D583" s="9" t="s">
        <v>8</v>
      </c>
      <c r="E583" s="10">
        <v>803</v>
      </c>
      <c r="F583" s="10"/>
      <c r="G583" s="23"/>
      <c r="H583" s="23"/>
      <c r="I583" s="23"/>
      <c r="J583" s="24"/>
      <c r="K583" s="25"/>
      <c r="L583" s="26"/>
      <c r="M583" s="27"/>
      <c r="N583" s="27"/>
      <c r="O583" s="27"/>
      <c r="P583" s="27"/>
      <c r="Q583" s="27"/>
      <c r="R583" s="27"/>
      <c r="S583" s="13">
        <f t="shared" si="134"/>
        <v>0</v>
      </c>
      <c r="W583" s="2"/>
    </row>
    <row r="584" spans="2:23" ht="15.75" customHeight="1" x14ac:dyDescent="0.25">
      <c r="B584" s="48"/>
      <c r="C584" s="4" t="s">
        <v>120</v>
      </c>
      <c r="D584" s="9" t="s">
        <v>8</v>
      </c>
      <c r="E584" s="10">
        <v>804</v>
      </c>
      <c r="F584" s="10"/>
      <c r="G584" s="23"/>
      <c r="H584" s="23"/>
      <c r="I584" s="23"/>
      <c r="J584" s="24"/>
      <c r="K584" s="25"/>
      <c r="L584" s="26"/>
      <c r="M584" s="27"/>
      <c r="N584" s="27"/>
      <c r="O584" s="27"/>
      <c r="P584" s="27"/>
      <c r="Q584" s="27"/>
      <c r="R584" s="27"/>
      <c r="S584" s="13">
        <f t="shared" si="134"/>
        <v>0</v>
      </c>
      <c r="W584" s="2"/>
    </row>
    <row r="585" spans="2:23" ht="15.75" customHeight="1" x14ac:dyDescent="0.25">
      <c r="B585" s="48"/>
      <c r="C585" s="4" t="s">
        <v>120</v>
      </c>
      <c r="D585" s="9" t="s">
        <v>8</v>
      </c>
      <c r="E585" s="10">
        <v>805</v>
      </c>
      <c r="F585" s="10"/>
      <c r="G585" s="23"/>
      <c r="H585" s="23"/>
      <c r="I585" s="23"/>
      <c r="J585" s="24"/>
      <c r="K585" s="25"/>
      <c r="L585" s="26"/>
      <c r="M585" s="27"/>
      <c r="N585" s="27"/>
      <c r="O585" s="27"/>
      <c r="P585" s="27"/>
      <c r="Q585" s="27"/>
      <c r="R585" s="27"/>
      <c r="S585" s="13">
        <f t="shared" si="134"/>
        <v>0</v>
      </c>
      <c r="W585" s="2"/>
    </row>
    <row r="586" spans="2:23" ht="15.75" customHeight="1" x14ac:dyDescent="0.25">
      <c r="B586" s="48"/>
      <c r="C586" s="4" t="s">
        <v>120</v>
      </c>
      <c r="D586" s="9" t="s">
        <v>8</v>
      </c>
      <c r="E586" s="10">
        <v>806</v>
      </c>
      <c r="F586" s="10"/>
      <c r="G586" s="23"/>
      <c r="H586" s="23"/>
      <c r="I586" s="23"/>
      <c r="J586" s="24"/>
      <c r="K586" s="25"/>
      <c r="L586" s="26"/>
      <c r="M586" s="27"/>
      <c r="N586" s="27"/>
      <c r="O586" s="27"/>
      <c r="P586" s="27"/>
      <c r="Q586" s="27"/>
      <c r="R586" s="27"/>
      <c r="S586" s="13">
        <f t="shared" si="134"/>
        <v>0</v>
      </c>
      <c r="W586" s="2"/>
    </row>
    <row r="587" spans="2:23" ht="15.75" customHeight="1" x14ac:dyDescent="0.25">
      <c r="B587" s="48"/>
      <c r="C587" s="4" t="s">
        <v>120</v>
      </c>
      <c r="D587" s="9" t="s">
        <v>8</v>
      </c>
      <c r="E587" s="10">
        <v>807</v>
      </c>
      <c r="F587" s="10"/>
      <c r="G587" s="23"/>
      <c r="H587" s="23"/>
      <c r="I587" s="23"/>
      <c r="J587" s="24"/>
      <c r="K587" s="25"/>
      <c r="L587" s="26"/>
      <c r="M587" s="27"/>
      <c r="N587" s="27"/>
      <c r="O587" s="27"/>
      <c r="P587" s="27"/>
      <c r="Q587" s="27"/>
      <c r="R587" s="27"/>
      <c r="S587" s="13">
        <f t="shared" si="134"/>
        <v>0</v>
      </c>
      <c r="W587" s="2"/>
    </row>
    <row r="588" spans="2:23" ht="15.75" customHeight="1" x14ac:dyDescent="0.25">
      <c r="B588" s="48"/>
      <c r="C588" s="4" t="s">
        <v>120</v>
      </c>
      <c r="D588" s="9" t="s">
        <v>8</v>
      </c>
      <c r="E588" s="10">
        <v>808</v>
      </c>
      <c r="F588" s="10"/>
      <c r="G588" s="23"/>
      <c r="H588" s="23"/>
      <c r="I588" s="23"/>
      <c r="J588" s="24"/>
      <c r="K588" s="25"/>
      <c r="L588" s="26"/>
      <c r="M588" s="27"/>
      <c r="N588" s="27"/>
      <c r="O588" s="27"/>
      <c r="P588" s="27"/>
      <c r="Q588" s="27"/>
      <c r="R588" s="27"/>
      <c r="S588" s="13">
        <f t="shared" si="134"/>
        <v>0</v>
      </c>
      <c r="W588" s="2"/>
    </row>
    <row r="589" spans="2:23" ht="15.75" customHeight="1" x14ac:dyDescent="0.25">
      <c r="B589" s="48"/>
      <c r="C589" s="4" t="s">
        <v>120</v>
      </c>
      <c r="D589" s="9" t="s">
        <v>8</v>
      </c>
      <c r="E589" s="10">
        <v>809</v>
      </c>
      <c r="F589" s="10"/>
      <c r="G589" s="23"/>
      <c r="H589" s="23"/>
      <c r="I589" s="23"/>
      <c r="J589" s="24"/>
      <c r="K589" s="25"/>
      <c r="L589" s="26"/>
      <c r="M589" s="27"/>
      <c r="N589" s="27"/>
      <c r="O589" s="27"/>
      <c r="P589" s="27"/>
      <c r="Q589" s="27"/>
      <c r="R589" s="27"/>
      <c r="S589" s="13">
        <f t="shared" si="134"/>
        <v>0</v>
      </c>
      <c r="W589" s="2"/>
    </row>
    <row r="590" spans="2:23" ht="15.75" customHeight="1" x14ac:dyDescent="0.25">
      <c r="B590" s="48"/>
      <c r="C590" s="4" t="s">
        <v>120</v>
      </c>
      <c r="D590" s="9" t="s">
        <v>8</v>
      </c>
      <c r="E590" s="10">
        <v>810</v>
      </c>
      <c r="F590" s="10"/>
      <c r="G590" s="28"/>
      <c r="H590" s="28"/>
      <c r="I590" s="28"/>
      <c r="J590" s="29"/>
      <c r="K590" s="30"/>
      <c r="L590" s="31"/>
      <c r="M590" s="32"/>
      <c r="N590" s="32"/>
      <c r="O590" s="32"/>
      <c r="P590" s="32"/>
      <c r="Q590" s="32"/>
      <c r="R590" s="32"/>
      <c r="S590" s="13">
        <f t="shared" si="134"/>
        <v>0</v>
      </c>
      <c r="W590" s="2"/>
    </row>
    <row r="591" spans="2:23" ht="15.75" customHeight="1" x14ac:dyDescent="0.25">
      <c r="B591" s="10"/>
      <c r="C591" s="15"/>
      <c r="D591" s="16"/>
      <c r="E591" s="10"/>
      <c r="F591" s="10"/>
      <c r="G591" s="18">
        <f t="shared" ref="G591:S591" si="135">SUM(G580:G590)</f>
        <v>0</v>
      </c>
      <c r="H591" s="18">
        <f t="shared" si="135"/>
        <v>0</v>
      </c>
      <c r="I591" s="18">
        <f t="shared" si="135"/>
        <v>0</v>
      </c>
      <c r="J591" s="18">
        <f t="shared" si="135"/>
        <v>0</v>
      </c>
      <c r="K591" s="18">
        <f t="shared" si="135"/>
        <v>0</v>
      </c>
      <c r="L591" s="18">
        <f t="shared" si="135"/>
        <v>0</v>
      </c>
      <c r="M591" s="18">
        <f t="shared" si="135"/>
        <v>0</v>
      </c>
      <c r="N591" s="18">
        <f t="shared" si="135"/>
        <v>0</v>
      </c>
      <c r="O591" s="18">
        <f t="shared" si="135"/>
        <v>0</v>
      </c>
      <c r="P591" s="18">
        <f t="shared" si="135"/>
        <v>0</v>
      </c>
      <c r="Q591" s="18">
        <f t="shared" si="135"/>
        <v>0</v>
      </c>
      <c r="R591" s="18">
        <f t="shared" si="135"/>
        <v>0</v>
      </c>
      <c r="S591" s="19">
        <f t="shared" si="135"/>
        <v>0</v>
      </c>
      <c r="W591" s="2"/>
    </row>
    <row r="592" spans="2:23" ht="15.75" customHeight="1" x14ac:dyDescent="0.25">
      <c r="B592" s="10"/>
      <c r="C592" s="15"/>
      <c r="D592" s="16"/>
      <c r="E592" s="10"/>
      <c r="F592" s="10"/>
      <c r="G592" s="20"/>
      <c r="H592" s="20"/>
      <c r="I592" s="20"/>
      <c r="J592" s="20"/>
      <c r="K592" s="15"/>
      <c r="L592" s="1"/>
      <c r="M592" s="21"/>
      <c r="W592" s="2"/>
    </row>
    <row r="593" spans="2:23" ht="15.75" customHeight="1" x14ac:dyDescent="0.25">
      <c r="B593" s="10"/>
      <c r="C593" s="15"/>
      <c r="D593" s="16"/>
      <c r="E593" s="10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W593" s="2"/>
    </row>
    <row r="594" spans="2:23" ht="15.75" customHeight="1" x14ac:dyDescent="0.25">
      <c r="B594" s="10"/>
      <c r="C594" s="15"/>
      <c r="D594" s="16"/>
      <c r="E594" s="10"/>
      <c r="F594" s="4">
        <v>2024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f t="shared" ref="S594:S595" si="136">SUM(G594:R594)</f>
        <v>0</v>
      </c>
      <c r="W594" s="2"/>
    </row>
    <row r="595" spans="2:23" ht="15.75" customHeight="1" x14ac:dyDescent="0.25">
      <c r="B595" s="10"/>
      <c r="C595" s="15"/>
      <c r="D595" s="16"/>
      <c r="E595" s="10"/>
      <c r="F595" s="4">
        <v>2025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f t="shared" si="136"/>
        <v>0</v>
      </c>
      <c r="W595" s="2"/>
    </row>
    <row r="596" spans="2:23" ht="15.75" customHeight="1" x14ac:dyDescent="0.25">
      <c r="B596" s="10"/>
      <c r="C596" s="15"/>
      <c r="D596" s="16"/>
      <c r="E596" s="10"/>
      <c r="F596" s="10"/>
      <c r="G596" s="20"/>
      <c r="H596" s="20"/>
      <c r="I596" s="20"/>
      <c r="J596" s="20"/>
      <c r="K596" s="15"/>
      <c r="L596" s="1"/>
      <c r="M596" s="21"/>
      <c r="W596" s="2"/>
    </row>
    <row r="597" spans="2:23" ht="15.75" customHeight="1" x14ac:dyDescent="0.25">
      <c r="B597" s="10"/>
      <c r="C597" s="15"/>
      <c r="D597" s="16"/>
      <c r="E597" s="10"/>
      <c r="F597" s="10"/>
      <c r="G597" s="7">
        <v>46023</v>
      </c>
      <c r="H597" s="7">
        <v>46054</v>
      </c>
      <c r="I597" s="7">
        <v>46082</v>
      </c>
      <c r="J597" s="7">
        <v>46113</v>
      </c>
      <c r="K597" s="7">
        <v>46143</v>
      </c>
      <c r="L597" s="7">
        <v>46174</v>
      </c>
      <c r="M597" s="7">
        <v>46204</v>
      </c>
      <c r="N597" s="7">
        <v>46235</v>
      </c>
      <c r="O597" s="7">
        <v>46266</v>
      </c>
      <c r="P597" s="7">
        <v>46296</v>
      </c>
      <c r="Q597" s="7">
        <v>46327</v>
      </c>
      <c r="R597" s="7">
        <v>46357</v>
      </c>
      <c r="S597" s="7" t="s">
        <v>6</v>
      </c>
      <c r="W597" s="2"/>
    </row>
    <row r="598" spans="2:23" ht="15.75" customHeight="1" x14ac:dyDescent="0.25">
      <c r="B598" s="8">
        <v>7665</v>
      </c>
      <c r="C598" s="4" t="s">
        <v>123</v>
      </c>
      <c r="D598" s="9" t="s">
        <v>8</v>
      </c>
      <c r="E598" s="10">
        <v>800</v>
      </c>
      <c r="F598" s="10"/>
      <c r="G598" s="14">
        <v>0</v>
      </c>
      <c r="H598" s="14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3">
        <f t="shared" ref="S598:S608" si="137">SUM(G598:R598)</f>
        <v>0</v>
      </c>
      <c r="W598" s="2"/>
    </row>
    <row r="599" spans="2:23" ht="15.75" customHeight="1" x14ac:dyDescent="0.25">
      <c r="B599" s="8">
        <v>7665</v>
      </c>
      <c r="C599" s="4" t="s">
        <v>123</v>
      </c>
      <c r="D599" s="9" t="s">
        <v>8</v>
      </c>
      <c r="E599" s="10">
        <v>801</v>
      </c>
      <c r="F599" s="10"/>
      <c r="G599" s="23"/>
      <c r="H599" s="23"/>
      <c r="I599" s="23"/>
      <c r="J599" s="24"/>
      <c r="K599" s="25"/>
      <c r="L599" s="26"/>
      <c r="M599" s="27"/>
      <c r="N599" s="27"/>
      <c r="O599" s="27"/>
      <c r="P599" s="27"/>
      <c r="Q599" s="27"/>
      <c r="R599" s="27"/>
      <c r="S599" s="13">
        <f t="shared" si="137"/>
        <v>0</v>
      </c>
      <c r="W599" s="2"/>
    </row>
    <row r="600" spans="2:23" ht="15.75" customHeight="1" x14ac:dyDescent="0.25">
      <c r="B600" s="8">
        <v>7665</v>
      </c>
      <c r="C600" s="4" t="s">
        <v>123</v>
      </c>
      <c r="D600" s="9" t="s">
        <v>8</v>
      </c>
      <c r="E600" s="10">
        <v>802</v>
      </c>
      <c r="F600" s="10"/>
      <c r="G600" s="23"/>
      <c r="H600" s="23"/>
      <c r="I600" s="23"/>
      <c r="J600" s="24"/>
      <c r="K600" s="25"/>
      <c r="L600" s="26"/>
      <c r="M600" s="27"/>
      <c r="N600" s="27"/>
      <c r="O600" s="27"/>
      <c r="P600" s="27"/>
      <c r="Q600" s="27"/>
      <c r="R600" s="27"/>
      <c r="S600" s="13">
        <f t="shared" si="137"/>
        <v>0</v>
      </c>
      <c r="W600" s="2"/>
    </row>
    <row r="601" spans="2:23" ht="15.75" customHeight="1" x14ac:dyDescent="0.25">
      <c r="B601" s="8">
        <v>7665</v>
      </c>
      <c r="C601" s="4" t="s">
        <v>123</v>
      </c>
      <c r="D601" s="9" t="s">
        <v>8</v>
      </c>
      <c r="E601" s="10">
        <v>803</v>
      </c>
      <c r="F601" s="10"/>
      <c r="G601" s="23"/>
      <c r="H601" s="23"/>
      <c r="I601" s="23"/>
      <c r="J601" s="24"/>
      <c r="K601" s="25"/>
      <c r="L601" s="26"/>
      <c r="M601" s="27"/>
      <c r="N601" s="27"/>
      <c r="O601" s="27"/>
      <c r="P601" s="27"/>
      <c r="Q601" s="27"/>
      <c r="R601" s="27"/>
      <c r="S601" s="13">
        <f t="shared" si="137"/>
        <v>0</v>
      </c>
      <c r="W601" s="2"/>
    </row>
    <row r="602" spans="2:23" ht="15.75" customHeight="1" x14ac:dyDescent="0.25">
      <c r="B602" s="8">
        <v>7665</v>
      </c>
      <c r="C602" s="4" t="s">
        <v>123</v>
      </c>
      <c r="D602" s="9" t="s">
        <v>8</v>
      </c>
      <c r="E602" s="10">
        <v>804</v>
      </c>
      <c r="F602" s="10"/>
      <c r="G602" s="23"/>
      <c r="H602" s="23"/>
      <c r="I602" s="23"/>
      <c r="J602" s="24"/>
      <c r="K602" s="25"/>
      <c r="L602" s="26"/>
      <c r="M602" s="27"/>
      <c r="N602" s="27"/>
      <c r="O602" s="27"/>
      <c r="P602" s="27"/>
      <c r="Q602" s="27"/>
      <c r="R602" s="27"/>
      <c r="S602" s="13">
        <f t="shared" si="137"/>
        <v>0</v>
      </c>
      <c r="W602" s="2"/>
    </row>
    <row r="603" spans="2:23" ht="15.75" customHeight="1" x14ac:dyDescent="0.25">
      <c r="B603" s="8">
        <v>7665</v>
      </c>
      <c r="C603" s="4" t="s">
        <v>123</v>
      </c>
      <c r="D603" s="9" t="s">
        <v>8</v>
      </c>
      <c r="E603" s="10">
        <v>805</v>
      </c>
      <c r="F603" s="10"/>
      <c r="G603" s="23"/>
      <c r="H603" s="23"/>
      <c r="I603" s="23"/>
      <c r="J603" s="24"/>
      <c r="K603" s="25"/>
      <c r="L603" s="26"/>
      <c r="M603" s="27"/>
      <c r="N603" s="27"/>
      <c r="O603" s="27"/>
      <c r="P603" s="27"/>
      <c r="Q603" s="27"/>
      <c r="R603" s="27"/>
      <c r="S603" s="13">
        <f t="shared" si="137"/>
        <v>0</v>
      </c>
      <c r="W603" s="2"/>
    </row>
    <row r="604" spans="2:23" ht="15.75" customHeight="1" x14ac:dyDescent="0.25">
      <c r="B604" s="8">
        <v>7665</v>
      </c>
      <c r="C604" s="4" t="s">
        <v>123</v>
      </c>
      <c r="D604" s="9" t="s">
        <v>8</v>
      </c>
      <c r="E604" s="10">
        <v>806</v>
      </c>
      <c r="F604" s="10"/>
      <c r="G604" s="23"/>
      <c r="H604" s="23"/>
      <c r="I604" s="23"/>
      <c r="J604" s="24"/>
      <c r="K604" s="25"/>
      <c r="L604" s="26"/>
      <c r="M604" s="27"/>
      <c r="N604" s="27"/>
      <c r="O604" s="27"/>
      <c r="P604" s="27"/>
      <c r="Q604" s="27"/>
      <c r="R604" s="27"/>
      <c r="S604" s="13">
        <f t="shared" si="137"/>
        <v>0</v>
      </c>
      <c r="W604" s="2"/>
    </row>
    <row r="605" spans="2:23" ht="15.75" customHeight="1" x14ac:dyDescent="0.25">
      <c r="B605" s="8">
        <v>7665</v>
      </c>
      <c r="C605" s="4" t="s">
        <v>123</v>
      </c>
      <c r="D605" s="9" t="s">
        <v>8</v>
      </c>
      <c r="E605" s="10">
        <v>807</v>
      </c>
      <c r="F605" s="10"/>
      <c r="G605" s="23"/>
      <c r="H605" s="23"/>
      <c r="I605" s="23"/>
      <c r="J605" s="24"/>
      <c r="K605" s="25"/>
      <c r="L605" s="26"/>
      <c r="M605" s="27"/>
      <c r="N605" s="27"/>
      <c r="O605" s="27"/>
      <c r="P605" s="27"/>
      <c r="Q605" s="27"/>
      <c r="R605" s="27"/>
      <c r="S605" s="13">
        <f t="shared" si="137"/>
        <v>0</v>
      </c>
      <c r="W605" s="2"/>
    </row>
    <row r="606" spans="2:23" ht="15.75" customHeight="1" x14ac:dyDescent="0.25">
      <c r="B606" s="8">
        <v>7665</v>
      </c>
      <c r="C606" s="4" t="s">
        <v>123</v>
      </c>
      <c r="D606" s="9" t="s">
        <v>8</v>
      </c>
      <c r="E606" s="10">
        <v>808</v>
      </c>
      <c r="F606" s="10"/>
      <c r="G606" s="23"/>
      <c r="H606" s="23"/>
      <c r="I606" s="23"/>
      <c r="J606" s="24"/>
      <c r="K606" s="25"/>
      <c r="L606" s="26"/>
      <c r="M606" s="27"/>
      <c r="N606" s="27"/>
      <c r="O606" s="27"/>
      <c r="P606" s="27"/>
      <c r="Q606" s="27"/>
      <c r="R606" s="27"/>
      <c r="S606" s="13">
        <f t="shared" si="137"/>
        <v>0</v>
      </c>
      <c r="W606" s="2"/>
    </row>
    <row r="607" spans="2:23" ht="15.75" customHeight="1" x14ac:dyDescent="0.25">
      <c r="B607" s="8">
        <v>7665</v>
      </c>
      <c r="C607" s="4" t="s">
        <v>123</v>
      </c>
      <c r="D607" s="9" t="s">
        <v>8</v>
      </c>
      <c r="E607" s="10">
        <v>809</v>
      </c>
      <c r="F607" s="10"/>
      <c r="G607" s="23"/>
      <c r="H607" s="23"/>
      <c r="I607" s="23"/>
      <c r="J607" s="24"/>
      <c r="K607" s="25"/>
      <c r="L607" s="26"/>
      <c r="M607" s="27"/>
      <c r="N607" s="27"/>
      <c r="O607" s="27"/>
      <c r="P607" s="27"/>
      <c r="Q607" s="27"/>
      <c r="R607" s="27"/>
      <c r="S607" s="13">
        <f t="shared" si="137"/>
        <v>0</v>
      </c>
      <c r="W607" s="2"/>
    </row>
    <row r="608" spans="2:23" ht="15.75" customHeight="1" x14ac:dyDescent="0.25">
      <c r="B608" s="8">
        <v>7665</v>
      </c>
      <c r="C608" s="4" t="s">
        <v>123</v>
      </c>
      <c r="D608" s="9" t="s">
        <v>8</v>
      </c>
      <c r="E608" s="10">
        <v>810</v>
      </c>
      <c r="F608" s="10"/>
      <c r="G608" s="28"/>
      <c r="H608" s="28"/>
      <c r="I608" s="28"/>
      <c r="J608" s="29"/>
      <c r="K608" s="30"/>
      <c r="L608" s="31"/>
      <c r="M608" s="32"/>
      <c r="N608" s="32"/>
      <c r="O608" s="32"/>
      <c r="P608" s="32"/>
      <c r="Q608" s="32"/>
      <c r="R608" s="32"/>
      <c r="S608" s="13">
        <f t="shared" si="137"/>
        <v>0</v>
      </c>
      <c r="W608" s="2"/>
    </row>
    <row r="609" spans="2:23" ht="15.75" customHeight="1" x14ac:dyDescent="0.25">
      <c r="B609" s="10"/>
      <c r="C609" s="15"/>
      <c r="D609" s="16"/>
      <c r="E609" s="10"/>
      <c r="F609" s="10"/>
      <c r="G609" s="18">
        <f t="shared" ref="G609:S609" si="138">SUM(G598:G608)</f>
        <v>0</v>
      </c>
      <c r="H609" s="18">
        <f t="shared" si="138"/>
        <v>0</v>
      </c>
      <c r="I609" s="18">
        <f t="shared" si="138"/>
        <v>0</v>
      </c>
      <c r="J609" s="18">
        <f t="shared" si="138"/>
        <v>0</v>
      </c>
      <c r="K609" s="18">
        <f t="shared" si="138"/>
        <v>0</v>
      </c>
      <c r="L609" s="18">
        <f t="shared" si="138"/>
        <v>0</v>
      </c>
      <c r="M609" s="18">
        <f t="shared" si="138"/>
        <v>0</v>
      </c>
      <c r="N609" s="18">
        <f t="shared" si="138"/>
        <v>0</v>
      </c>
      <c r="O609" s="18">
        <f t="shared" si="138"/>
        <v>0</v>
      </c>
      <c r="P609" s="18">
        <f t="shared" si="138"/>
        <v>0</v>
      </c>
      <c r="Q609" s="18">
        <f t="shared" si="138"/>
        <v>0</v>
      </c>
      <c r="R609" s="18">
        <f t="shared" si="138"/>
        <v>0</v>
      </c>
      <c r="S609" s="19">
        <f t="shared" si="138"/>
        <v>0</v>
      </c>
      <c r="W609" s="2"/>
    </row>
    <row r="610" spans="2:23" ht="15.75" customHeight="1" x14ac:dyDescent="0.25">
      <c r="B610" s="10"/>
      <c r="C610" s="15"/>
      <c r="D610" s="16"/>
      <c r="E610" s="10"/>
      <c r="F610" s="10"/>
      <c r="G610" s="20"/>
      <c r="H610" s="20"/>
      <c r="I610" s="20"/>
      <c r="J610" s="20"/>
      <c r="K610" s="15"/>
      <c r="L610" s="1"/>
      <c r="M610" s="21"/>
      <c r="W610" s="2"/>
    </row>
    <row r="611" spans="2:23" ht="15.75" customHeight="1" x14ac:dyDescent="0.25">
      <c r="B611" s="10"/>
      <c r="C611" s="15"/>
      <c r="D611" s="16"/>
      <c r="E611" s="10"/>
      <c r="F611" s="10"/>
      <c r="G611" s="20"/>
      <c r="H611" s="20"/>
      <c r="I611" s="20"/>
      <c r="J611" s="20"/>
      <c r="K611" s="15"/>
      <c r="L611" s="1"/>
      <c r="M611" s="21"/>
      <c r="W611" s="2"/>
    </row>
    <row r="612" spans="2:23" ht="15.75" customHeight="1" x14ac:dyDescent="0.25">
      <c r="B612" s="10"/>
      <c r="C612" s="15"/>
      <c r="D612" s="16"/>
      <c r="E612" s="10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W612" s="2"/>
    </row>
    <row r="613" spans="2:23" ht="15.75" customHeight="1" x14ac:dyDescent="0.25">
      <c r="B613" s="10"/>
      <c r="C613" s="15"/>
      <c r="D613" s="16"/>
      <c r="E613" s="10"/>
      <c r="F613" s="4">
        <v>2024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f t="shared" ref="S613:S614" si="139">SUM(G613:R613)</f>
        <v>0</v>
      </c>
      <c r="W613" s="2"/>
    </row>
    <row r="614" spans="2:23" ht="15.75" customHeight="1" x14ac:dyDescent="0.25">
      <c r="B614" s="10"/>
      <c r="C614" s="15"/>
      <c r="D614" s="16"/>
      <c r="E614" s="10"/>
      <c r="F614" s="4">
        <v>2025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f t="shared" si="139"/>
        <v>0</v>
      </c>
      <c r="W614" s="2"/>
    </row>
    <row r="615" spans="2:23" ht="15.75" customHeight="1" x14ac:dyDescent="0.25">
      <c r="B615" s="10"/>
      <c r="C615" s="15"/>
      <c r="D615" s="16"/>
      <c r="E615" s="10"/>
      <c r="F615" s="10"/>
      <c r="G615" s="20"/>
      <c r="H615" s="20"/>
      <c r="I615" s="20"/>
      <c r="J615" s="20"/>
      <c r="K615" s="15"/>
      <c r="L615" s="1"/>
      <c r="M615" s="21"/>
      <c r="W615" s="2"/>
    </row>
    <row r="616" spans="2:23" ht="15.75" customHeight="1" x14ac:dyDescent="0.25">
      <c r="B616" s="10"/>
      <c r="C616" s="15"/>
      <c r="D616" s="16"/>
      <c r="E616" s="10"/>
      <c r="F616" s="10"/>
      <c r="G616" s="20"/>
      <c r="H616" s="20"/>
      <c r="I616" s="20"/>
      <c r="J616" s="20"/>
      <c r="K616" s="15"/>
      <c r="L616" s="1"/>
      <c r="M616" s="21"/>
      <c r="W616" s="2"/>
    </row>
    <row r="617" spans="2:23" ht="15.75" customHeight="1" x14ac:dyDescent="0.25">
      <c r="B617" s="10"/>
      <c r="C617" s="15"/>
      <c r="D617" s="16"/>
      <c r="E617" s="10"/>
      <c r="F617" s="10"/>
      <c r="G617" s="7">
        <v>46023</v>
      </c>
      <c r="H617" s="7">
        <v>46054</v>
      </c>
      <c r="I617" s="7">
        <v>46082</v>
      </c>
      <c r="J617" s="7">
        <v>46113</v>
      </c>
      <c r="K617" s="7">
        <v>46143</v>
      </c>
      <c r="L617" s="7">
        <v>46174</v>
      </c>
      <c r="M617" s="7">
        <v>46204</v>
      </c>
      <c r="N617" s="7">
        <v>46235</v>
      </c>
      <c r="O617" s="7">
        <v>46266</v>
      </c>
      <c r="P617" s="7">
        <v>46296</v>
      </c>
      <c r="Q617" s="7">
        <v>46327</v>
      </c>
      <c r="R617" s="7">
        <v>46357</v>
      </c>
      <c r="S617" s="7" t="s">
        <v>6</v>
      </c>
      <c r="W617" s="2"/>
    </row>
    <row r="618" spans="2:23" ht="15.75" customHeight="1" x14ac:dyDescent="0.25">
      <c r="B618" s="8">
        <v>7670</v>
      </c>
      <c r="C618" s="4" t="s">
        <v>124</v>
      </c>
      <c r="D618" s="9" t="s">
        <v>8</v>
      </c>
      <c r="E618" s="10">
        <v>800</v>
      </c>
      <c r="F618" s="10"/>
      <c r="G618" s="14">
        <v>0</v>
      </c>
      <c r="H618" s="14">
        <v>0</v>
      </c>
      <c r="I618" s="14">
        <v>0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3">
        <f t="shared" ref="S618:S628" si="140">SUM(G618:R618)</f>
        <v>0</v>
      </c>
      <c r="W618" s="2"/>
    </row>
    <row r="619" spans="2:23" ht="15.75" customHeight="1" x14ac:dyDescent="0.25">
      <c r="B619" s="8">
        <v>7670</v>
      </c>
      <c r="C619" s="4" t="s">
        <v>124</v>
      </c>
      <c r="D619" s="9" t="s">
        <v>8</v>
      </c>
      <c r="E619" s="10">
        <v>801</v>
      </c>
      <c r="F619" s="10"/>
      <c r="G619" s="23"/>
      <c r="H619" s="23"/>
      <c r="I619" s="23"/>
      <c r="J619" s="24"/>
      <c r="K619" s="25"/>
      <c r="L619" s="26"/>
      <c r="M619" s="27"/>
      <c r="N619" s="27"/>
      <c r="O619" s="27"/>
      <c r="P619" s="27"/>
      <c r="Q619" s="27"/>
      <c r="R619" s="27"/>
      <c r="S619" s="13">
        <f t="shared" si="140"/>
        <v>0</v>
      </c>
      <c r="W619" s="2"/>
    </row>
    <row r="620" spans="2:23" ht="15.75" customHeight="1" x14ac:dyDescent="0.25">
      <c r="B620" s="8">
        <v>7670</v>
      </c>
      <c r="C620" s="4" t="s">
        <v>124</v>
      </c>
      <c r="D620" s="9" t="s">
        <v>8</v>
      </c>
      <c r="E620" s="10">
        <v>802</v>
      </c>
      <c r="F620" s="10"/>
      <c r="G620" s="23"/>
      <c r="H620" s="23"/>
      <c r="I620" s="23"/>
      <c r="J620" s="24"/>
      <c r="K620" s="25"/>
      <c r="L620" s="26"/>
      <c r="M620" s="27"/>
      <c r="N620" s="27"/>
      <c r="O620" s="27"/>
      <c r="P620" s="27"/>
      <c r="Q620" s="27"/>
      <c r="R620" s="27"/>
      <c r="S620" s="13">
        <f t="shared" si="140"/>
        <v>0</v>
      </c>
      <c r="W620" s="2"/>
    </row>
    <row r="621" spans="2:23" ht="15.75" customHeight="1" x14ac:dyDescent="0.25">
      <c r="B621" s="8">
        <v>7670</v>
      </c>
      <c r="C621" s="4" t="s">
        <v>124</v>
      </c>
      <c r="D621" s="9" t="s">
        <v>8</v>
      </c>
      <c r="E621" s="10">
        <v>803</v>
      </c>
      <c r="F621" s="10"/>
      <c r="G621" s="23"/>
      <c r="H621" s="23"/>
      <c r="I621" s="23"/>
      <c r="J621" s="24"/>
      <c r="K621" s="25"/>
      <c r="L621" s="26"/>
      <c r="M621" s="27"/>
      <c r="N621" s="27"/>
      <c r="O621" s="27"/>
      <c r="P621" s="27"/>
      <c r="Q621" s="27"/>
      <c r="R621" s="27"/>
      <c r="S621" s="13">
        <f t="shared" si="140"/>
        <v>0</v>
      </c>
      <c r="W621" s="2"/>
    </row>
    <row r="622" spans="2:23" ht="15.75" customHeight="1" x14ac:dyDescent="0.25">
      <c r="B622" s="8">
        <v>7670</v>
      </c>
      <c r="C622" s="4" t="s">
        <v>124</v>
      </c>
      <c r="D622" s="9" t="s">
        <v>8</v>
      </c>
      <c r="E622" s="10">
        <v>804</v>
      </c>
      <c r="F622" s="10"/>
      <c r="G622" s="23"/>
      <c r="H622" s="23"/>
      <c r="I622" s="23"/>
      <c r="J622" s="24"/>
      <c r="K622" s="25"/>
      <c r="L622" s="26"/>
      <c r="M622" s="27"/>
      <c r="N622" s="27"/>
      <c r="O622" s="27"/>
      <c r="P622" s="27"/>
      <c r="Q622" s="27"/>
      <c r="R622" s="27"/>
      <c r="S622" s="13">
        <f t="shared" si="140"/>
        <v>0</v>
      </c>
      <c r="W622" s="2"/>
    </row>
    <row r="623" spans="2:23" ht="15.75" customHeight="1" x14ac:dyDescent="0.25">
      <c r="B623" s="8">
        <v>7670</v>
      </c>
      <c r="C623" s="4" t="s">
        <v>124</v>
      </c>
      <c r="D623" s="9" t="s">
        <v>8</v>
      </c>
      <c r="E623" s="10">
        <v>805</v>
      </c>
      <c r="F623" s="10"/>
      <c r="G623" s="23"/>
      <c r="H623" s="23"/>
      <c r="I623" s="23"/>
      <c r="J623" s="24"/>
      <c r="K623" s="25"/>
      <c r="L623" s="26"/>
      <c r="M623" s="27"/>
      <c r="N623" s="27"/>
      <c r="O623" s="27"/>
      <c r="P623" s="27"/>
      <c r="Q623" s="27"/>
      <c r="R623" s="27"/>
      <c r="S623" s="13">
        <f t="shared" si="140"/>
        <v>0</v>
      </c>
      <c r="W623" s="2"/>
    </row>
    <row r="624" spans="2:23" ht="15.75" customHeight="1" x14ac:dyDescent="0.25">
      <c r="B624" s="8">
        <v>7670</v>
      </c>
      <c r="C624" s="4" t="s">
        <v>124</v>
      </c>
      <c r="D624" s="9" t="s">
        <v>8</v>
      </c>
      <c r="E624" s="10">
        <v>806</v>
      </c>
      <c r="F624" s="10"/>
      <c r="G624" s="23"/>
      <c r="H624" s="23"/>
      <c r="I624" s="23"/>
      <c r="J624" s="24"/>
      <c r="K624" s="25"/>
      <c r="L624" s="26"/>
      <c r="M624" s="27"/>
      <c r="N624" s="27"/>
      <c r="O624" s="27"/>
      <c r="P624" s="27"/>
      <c r="Q624" s="27"/>
      <c r="R624" s="27"/>
      <c r="S624" s="13">
        <f t="shared" si="140"/>
        <v>0</v>
      </c>
      <c r="W624" s="2"/>
    </row>
    <row r="625" spans="2:23" ht="15.75" customHeight="1" x14ac:dyDescent="0.25">
      <c r="B625" s="8">
        <v>7670</v>
      </c>
      <c r="C625" s="4" t="s">
        <v>124</v>
      </c>
      <c r="D625" s="9" t="s">
        <v>8</v>
      </c>
      <c r="E625" s="10">
        <v>807</v>
      </c>
      <c r="F625" s="10"/>
      <c r="G625" s="23"/>
      <c r="H625" s="23"/>
      <c r="I625" s="23"/>
      <c r="J625" s="24"/>
      <c r="K625" s="25"/>
      <c r="L625" s="26"/>
      <c r="M625" s="27"/>
      <c r="N625" s="27"/>
      <c r="O625" s="27"/>
      <c r="P625" s="27"/>
      <c r="Q625" s="27"/>
      <c r="R625" s="27"/>
      <c r="S625" s="13">
        <f t="shared" si="140"/>
        <v>0</v>
      </c>
      <c r="W625" s="2"/>
    </row>
    <row r="626" spans="2:23" ht="15.75" customHeight="1" x14ac:dyDescent="0.25">
      <c r="B626" s="8">
        <v>7670</v>
      </c>
      <c r="C626" s="4" t="s">
        <v>124</v>
      </c>
      <c r="D626" s="9" t="s">
        <v>8</v>
      </c>
      <c r="E626" s="10">
        <v>808</v>
      </c>
      <c r="F626" s="10"/>
      <c r="G626" s="23"/>
      <c r="H626" s="23"/>
      <c r="I626" s="23"/>
      <c r="J626" s="24"/>
      <c r="K626" s="25"/>
      <c r="L626" s="26"/>
      <c r="M626" s="27"/>
      <c r="N626" s="27"/>
      <c r="O626" s="27"/>
      <c r="P626" s="27"/>
      <c r="Q626" s="27"/>
      <c r="R626" s="27"/>
      <c r="S626" s="13">
        <f t="shared" si="140"/>
        <v>0</v>
      </c>
      <c r="W626" s="2"/>
    </row>
    <row r="627" spans="2:23" ht="15.75" customHeight="1" x14ac:dyDescent="0.25">
      <c r="B627" s="8">
        <v>7670</v>
      </c>
      <c r="C627" s="4" t="s">
        <v>124</v>
      </c>
      <c r="D627" s="9" t="s">
        <v>8</v>
      </c>
      <c r="E627" s="10">
        <v>809</v>
      </c>
      <c r="F627" s="10"/>
      <c r="G627" s="23"/>
      <c r="H627" s="23"/>
      <c r="I627" s="23"/>
      <c r="J627" s="24"/>
      <c r="K627" s="25"/>
      <c r="L627" s="26"/>
      <c r="M627" s="27"/>
      <c r="N627" s="27"/>
      <c r="O627" s="27"/>
      <c r="P627" s="27"/>
      <c r="Q627" s="27"/>
      <c r="R627" s="27"/>
      <c r="S627" s="13">
        <f t="shared" si="140"/>
        <v>0</v>
      </c>
      <c r="W627" s="2"/>
    </row>
    <row r="628" spans="2:23" ht="15.75" customHeight="1" x14ac:dyDescent="0.25">
      <c r="B628" s="8">
        <v>7670</v>
      </c>
      <c r="C628" s="4" t="s">
        <v>124</v>
      </c>
      <c r="D628" s="9" t="s">
        <v>8</v>
      </c>
      <c r="E628" s="10">
        <v>810</v>
      </c>
      <c r="F628" s="10"/>
      <c r="G628" s="28"/>
      <c r="H628" s="28"/>
      <c r="I628" s="28"/>
      <c r="J628" s="29"/>
      <c r="K628" s="30"/>
      <c r="L628" s="31"/>
      <c r="M628" s="32"/>
      <c r="N628" s="32"/>
      <c r="O628" s="32"/>
      <c r="P628" s="32"/>
      <c r="Q628" s="32"/>
      <c r="R628" s="32"/>
      <c r="S628" s="13">
        <f t="shared" si="140"/>
        <v>0</v>
      </c>
      <c r="W628" s="2"/>
    </row>
    <row r="629" spans="2:23" ht="15.75" customHeight="1" x14ac:dyDescent="0.25">
      <c r="G629" s="18">
        <f t="shared" ref="G629:S629" si="141">SUM(G618:G628)</f>
        <v>0</v>
      </c>
      <c r="H629" s="18">
        <f t="shared" si="141"/>
        <v>0</v>
      </c>
      <c r="I629" s="18">
        <f t="shared" si="141"/>
        <v>0</v>
      </c>
      <c r="J629" s="18">
        <f t="shared" si="141"/>
        <v>0</v>
      </c>
      <c r="K629" s="18">
        <f t="shared" si="141"/>
        <v>0</v>
      </c>
      <c r="L629" s="18">
        <f t="shared" si="141"/>
        <v>0</v>
      </c>
      <c r="M629" s="18">
        <f t="shared" si="141"/>
        <v>0</v>
      </c>
      <c r="N629" s="18">
        <f t="shared" si="141"/>
        <v>0</v>
      </c>
      <c r="O629" s="18">
        <f t="shared" si="141"/>
        <v>0</v>
      </c>
      <c r="P629" s="18">
        <f t="shared" si="141"/>
        <v>0</v>
      </c>
      <c r="Q629" s="18">
        <f t="shared" si="141"/>
        <v>0</v>
      </c>
      <c r="R629" s="18">
        <f t="shared" si="141"/>
        <v>0</v>
      </c>
      <c r="S629" s="19">
        <f t="shared" si="141"/>
        <v>0</v>
      </c>
      <c r="W629" s="2"/>
    </row>
    <row r="630" spans="2:23" ht="15.75" customHeight="1" x14ac:dyDescent="0.25">
      <c r="G630" s="20"/>
      <c r="H630" s="20"/>
      <c r="I630" s="20"/>
      <c r="J630" s="20"/>
      <c r="K630" s="15"/>
      <c r="L630" s="1"/>
      <c r="M630" s="21"/>
      <c r="W630" s="2"/>
    </row>
    <row r="631" spans="2:23" ht="15.75" customHeight="1" x14ac:dyDescent="0.25">
      <c r="G631" s="20"/>
      <c r="H631" s="20"/>
      <c r="I631" s="20"/>
      <c r="J631" s="20"/>
      <c r="K631" s="15"/>
      <c r="L631" s="1"/>
      <c r="M631" s="21"/>
      <c r="W631" s="2"/>
    </row>
    <row r="632" spans="2:23" ht="15.75" customHeight="1" x14ac:dyDescent="0.25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W632" s="2"/>
    </row>
    <row r="633" spans="2:23" ht="15.75" customHeight="1" x14ac:dyDescent="0.25">
      <c r="F633" s="4">
        <v>2024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f t="shared" ref="S633:S634" si="142">SUM(G633:R633)</f>
        <v>0</v>
      </c>
      <c r="W633" s="2"/>
    </row>
    <row r="634" spans="2:23" ht="15.75" customHeight="1" x14ac:dyDescent="0.25">
      <c r="F634" s="4">
        <v>2025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f t="shared" si="142"/>
        <v>0</v>
      </c>
      <c r="W634" s="2"/>
    </row>
    <row r="635" spans="2:23" ht="15.75" customHeight="1" x14ac:dyDescent="0.25">
      <c r="G635" s="20"/>
      <c r="H635" s="20"/>
      <c r="I635" s="20"/>
      <c r="J635" s="20"/>
      <c r="K635" s="15"/>
      <c r="L635" s="1"/>
      <c r="M635" s="21"/>
      <c r="W635" s="2"/>
    </row>
    <row r="636" spans="2:23" ht="15.75" customHeight="1" x14ac:dyDescent="0.25">
      <c r="G636" s="7">
        <v>46023</v>
      </c>
      <c r="H636" s="7">
        <v>46054</v>
      </c>
      <c r="I636" s="7">
        <v>46082</v>
      </c>
      <c r="J636" s="7">
        <v>46113</v>
      </c>
      <c r="K636" s="7">
        <v>46143</v>
      </c>
      <c r="L636" s="7">
        <v>46174</v>
      </c>
      <c r="M636" s="7">
        <v>46204</v>
      </c>
      <c r="N636" s="7">
        <v>46235</v>
      </c>
      <c r="O636" s="7">
        <v>46266</v>
      </c>
      <c r="P636" s="7">
        <v>46296</v>
      </c>
      <c r="Q636" s="7">
        <v>46327</v>
      </c>
      <c r="R636" s="7">
        <v>46357</v>
      </c>
      <c r="S636" s="7" t="s">
        <v>6</v>
      </c>
      <c r="W636" s="2"/>
    </row>
    <row r="637" spans="2:23" ht="15.75" customHeight="1" x14ac:dyDescent="0.25">
      <c r="B637" s="8">
        <v>7675</v>
      </c>
      <c r="C637" s="4" t="s">
        <v>125</v>
      </c>
      <c r="D637" s="9" t="s">
        <v>8</v>
      </c>
      <c r="E637" s="10">
        <v>800</v>
      </c>
      <c r="F637" s="10"/>
      <c r="G637" s="14">
        <v>100</v>
      </c>
      <c r="H637" s="14">
        <v>100</v>
      </c>
      <c r="I637" s="14">
        <v>100</v>
      </c>
      <c r="J637" s="14">
        <v>100</v>
      </c>
      <c r="K637" s="14">
        <v>100</v>
      </c>
      <c r="L637" s="14">
        <v>100</v>
      </c>
      <c r="M637" s="14">
        <v>100</v>
      </c>
      <c r="N637" s="14">
        <v>100</v>
      </c>
      <c r="O637" s="14">
        <v>100</v>
      </c>
      <c r="P637" s="14">
        <v>100</v>
      </c>
      <c r="Q637" s="14">
        <v>100</v>
      </c>
      <c r="R637" s="14">
        <v>100</v>
      </c>
      <c r="S637" s="13">
        <f t="shared" ref="S637:S647" si="143">SUM(G637:R637)</f>
        <v>1200</v>
      </c>
      <c r="W637" s="2"/>
    </row>
    <row r="638" spans="2:23" ht="15.75" customHeight="1" x14ac:dyDescent="0.25">
      <c r="B638" s="8">
        <v>7675</v>
      </c>
      <c r="C638" s="4" t="s">
        <v>125</v>
      </c>
      <c r="D638" s="9" t="s">
        <v>8</v>
      </c>
      <c r="E638" s="10">
        <v>801</v>
      </c>
      <c r="F638" s="10"/>
      <c r="G638" s="23"/>
      <c r="H638" s="23"/>
      <c r="I638" s="23"/>
      <c r="J638" s="24"/>
      <c r="K638" s="25"/>
      <c r="L638" s="26"/>
      <c r="M638" s="27"/>
      <c r="N638" s="27"/>
      <c r="O638" s="27"/>
      <c r="P638" s="27"/>
      <c r="Q638" s="27"/>
      <c r="R638" s="27"/>
      <c r="S638" s="13">
        <f t="shared" si="143"/>
        <v>0</v>
      </c>
      <c r="W638" s="2"/>
    </row>
    <row r="639" spans="2:23" ht="15.75" customHeight="1" x14ac:dyDescent="0.25">
      <c r="B639" s="8">
        <v>7675</v>
      </c>
      <c r="C639" s="4" t="s">
        <v>125</v>
      </c>
      <c r="D639" s="9" t="s">
        <v>8</v>
      </c>
      <c r="E639" s="10">
        <v>802</v>
      </c>
      <c r="F639" s="10"/>
      <c r="G639" s="23"/>
      <c r="H639" s="23"/>
      <c r="I639" s="23"/>
      <c r="J639" s="24"/>
      <c r="K639" s="25"/>
      <c r="L639" s="26"/>
      <c r="M639" s="27"/>
      <c r="N639" s="27"/>
      <c r="O639" s="27"/>
      <c r="P639" s="27"/>
      <c r="Q639" s="27"/>
      <c r="R639" s="27"/>
      <c r="S639" s="13">
        <f t="shared" si="143"/>
        <v>0</v>
      </c>
      <c r="W639" s="2"/>
    </row>
    <row r="640" spans="2:23" ht="15.75" customHeight="1" x14ac:dyDescent="0.25">
      <c r="B640" s="8">
        <v>7675</v>
      </c>
      <c r="C640" s="4" t="s">
        <v>125</v>
      </c>
      <c r="D640" s="9" t="s">
        <v>8</v>
      </c>
      <c r="E640" s="10">
        <v>803</v>
      </c>
      <c r="F640" s="10"/>
      <c r="G640" s="23"/>
      <c r="H640" s="23"/>
      <c r="I640" s="23"/>
      <c r="J640" s="24"/>
      <c r="K640" s="25"/>
      <c r="L640" s="26"/>
      <c r="M640" s="27"/>
      <c r="N640" s="27"/>
      <c r="O640" s="27"/>
      <c r="P640" s="27"/>
      <c r="Q640" s="27"/>
      <c r="R640" s="27"/>
      <c r="S640" s="13">
        <f t="shared" si="143"/>
        <v>0</v>
      </c>
      <c r="W640" s="2"/>
    </row>
    <row r="641" spans="2:23" ht="15.75" customHeight="1" x14ac:dyDescent="0.25">
      <c r="B641" s="8">
        <v>7675</v>
      </c>
      <c r="C641" s="4" t="s">
        <v>125</v>
      </c>
      <c r="D641" s="9" t="s">
        <v>8</v>
      </c>
      <c r="E641" s="10">
        <v>804</v>
      </c>
      <c r="F641" s="10"/>
      <c r="G641" s="23"/>
      <c r="H641" s="23"/>
      <c r="I641" s="23"/>
      <c r="J641" s="24"/>
      <c r="K641" s="25"/>
      <c r="L641" s="26"/>
      <c r="M641" s="27"/>
      <c r="N641" s="27"/>
      <c r="O641" s="27"/>
      <c r="P641" s="27"/>
      <c r="Q641" s="27"/>
      <c r="R641" s="27"/>
      <c r="S641" s="13">
        <f t="shared" si="143"/>
        <v>0</v>
      </c>
      <c r="W641" s="2"/>
    </row>
    <row r="642" spans="2:23" ht="15.75" customHeight="1" x14ac:dyDescent="0.25">
      <c r="B642" s="8">
        <v>7675</v>
      </c>
      <c r="C642" s="4" t="s">
        <v>125</v>
      </c>
      <c r="D642" s="9" t="s">
        <v>8</v>
      </c>
      <c r="E642" s="10">
        <v>805</v>
      </c>
      <c r="F642" s="10"/>
      <c r="G642" s="23"/>
      <c r="H642" s="23"/>
      <c r="I642" s="23"/>
      <c r="J642" s="24"/>
      <c r="K642" s="25"/>
      <c r="L642" s="26"/>
      <c r="M642" s="27"/>
      <c r="N642" s="27"/>
      <c r="O642" s="27"/>
      <c r="P642" s="27"/>
      <c r="Q642" s="27"/>
      <c r="R642" s="27"/>
      <c r="S642" s="13">
        <f t="shared" si="143"/>
        <v>0</v>
      </c>
      <c r="W642" s="2"/>
    </row>
    <row r="643" spans="2:23" ht="15.75" customHeight="1" x14ac:dyDescent="0.25">
      <c r="B643" s="8">
        <v>7675</v>
      </c>
      <c r="C643" s="4" t="s">
        <v>125</v>
      </c>
      <c r="D643" s="9" t="s">
        <v>8</v>
      </c>
      <c r="E643" s="10">
        <v>806</v>
      </c>
      <c r="F643" s="10"/>
      <c r="G643" s="23"/>
      <c r="H643" s="23"/>
      <c r="I643" s="23"/>
      <c r="J643" s="24"/>
      <c r="K643" s="25"/>
      <c r="L643" s="26"/>
      <c r="M643" s="27"/>
      <c r="N643" s="27"/>
      <c r="O643" s="27"/>
      <c r="P643" s="27"/>
      <c r="Q643" s="27"/>
      <c r="R643" s="27"/>
      <c r="S643" s="13">
        <f t="shared" si="143"/>
        <v>0</v>
      </c>
      <c r="W643" s="2"/>
    </row>
    <row r="644" spans="2:23" ht="15.75" customHeight="1" x14ac:dyDescent="0.25">
      <c r="B644" s="8">
        <v>7675</v>
      </c>
      <c r="C644" s="4" t="s">
        <v>125</v>
      </c>
      <c r="D644" s="9" t="s">
        <v>8</v>
      </c>
      <c r="E644" s="10">
        <v>807</v>
      </c>
      <c r="F644" s="10"/>
      <c r="G644" s="23"/>
      <c r="H644" s="23"/>
      <c r="I644" s="23"/>
      <c r="J644" s="24"/>
      <c r="K644" s="25"/>
      <c r="L644" s="26"/>
      <c r="M644" s="27"/>
      <c r="N644" s="27"/>
      <c r="O644" s="27"/>
      <c r="P644" s="27"/>
      <c r="Q644" s="27"/>
      <c r="R644" s="27"/>
      <c r="S644" s="13">
        <f t="shared" si="143"/>
        <v>0</v>
      </c>
      <c r="W644" s="2"/>
    </row>
    <row r="645" spans="2:23" ht="15.75" customHeight="1" x14ac:dyDescent="0.25">
      <c r="B645" s="8">
        <v>7675</v>
      </c>
      <c r="C645" s="4" t="s">
        <v>125</v>
      </c>
      <c r="D645" s="9" t="s">
        <v>8</v>
      </c>
      <c r="E645" s="10">
        <v>808</v>
      </c>
      <c r="F645" s="10"/>
      <c r="G645" s="23"/>
      <c r="H645" s="23"/>
      <c r="I645" s="23"/>
      <c r="J645" s="24"/>
      <c r="K645" s="25"/>
      <c r="L645" s="26"/>
      <c r="M645" s="27"/>
      <c r="N645" s="27"/>
      <c r="O645" s="27"/>
      <c r="P645" s="27"/>
      <c r="Q645" s="27"/>
      <c r="R645" s="27"/>
      <c r="S645" s="13">
        <f t="shared" si="143"/>
        <v>0</v>
      </c>
      <c r="W645" s="2"/>
    </row>
    <row r="646" spans="2:23" ht="15.75" customHeight="1" x14ac:dyDescent="0.25">
      <c r="B646" s="8">
        <v>7675</v>
      </c>
      <c r="C646" s="4" t="s">
        <v>125</v>
      </c>
      <c r="D646" s="9" t="s">
        <v>8</v>
      </c>
      <c r="E646" s="10">
        <v>809</v>
      </c>
      <c r="F646" s="10"/>
      <c r="G646" s="23"/>
      <c r="H646" s="23"/>
      <c r="I646" s="23"/>
      <c r="J646" s="24"/>
      <c r="K646" s="25"/>
      <c r="L646" s="26"/>
      <c r="M646" s="27"/>
      <c r="N646" s="27"/>
      <c r="O646" s="27"/>
      <c r="P646" s="27"/>
      <c r="Q646" s="27"/>
      <c r="R646" s="27"/>
      <c r="S646" s="13">
        <f t="shared" si="143"/>
        <v>0</v>
      </c>
      <c r="W646" s="2"/>
    </row>
    <row r="647" spans="2:23" ht="15.75" customHeight="1" x14ac:dyDescent="0.25">
      <c r="B647" s="8">
        <v>7675</v>
      </c>
      <c r="C647" s="4" t="s">
        <v>125</v>
      </c>
      <c r="D647" s="9" t="s">
        <v>8</v>
      </c>
      <c r="E647" s="10">
        <v>810</v>
      </c>
      <c r="F647" s="10"/>
      <c r="G647" s="28"/>
      <c r="H647" s="28"/>
      <c r="I647" s="28"/>
      <c r="J647" s="29"/>
      <c r="K647" s="30"/>
      <c r="L647" s="31"/>
      <c r="M647" s="32"/>
      <c r="N647" s="32"/>
      <c r="O647" s="32"/>
      <c r="P647" s="32"/>
      <c r="Q647" s="32"/>
      <c r="R647" s="32"/>
      <c r="S647" s="13">
        <f t="shared" si="143"/>
        <v>0</v>
      </c>
      <c r="W647" s="2"/>
    </row>
    <row r="648" spans="2:23" ht="15.75" customHeight="1" x14ac:dyDescent="0.25">
      <c r="B648" s="10"/>
      <c r="C648" s="15"/>
      <c r="D648" s="16"/>
      <c r="E648" s="10"/>
      <c r="F648" s="10"/>
      <c r="G648" s="18">
        <f t="shared" ref="G648:S648" si="144">SUM(G637:G647)</f>
        <v>100</v>
      </c>
      <c r="H648" s="18">
        <f t="shared" si="144"/>
        <v>100</v>
      </c>
      <c r="I648" s="18">
        <f t="shared" si="144"/>
        <v>100</v>
      </c>
      <c r="J648" s="18">
        <f t="shared" si="144"/>
        <v>100</v>
      </c>
      <c r="K648" s="18">
        <f t="shared" si="144"/>
        <v>100</v>
      </c>
      <c r="L648" s="18">
        <f t="shared" si="144"/>
        <v>100</v>
      </c>
      <c r="M648" s="18">
        <f t="shared" si="144"/>
        <v>100</v>
      </c>
      <c r="N648" s="18">
        <f t="shared" si="144"/>
        <v>100</v>
      </c>
      <c r="O648" s="18">
        <f t="shared" si="144"/>
        <v>100</v>
      </c>
      <c r="P648" s="18">
        <f t="shared" si="144"/>
        <v>100</v>
      </c>
      <c r="Q648" s="18">
        <f t="shared" si="144"/>
        <v>100</v>
      </c>
      <c r="R648" s="18">
        <f t="shared" si="144"/>
        <v>100</v>
      </c>
      <c r="S648" s="19">
        <f t="shared" si="144"/>
        <v>1200</v>
      </c>
      <c r="W648" s="2"/>
    </row>
    <row r="649" spans="2:23" ht="15.75" customHeight="1" x14ac:dyDescent="0.25">
      <c r="B649" s="10"/>
      <c r="C649" s="15"/>
      <c r="D649" s="16"/>
      <c r="E649" s="10"/>
      <c r="F649" s="10"/>
      <c r="G649" s="20"/>
      <c r="H649" s="20"/>
      <c r="I649" s="20"/>
      <c r="J649" s="20"/>
      <c r="K649" s="15"/>
      <c r="L649" s="1"/>
      <c r="M649" s="21"/>
      <c r="W649" s="2"/>
    </row>
    <row r="650" spans="2:23" ht="15.75" customHeight="1" x14ac:dyDescent="0.25">
      <c r="B650" s="10"/>
      <c r="C650" s="15"/>
      <c r="D650" s="16"/>
      <c r="E650" s="10"/>
      <c r="F650" s="10"/>
      <c r="G650" s="20"/>
      <c r="H650" s="20"/>
      <c r="I650" s="20"/>
      <c r="J650" s="20"/>
      <c r="K650" s="15"/>
      <c r="L650" s="1"/>
      <c r="M650" s="21"/>
      <c r="W650" s="2"/>
    </row>
    <row r="651" spans="2:23" ht="15.75" customHeight="1" x14ac:dyDescent="0.25">
      <c r="B651" s="10"/>
      <c r="C651" s="15"/>
      <c r="D651" s="16"/>
      <c r="E651" s="10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W651" s="2"/>
    </row>
    <row r="652" spans="2:23" ht="15.75" customHeight="1" x14ac:dyDescent="0.25">
      <c r="B652" s="10"/>
      <c r="C652" s="15"/>
      <c r="D652" s="16"/>
      <c r="E652" s="10"/>
      <c r="F652" s="4">
        <v>2024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f t="shared" ref="S652:S653" si="145">SUM(G652:R652)</f>
        <v>0</v>
      </c>
      <c r="W652" s="2"/>
    </row>
    <row r="653" spans="2:23" ht="15.75" customHeight="1" x14ac:dyDescent="0.25">
      <c r="B653" s="10"/>
      <c r="C653" s="15"/>
      <c r="D653" s="16"/>
      <c r="E653" s="10"/>
      <c r="F653" s="4">
        <v>2025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f t="shared" si="145"/>
        <v>0</v>
      </c>
      <c r="W653" s="2"/>
    </row>
    <row r="654" spans="2:23" ht="15.75" customHeight="1" x14ac:dyDescent="0.25">
      <c r="B654" s="10"/>
      <c r="C654" s="15"/>
      <c r="D654" s="16"/>
      <c r="E654" s="10"/>
      <c r="F654" s="10"/>
      <c r="G654" s="20"/>
      <c r="H654" s="20"/>
      <c r="I654" s="20"/>
      <c r="J654" s="20"/>
      <c r="K654" s="15"/>
      <c r="L654" s="1"/>
      <c r="M654" s="21"/>
      <c r="W654" s="2"/>
    </row>
    <row r="655" spans="2:23" ht="15.75" customHeight="1" x14ac:dyDescent="0.25">
      <c r="B655" s="10"/>
      <c r="C655" s="15"/>
      <c r="D655" s="16"/>
      <c r="E655" s="10"/>
      <c r="F655" s="10"/>
      <c r="G655" s="20"/>
      <c r="H655" s="20"/>
      <c r="I655" s="20"/>
      <c r="J655" s="20"/>
      <c r="K655" s="15"/>
      <c r="L655" s="1"/>
      <c r="M655" s="21"/>
      <c r="W655" s="2"/>
    </row>
    <row r="656" spans="2:23" ht="15.75" customHeight="1" x14ac:dyDescent="0.25">
      <c r="B656" s="10"/>
      <c r="C656" s="15"/>
      <c r="D656" s="16"/>
      <c r="E656" s="10"/>
      <c r="F656" s="10"/>
      <c r="G656" s="7">
        <v>46023</v>
      </c>
      <c r="H656" s="7">
        <v>46054</v>
      </c>
      <c r="I656" s="7">
        <v>46082</v>
      </c>
      <c r="J656" s="7">
        <v>46113</v>
      </c>
      <c r="K656" s="7">
        <v>46143</v>
      </c>
      <c r="L656" s="7">
        <v>46174</v>
      </c>
      <c r="M656" s="7">
        <v>46204</v>
      </c>
      <c r="N656" s="7">
        <v>46235</v>
      </c>
      <c r="O656" s="7">
        <v>46266</v>
      </c>
      <c r="P656" s="7">
        <v>46296</v>
      </c>
      <c r="Q656" s="7">
        <v>46327</v>
      </c>
      <c r="R656" s="7">
        <v>46357</v>
      </c>
      <c r="S656" s="7" t="s">
        <v>6</v>
      </c>
      <c r="W656" s="2"/>
    </row>
    <row r="657" spans="2:23" ht="15.75" customHeight="1" x14ac:dyDescent="0.25">
      <c r="B657" s="8">
        <v>7680</v>
      </c>
      <c r="C657" s="4" t="s">
        <v>126</v>
      </c>
      <c r="D657" s="9" t="s">
        <v>8</v>
      </c>
      <c r="E657" s="10">
        <v>800</v>
      </c>
      <c r="F657" s="10"/>
      <c r="G657" s="14">
        <v>75</v>
      </c>
      <c r="H657" s="14">
        <v>0</v>
      </c>
      <c r="I657" s="14">
        <v>0</v>
      </c>
      <c r="J657" s="14">
        <v>0</v>
      </c>
      <c r="K657" s="14">
        <v>75</v>
      </c>
      <c r="L657" s="14">
        <v>0</v>
      </c>
      <c r="M657" s="14">
        <v>0</v>
      </c>
      <c r="N657" s="14">
        <v>0</v>
      </c>
      <c r="O657" s="14">
        <v>75</v>
      </c>
      <c r="P657" s="14">
        <v>0</v>
      </c>
      <c r="Q657" s="14">
        <v>0</v>
      </c>
      <c r="R657" s="14">
        <v>75</v>
      </c>
      <c r="S657" s="13">
        <f t="shared" ref="S657:S667" si="146">SUM(G657:R657)</f>
        <v>300</v>
      </c>
      <c r="W657" s="2"/>
    </row>
    <row r="658" spans="2:23" ht="15.75" customHeight="1" x14ac:dyDescent="0.25">
      <c r="B658" s="8">
        <v>7680</v>
      </c>
      <c r="C658" s="4" t="s">
        <v>126</v>
      </c>
      <c r="D658" s="9" t="s">
        <v>8</v>
      </c>
      <c r="E658" s="10">
        <v>801</v>
      </c>
      <c r="F658" s="10"/>
      <c r="G658" s="23"/>
      <c r="H658" s="23"/>
      <c r="I658" s="23"/>
      <c r="J658" s="24"/>
      <c r="K658" s="25"/>
      <c r="L658" s="26"/>
      <c r="M658" s="27"/>
      <c r="N658" s="27"/>
      <c r="O658" s="27"/>
      <c r="P658" s="27"/>
      <c r="Q658" s="27"/>
      <c r="R658" s="27"/>
      <c r="S658" s="13">
        <f t="shared" si="146"/>
        <v>0</v>
      </c>
      <c r="W658" s="2"/>
    </row>
    <row r="659" spans="2:23" ht="15.75" customHeight="1" x14ac:dyDescent="0.25">
      <c r="B659" s="8">
        <v>7680</v>
      </c>
      <c r="C659" s="4" t="s">
        <v>126</v>
      </c>
      <c r="D659" s="9" t="s">
        <v>8</v>
      </c>
      <c r="E659" s="10">
        <v>802</v>
      </c>
      <c r="F659" s="10"/>
      <c r="G659" s="23"/>
      <c r="H659" s="23"/>
      <c r="I659" s="23"/>
      <c r="J659" s="24"/>
      <c r="K659" s="25"/>
      <c r="L659" s="26"/>
      <c r="M659" s="27"/>
      <c r="N659" s="27"/>
      <c r="O659" s="27"/>
      <c r="P659" s="27"/>
      <c r="Q659" s="27"/>
      <c r="R659" s="27"/>
      <c r="S659" s="13">
        <f t="shared" si="146"/>
        <v>0</v>
      </c>
      <c r="W659" s="2"/>
    </row>
    <row r="660" spans="2:23" ht="15.75" customHeight="1" x14ac:dyDescent="0.25">
      <c r="B660" s="8">
        <v>7680</v>
      </c>
      <c r="C660" s="4" t="s">
        <v>126</v>
      </c>
      <c r="D660" s="9" t="s">
        <v>8</v>
      </c>
      <c r="E660" s="10">
        <v>803</v>
      </c>
      <c r="F660" s="10"/>
      <c r="G660" s="23"/>
      <c r="H660" s="23"/>
      <c r="I660" s="23"/>
      <c r="J660" s="24"/>
      <c r="K660" s="25"/>
      <c r="L660" s="26"/>
      <c r="M660" s="27"/>
      <c r="N660" s="27"/>
      <c r="O660" s="27"/>
      <c r="P660" s="27"/>
      <c r="Q660" s="27"/>
      <c r="R660" s="27"/>
      <c r="S660" s="13">
        <f t="shared" si="146"/>
        <v>0</v>
      </c>
      <c r="W660" s="2"/>
    </row>
    <row r="661" spans="2:23" ht="15.75" customHeight="1" x14ac:dyDescent="0.25">
      <c r="B661" s="8">
        <v>7680</v>
      </c>
      <c r="C661" s="4" t="s">
        <v>126</v>
      </c>
      <c r="D661" s="9" t="s">
        <v>8</v>
      </c>
      <c r="E661" s="10">
        <v>804</v>
      </c>
      <c r="F661" s="10"/>
      <c r="G661" s="23"/>
      <c r="H661" s="23"/>
      <c r="I661" s="23"/>
      <c r="J661" s="24"/>
      <c r="K661" s="25"/>
      <c r="L661" s="26"/>
      <c r="M661" s="27"/>
      <c r="N661" s="27"/>
      <c r="O661" s="27"/>
      <c r="P661" s="27"/>
      <c r="Q661" s="27"/>
      <c r="R661" s="27"/>
      <c r="S661" s="13">
        <f t="shared" si="146"/>
        <v>0</v>
      </c>
      <c r="W661" s="2"/>
    </row>
    <row r="662" spans="2:23" ht="15.75" customHeight="1" x14ac:dyDescent="0.25">
      <c r="B662" s="8">
        <v>7680</v>
      </c>
      <c r="C662" s="4" t="s">
        <v>126</v>
      </c>
      <c r="D662" s="9" t="s">
        <v>8</v>
      </c>
      <c r="E662" s="10">
        <v>805</v>
      </c>
      <c r="F662" s="10"/>
      <c r="G662" s="23"/>
      <c r="H662" s="23"/>
      <c r="I662" s="23"/>
      <c r="J662" s="24"/>
      <c r="K662" s="25"/>
      <c r="L662" s="26"/>
      <c r="M662" s="27"/>
      <c r="N662" s="27"/>
      <c r="O662" s="27"/>
      <c r="P662" s="27"/>
      <c r="Q662" s="27"/>
      <c r="R662" s="27"/>
      <c r="S662" s="13">
        <f t="shared" si="146"/>
        <v>0</v>
      </c>
      <c r="W662" s="2"/>
    </row>
    <row r="663" spans="2:23" ht="15.75" customHeight="1" x14ac:dyDescent="0.25">
      <c r="B663" s="8">
        <v>7680</v>
      </c>
      <c r="C663" s="4" t="s">
        <v>126</v>
      </c>
      <c r="D663" s="9" t="s">
        <v>8</v>
      </c>
      <c r="E663" s="10">
        <v>806</v>
      </c>
      <c r="F663" s="10"/>
      <c r="G663" s="23"/>
      <c r="H663" s="23"/>
      <c r="I663" s="23"/>
      <c r="J663" s="24"/>
      <c r="K663" s="25"/>
      <c r="L663" s="26"/>
      <c r="M663" s="27"/>
      <c r="N663" s="27"/>
      <c r="O663" s="27"/>
      <c r="P663" s="27"/>
      <c r="Q663" s="27"/>
      <c r="R663" s="27"/>
      <c r="S663" s="13">
        <f t="shared" si="146"/>
        <v>0</v>
      </c>
      <c r="W663" s="2"/>
    </row>
    <row r="664" spans="2:23" ht="15.75" customHeight="1" x14ac:dyDescent="0.25">
      <c r="B664" s="8">
        <v>7680</v>
      </c>
      <c r="C664" s="4" t="s">
        <v>126</v>
      </c>
      <c r="D664" s="9" t="s">
        <v>8</v>
      </c>
      <c r="E664" s="10">
        <v>807</v>
      </c>
      <c r="F664" s="10"/>
      <c r="G664" s="23"/>
      <c r="H664" s="23"/>
      <c r="I664" s="23"/>
      <c r="J664" s="24"/>
      <c r="K664" s="25"/>
      <c r="L664" s="26"/>
      <c r="M664" s="27"/>
      <c r="N664" s="27"/>
      <c r="O664" s="27"/>
      <c r="P664" s="27"/>
      <c r="Q664" s="27"/>
      <c r="R664" s="27"/>
      <c r="S664" s="13">
        <f t="shared" si="146"/>
        <v>0</v>
      </c>
      <c r="W664" s="2"/>
    </row>
    <row r="665" spans="2:23" ht="15.75" customHeight="1" x14ac:dyDescent="0.25">
      <c r="B665" s="8">
        <v>7680</v>
      </c>
      <c r="C665" s="4" t="s">
        <v>126</v>
      </c>
      <c r="D665" s="9" t="s">
        <v>8</v>
      </c>
      <c r="E665" s="10">
        <v>808</v>
      </c>
      <c r="F665" s="10"/>
      <c r="G665" s="23"/>
      <c r="H665" s="23"/>
      <c r="I665" s="23"/>
      <c r="J665" s="24"/>
      <c r="K665" s="25"/>
      <c r="L665" s="26"/>
      <c r="M665" s="27"/>
      <c r="N665" s="27"/>
      <c r="O665" s="27"/>
      <c r="P665" s="27"/>
      <c r="Q665" s="27"/>
      <c r="R665" s="27"/>
      <c r="S665" s="13">
        <f t="shared" si="146"/>
        <v>0</v>
      </c>
      <c r="W665" s="2"/>
    </row>
    <row r="666" spans="2:23" ht="15.75" customHeight="1" x14ac:dyDescent="0.25">
      <c r="B666" s="8">
        <v>7680</v>
      </c>
      <c r="C666" s="4" t="s">
        <v>126</v>
      </c>
      <c r="D666" s="9" t="s">
        <v>8</v>
      </c>
      <c r="E666" s="10">
        <v>809</v>
      </c>
      <c r="F666" s="10"/>
      <c r="G666" s="23"/>
      <c r="H666" s="23"/>
      <c r="I666" s="23"/>
      <c r="J666" s="24"/>
      <c r="K666" s="25"/>
      <c r="L666" s="26"/>
      <c r="M666" s="27"/>
      <c r="N666" s="27"/>
      <c r="O666" s="27"/>
      <c r="P666" s="27"/>
      <c r="Q666" s="27"/>
      <c r="R666" s="27"/>
      <c r="S666" s="13">
        <f t="shared" si="146"/>
        <v>0</v>
      </c>
      <c r="W666" s="2"/>
    </row>
    <row r="667" spans="2:23" ht="15.75" customHeight="1" x14ac:dyDescent="0.25">
      <c r="B667" s="8">
        <v>7680</v>
      </c>
      <c r="C667" s="4" t="s">
        <v>126</v>
      </c>
      <c r="D667" s="9" t="s">
        <v>8</v>
      </c>
      <c r="E667" s="10">
        <v>810</v>
      </c>
      <c r="F667" s="10"/>
      <c r="G667" s="28"/>
      <c r="H667" s="28"/>
      <c r="I667" s="28"/>
      <c r="J667" s="29"/>
      <c r="K667" s="30"/>
      <c r="L667" s="31"/>
      <c r="M667" s="32"/>
      <c r="N667" s="32"/>
      <c r="O667" s="32"/>
      <c r="P667" s="32"/>
      <c r="Q667" s="32"/>
      <c r="R667" s="32"/>
      <c r="S667" s="13">
        <f t="shared" si="146"/>
        <v>0</v>
      </c>
      <c r="W667" s="2"/>
    </row>
    <row r="668" spans="2:23" ht="15.75" customHeight="1" x14ac:dyDescent="0.25">
      <c r="B668" s="10"/>
      <c r="C668" s="15"/>
      <c r="D668" s="16"/>
      <c r="E668" s="10"/>
      <c r="F668" s="10"/>
      <c r="G668" s="18">
        <f t="shared" ref="G668:S668" si="147">SUM(G657:G667)</f>
        <v>75</v>
      </c>
      <c r="H668" s="18">
        <f t="shared" si="147"/>
        <v>0</v>
      </c>
      <c r="I668" s="18">
        <f t="shared" si="147"/>
        <v>0</v>
      </c>
      <c r="J668" s="18">
        <f t="shared" si="147"/>
        <v>0</v>
      </c>
      <c r="K668" s="18">
        <f t="shared" si="147"/>
        <v>75</v>
      </c>
      <c r="L668" s="18">
        <f t="shared" si="147"/>
        <v>0</v>
      </c>
      <c r="M668" s="18">
        <f t="shared" si="147"/>
        <v>0</v>
      </c>
      <c r="N668" s="18">
        <f t="shared" si="147"/>
        <v>0</v>
      </c>
      <c r="O668" s="18">
        <f t="shared" si="147"/>
        <v>75</v>
      </c>
      <c r="P668" s="18">
        <f t="shared" si="147"/>
        <v>0</v>
      </c>
      <c r="Q668" s="18">
        <f t="shared" si="147"/>
        <v>0</v>
      </c>
      <c r="R668" s="18">
        <f t="shared" si="147"/>
        <v>75</v>
      </c>
      <c r="S668" s="19">
        <f t="shared" si="147"/>
        <v>300</v>
      </c>
      <c r="W668" s="2"/>
    </row>
    <row r="669" spans="2:23" ht="15.75" customHeight="1" x14ac:dyDescent="0.25">
      <c r="B669" s="10"/>
      <c r="C669" s="15"/>
      <c r="D669" s="16"/>
      <c r="E669" s="10"/>
      <c r="F669" s="10"/>
      <c r="G669" s="20"/>
      <c r="H669" s="20"/>
      <c r="I669" s="20"/>
      <c r="J669" s="20"/>
      <c r="K669" s="15"/>
      <c r="L669" s="1"/>
      <c r="M669" s="21"/>
      <c r="W669" s="2"/>
    </row>
    <row r="670" spans="2:23" ht="15.75" customHeight="1" x14ac:dyDescent="0.25">
      <c r="B670" s="10"/>
      <c r="C670" s="15"/>
      <c r="D670" s="16"/>
      <c r="E670" s="10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W670" s="2"/>
    </row>
    <row r="671" spans="2:23" ht="15.75" customHeight="1" x14ac:dyDescent="0.25">
      <c r="B671" s="10"/>
      <c r="C671" s="15"/>
      <c r="D671" s="16"/>
      <c r="E671" s="10"/>
      <c r="F671" s="4">
        <v>2024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f t="shared" ref="S671:S672" si="148">SUM(G671:R671)</f>
        <v>0</v>
      </c>
      <c r="W671" s="2"/>
    </row>
    <row r="672" spans="2:23" ht="15.75" customHeight="1" x14ac:dyDescent="0.25">
      <c r="B672" s="10"/>
      <c r="C672" s="15"/>
      <c r="D672" s="16"/>
      <c r="E672" s="10"/>
      <c r="F672" s="4">
        <v>2025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6.3925762471846275</v>
      </c>
      <c r="P672" s="3">
        <v>6.5491827418017312</v>
      </c>
      <c r="Q672" s="3">
        <v>6.1336325733653325</v>
      </c>
      <c r="R672" s="3">
        <v>6.2688780261883714</v>
      </c>
      <c r="S672" s="3">
        <f t="shared" si="148"/>
        <v>25.344269588540062</v>
      </c>
      <c r="W672" s="2"/>
    </row>
    <row r="673" spans="2:23" ht="15.75" customHeight="1" x14ac:dyDescent="0.25">
      <c r="B673" s="10"/>
      <c r="C673" s="15"/>
      <c r="D673" s="16"/>
      <c r="E673" s="10"/>
      <c r="F673" s="10"/>
      <c r="G673" s="20"/>
      <c r="H673" s="20"/>
      <c r="I673" s="20"/>
      <c r="J673" s="20"/>
      <c r="K673" s="15"/>
      <c r="L673" s="1"/>
      <c r="M673" s="21"/>
      <c r="W673" s="2"/>
    </row>
    <row r="674" spans="2:23" ht="15.75" customHeight="1" x14ac:dyDescent="0.25">
      <c r="B674" s="10"/>
      <c r="C674" s="15"/>
      <c r="D674" s="16"/>
      <c r="E674" s="10"/>
      <c r="F674" s="10"/>
      <c r="G674" s="7">
        <v>46023</v>
      </c>
      <c r="H674" s="7">
        <v>46054</v>
      </c>
      <c r="I674" s="7">
        <v>46082</v>
      </c>
      <c r="J674" s="7">
        <v>46113</v>
      </c>
      <c r="K674" s="7">
        <v>46143</v>
      </c>
      <c r="L674" s="7">
        <v>46174</v>
      </c>
      <c r="M674" s="7">
        <v>46204</v>
      </c>
      <c r="N674" s="7">
        <v>46235</v>
      </c>
      <c r="O674" s="7">
        <v>46266</v>
      </c>
      <c r="P674" s="7">
        <v>46296</v>
      </c>
      <c r="Q674" s="7">
        <v>46327</v>
      </c>
      <c r="R674" s="7">
        <v>46357</v>
      </c>
      <c r="S674" s="7" t="s">
        <v>6</v>
      </c>
      <c r="W674" s="2"/>
    </row>
    <row r="675" spans="2:23" ht="15.75" customHeight="1" x14ac:dyDescent="0.25">
      <c r="B675" s="8">
        <v>7685</v>
      </c>
      <c r="C675" s="4" t="s">
        <v>127</v>
      </c>
      <c r="D675" s="9" t="s">
        <v>8</v>
      </c>
      <c r="E675" s="10">
        <v>800</v>
      </c>
      <c r="F675" s="10"/>
      <c r="G675" s="14">
        <v>0</v>
      </c>
      <c r="H675" s="14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3">
        <f t="shared" ref="S675:S685" si="149">SUM(G675:R675)</f>
        <v>0</v>
      </c>
      <c r="W675" s="2"/>
    </row>
    <row r="676" spans="2:23" ht="15.75" customHeight="1" x14ac:dyDescent="0.25">
      <c r="B676" s="8">
        <v>7685</v>
      </c>
      <c r="C676" s="4" t="s">
        <v>127</v>
      </c>
      <c r="D676" s="9" t="s">
        <v>8</v>
      </c>
      <c r="E676" s="10">
        <v>801</v>
      </c>
      <c r="F676" s="10"/>
      <c r="G676" s="23"/>
      <c r="H676" s="23"/>
      <c r="I676" s="23"/>
      <c r="J676" s="24"/>
      <c r="K676" s="25"/>
      <c r="L676" s="26"/>
      <c r="M676" s="27"/>
      <c r="N676" s="27"/>
      <c r="O676" s="27"/>
      <c r="P676" s="27"/>
      <c r="Q676" s="27"/>
      <c r="R676" s="27"/>
      <c r="S676" s="13">
        <f t="shared" si="149"/>
        <v>0</v>
      </c>
      <c r="W676" s="2"/>
    </row>
    <row r="677" spans="2:23" ht="15.75" customHeight="1" x14ac:dyDescent="0.25">
      <c r="B677" s="8">
        <v>7685</v>
      </c>
      <c r="C677" s="4" t="s">
        <v>127</v>
      </c>
      <c r="D677" s="9" t="s">
        <v>8</v>
      </c>
      <c r="E677" s="10">
        <v>802</v>
      </c>
      <c r="F677" s="10"/>
      <c r="G677" s="23"/>
      <c r="H677" s="23"/>
      <c r="I677" s="23"/>
      <c r="J677" s="24"/>
      <c r="K677" s="25"/>
      <c r="L677" s="26"/>
      <c r="M677" s="27"/>
      <c r="N677" s="27"/>
      <c r="O677" s="27"/>
      <c r="P677" s="27"/>
      <c r="Q677" s="27"/>
      <c r="R677" s="27"/>
      <c r="S677" s="13">
        <f t="shared" si="149"/>
        <v>0</v>
      </c>
      <c r="W677" s="2"/>
    </row>
    <row r="678" spans="2:23" ht="15.75" customHeight="1" x14ac:dyDescent="0.25">
      <c r="B678" s="8">
        <v>7685</v>
      </c>
      <c r="C678" s="4" t="s">
        <v>127</v>
      </c>
      <c r="D678" s="9" t="s">
        <v>8</v>
      </c>
      <c r="E678" s="10">
        <v>803</v>
      </c>
      <c r="F678" s="10"/>
      <c r="G678" s="23"/>
      <c r="H678" s="23"/>
      <c r="I678" s="23"/>
      <c r="J678" s="24"/>
      <c r="K678" s="25"/>
      <c r="L678" s="26"/>
      <c r="M678" s="27"/>
      <c r="N678" s="27"/>
      <c r="O678" s="27"/>
      <c r="P678" s="27"/>
      <c r="Q678" s="27"/>
      <c r="R678" s="27"/>
      <c r="S678" s="13">
        <f t="shared" si="149"/>
        <v>0</v>
      </c>
      <c r="W678" s="2"/>
    </row>
    <row r="679" spans="2:23" ht="15.75" customHeight="1" x14ac:dyDescent="0.25">
      <c r="B679" s="8">
        <v>7685</v>
      </c>
      <c r="C679" s="4" t="s">
        <v>127</v>
      </c>
      <c r="D679" s="9" t="s">
        <v>8</v>
      </c>
      <c r="E679" s="10">
        <v>804</v>
      </c>
      <c r="F679" s="10"/>
      <c r="G679" s="23"/>
      <c r="H679" s="23"/>
      <c r="I679" s="23"/>
      <c r="J679" s="24"/>
      <c r="K679" s="25"/>
      <c r="L679" s="26"/>
      <c r="M679" s="27"/>
      <c r="N679" s="27"/>
      <c r="O679" s="27"/>
      <c r="P679" s="27"/>
      <c r="Q679" s="27"/>
      <c r="R679" s="27"/>
      <c r="S679" s="13">
        <f t="shared" si="149"/>
        <v>0</v>
      </c>
      <c r="W679" s="2"/>
    </row>
    <row r="680" spans="2:23" ht="15.75" customHeight="1" x14ac:dyDescent="0.25">
      <c r="B680" s="8">
        <v>7685</v>
      </c>
      <c r="C680" s="4" t="s">
        <v>127</v>
      </c>
      <c r="D680" s="9" t="s">
        <v>8</v>
      </c>
      <c r="E680" s="10">
        <v>805</v>
      </c>
      <c r="F680" s="10"/>
      <c r="G680" s="23"/>
      <c r="H680" s="23"/>
      <c r="I680" s="23"/>
      <c r="J680" s="24"/>
      <c r="K680" s="25"/>
      <c r="L680" s="26"/>
      <c r="M680" s="27"/>
      <c r="N680" s="27"/>
      <c r="O680" s="27"/>
      <c r="P680" s="27"/>
      <c r="Q680" s="27"/>
      <c r="R680" s="27"/>
      <c r="S680" s="13">
        <f t="shared" si="149"/>
        <v>0</v>
      </c>
      <c r="W680" s="2"/>
    </row>
    <row r="681" spans="2:23" ht="15.75" customHeight="1" x14ac:dyDescent="0.25">
      <c r="B681" s="8">
        <v>7685</v>
      </c>
      <c r="C681" s="4" t="s">
        <v>127</v>
      </c>
      <c r="D681" s="9" t="s">
        <v>8</v>
      </c>
      <c r="E681" s="10">
        <v>806</v>
      </c>
      <c r="F681" s="10"/>
      <c r="G681" s="23"/>
      <c r="H681" s="23"/>
      <c r="I681" s="23"/>
      <c r="J681" s="24"/>
      <c r="K681" s="25"/>
      <c r="L681" s="26"/>
      <c r="M681" s="27"/>
      <c r="N681" s="27"/>
      <c r="O681" s="27"/>
      <c r="P681" s="27"/>
      <c r="Q681" s="27"/>
      <c r="R681" s="27"/>
      <c r="S681" s="13">
        <f t="shared" si="149"/>
        <v>0</v>
      </c>
      <c r="W681" s="2"/>
    </row>
    <row r="682" spans="2:23" ht="15.75" customHeight="1" x14ac:dyDescent="0.25">
      <c r="B682" s="8">
        <v>7685</v>
      </c>
      <c r="C682" s="4" t="s">
        <v>127</v>
      </c>
      <c r="D682" s="9" t="s">
        <v>8</v>
      </c>
      <c r="E682" s="10">
        <v>807</v>
      </c>
      <c r="F682" s="10"/>
      <c r="G682" s="23"/>
      <c r="H682" s="23"/>
      <c r="I682" s="23"/>
      <c r="J682" s="24"/>
      <c r="K682" s="25"/>
      <c r="L682" s="26"/>
      <c r="M682" s="27"/>
      <c r="N682" s="27"/>
      <c r="O682" s="27"/>
      <c r="P682" s="27"/>
      <c r="Q682" s="27"/>
      <c r="R682" s="27"/>
      <c r="S682" s="13">
        <f t="shared" si="149"/>
        <v>0</v>
      </c>
      <c r="W682" s="2"/>
    </row>
    <row r="683" spans="2:23" ht="15.75" customHeight="1" x14ac:dyDescent="0.25">
      <c r="B683" s="8">
        <v>7685</v>
      </c>
      <c r="C683" s="4" t="s">
        <v>127</v>
      </c>
      <c r="D683" s="9" t="s">
        <v>8</v>
      </c>
      <c r="E683" s="10">
        <v>808</v>
      </c>
      <c r="F683" s="10"/>
      <c r="G683" s="23"/>
      <c r="H683" s="23"/>
      <c r="I683" s="23"/>
      <c r="J683" s="24"/>
      <c r="K683" s="25"/>
      <c r="L683" s="26"/>
      <c r="M683" s="27"/>
      <c r="N683" s="27"/>
      <c r="O683" s="27"/>
      <c r="P683" s="27"/>
      <c r="Q683" s="27"/>
      <c r="R683" s="27"/>
      <c r="S683" s="13">
        <f t="shared" si="149"/>
        <v>0</v>
      </c>
      <c r="W683" s="2"/>
    </row>
    <row r="684" spans="2:23" ht="15.75" customHeight="1" x14ac:dyDescent="0.25">
      <c r="B684" s="8">
        <v>7685</v>
      </c>
      <c r="C684" s="4" t="s">
        <v>127</v>
      </c>
      <c r="D684" s="9" t="s">
        <v>8</v>
      </c>
      <c r="E684" s="10">
        <v>809</v>
      </c>
      <c r="F684" s="10"/>
      <c r="G684" s="23"/>
      <c r="H684" s="23"/>
      <c r="I684" s="23"/>
      <c r="J684" s="24"/>
      <c r="K684" s="25"/>
      <c r="L684" s="26"/>
      <c r="M684" s="27"/>
      <c r="N684" s="27"/>
      <c r="O684" s="27"/>
      <c r="P684" s="27"/>
      <c r="Q684" s="27"/>
      <c r="R684" s="27"/>
      <c r="S684" s="13">
        <f t="shared" si="149"/>
        <v>0</v>
      </c>
      <c r="W684" s="2"/>
    </row>
    <row r="685" spans="2:23" ht="15.75" customHeight="1" x14ac:dyDescent="0.25">
      <c r="B685" s="8">
        <v>7685</v>
      </c>
      <c r="C685" s="4" t="s">
        <v>127</v>
      </c>
      <c r="D685" s="9" t="s">
        <v>8</v>
      </c>
      <c r="E685" s="10">
        <v>810</v>
      </c>
      <c r="F685" s="10"/>
      <c r="G685" s="28"/>
      <c r="H685" s="28"/>
      <c r="I685" s="28"/>
      <c r="J685" s="29"/>
      <c r="K685" s="30"/>
      <c r="L685" s="31"/>
      <c r="M685" s="32"/>
      <c r="N685" s="32"/>
      <c r="O685" s="32"/>
      <c r="P685" s="32"/>
      <c r="Q685" s="32"/>
      <c r="R685" s="32"/>
      <c r="S685" s="13">
        <f t="shared" si="149"/>
        <v>0</v>
      </c>
      <c r="W685" s="2"/>
    </row>
    <row r="686" spans="2:23" ht="15.75" customHeight="1" x14ac:dyDescent="0.25">
      <c r="B686" s="10"/>
      <c r="C686" s="15"/>
      <c r="D686" s="16"/>
      <c r="E686" s="10"/>
      <c r="F686" s="10"/>
      <c r="G686" s="18">
        <f t="shared" ref="G686:S686" si="150">SUM(G675:G685)</f>
        <v>0</v>
      </c>
      <c r="H686" s="18">
        <f t="shared" si="150"/>
        <v>0</v>
      </c>
      <c r="I686" s="18">
        <f t="shared" si="150"/>
        <v>0</v>
      </c>
      <c r="J686" s="18">
        <f t="shared" si="150"/>
        <v>0</v>
      </c>
      <c r="K686" s="18">
        <f t="shared" si="150"/>
        <v>0</v>
      </c>
      <c r="L686" s="18">
        <f t="shared" si="150"/>
        <v>0</v>
      </c>
      <c r="M686" s="18">
        <f t="shared" si="150"/>
        <v>0</v>
      </c>
      <c r="N686" s="18">
        <f t="shared" si="150"/>
        <v>0</v>
      </c>
      <c r="O686" s="18">
        <f t="shared" si="150"/>
        <v>0</v>
      </c>
      <c r="P686" s="18">
        <f t="shared" si="150"/>
        <v>0</v>
      </c>
      <c r="Q686" s="18">
        <f t="shared" si="150"/>
        <v>0</v>
      </c>
      <c r="R686" s="18">
        <f t="shared" si="150"/>
        <v>0</v>
      </c>
      <c r="S686" s="19">
        <f t="shared" si="150"/>
        <v>0</v>
      </c>
      <c r="W686" s="2"/>
    </row>
    <row r="687" spans="2:23" ht="15.75" customHeight="1" x14ac:dyDescent="0.25">
      <c r="B687" s="10"/>
      <c r="C687" s="15"/>
      <c r="D687" s="16"/>
      <c r="E687" s="10"/>
      <c r="F687" s="10"/>
      <c r="G687" s="20"/>
      <c r="H687" s="20"/>
      <c r="I687" s="20"/>
      <c r="J687" s="20"/>
      <c r="K687" s="15"/>
      <c r="L687" s="1"/>
      <c r="M687" s="21"/>
      <c r="W687" s="2"/>
    </row>
    <row r="688" spans="2:23" ht="15.75" customHeight="1" x14ac:dyDescent="0.25">
      <c r="B688" s="10"/>
      <c r="C688" s="15"/>
      <c r="D688" s="49"/>
      <c r="E688" s="10"/>
      <c r="F688" s="10"/>
      <c r="G688" s="20"/>
      <c r="H688" s="20"/>
      <c r="I688" s="20"/>
      <c r="J688" s="20"/>
      <c r="K688" s="15"/>
      <c r="L688" s="1"/>
      <c r="M688" s="21"/>
      <c r="W688" s="2"/>
    </row>
    <row r="689" spans="2:23" ht="15.75" customHeight="1" x14ac:dyDescent="0.25">
      <c r="B689" s="10"/>
      <c r="C689" s="15"/>
      <c r="D689" s="49"/>
      <c r="E689" s="10"/>
      <c r="F689" s="10"/>
      <c r="G689" s="20"/>
      <c r="H689" s="20"/>
      <c r="I689" s="20"/>
      <c r="J689" s="20"/>
      <c r="K689" s="15"/>
      <c r="L689" s="1"/>
      <c r="M689" s="21"/>
      <c r="W689" s="2"/>
    </row>
    <row r="690" spans="2:23" ht="15.75" customHeight="1" x14ac:dyDescent="0.25">
      <c r="B690" s="10"/>
      <c r="C690" s="15"/>
      <c r="D690" s="49"/>
      <c r="E690" s="10"/>
      <c r="F690" s="10"/>
      <c r="G690" s="20"/>
      <c r="H690" s="20"/>
      <c r="I690" s="20"/>
      <c r="J690" s="20"/>
      <c r="K690" s="15"/>
      <c r="L690" s="1"/>
      <c r="M690" s="21"/>
      <c r="W690" s="2"/>
    </row>
    <row r="691" spans="2:23" ht="15.75" customHeight="1" x14ac:dyDescent="0.25">
      <c r="B691" s="10"/>
      <c r="C691" s="15"/>
      <c r="D691" s="49"/>
      <c r="E691" s="10"/>
      <c r="F691" s="10"/>
      <c r="G691" s="20"/>
      <c r="H691" s="20"/>
      <c r="I691" s="20"/>
      <c r="J691" s="20"/>
      <c r="K691" s="15"/>
      <c r="L691" s="1"/>
      <c r="M691" s="21"/>
      <c r="W691" s="2"/>
    </row>
    <row r="692" spans="2:23" ht="15.75" customHeight="1" x14ac:dyDescent="0.25">
      <c r="B692" s="10"/>
      <c r="C692" s="15"/>
      <c r="D692" s="49"/>
      <c r="E692" s="10"/>
      <c r="F692" s="10"/>
      <c r="G692" s="20"/>
      <c r="H692" s="20"/>
      <c r="I692" s="20"/>
      <c r="J692" s="20"/>
      <c r="K692" s="15"/>
      <c r="L692" s="1"/>
      <c r="M692" s="21"/>
      <c r="W692" s="2"/>
    </row>
    <row r="693" spans="2:23" ht="15.75" customHeight="1" x14ac:dyDescent="0.25">
      <c r="B693" s="10"/>
      <c r="C693" s="15"/>
      <c r="D693" s="49"/>
      <c r="E693" s="10"/>
      <c r="F693" s="10"/>
      <c r="G693" s="20"/>
      <c r="H693" s="20"/>
      <c r="I693" s="20"/>
      <c r="J693" s="20"/>
      <c r="K693" s="15"/>
      <c r="L693" s="1"/>
      <c r="M693" s="21"/>
      <c r="W693" s="2"/>
    </row>
    <row r="694" spans="2:23" ht="15.75" customHeight="1" x14ac:dyDescent="0.25">
      <c r="B694" s="10"/>
      <c r="C694" s="15"/>
      <c r="D694" s="49"/>
      <c r="E694" s="10"/>
      <c r="F694" s="10"/>
      <c r="G694" s="20"/>
      <c r="H694" s="20"/>
      <c r="I694" s="20"/>
      <c r="J694" s="20"/>
      <c r="K694" s="15"/>
      <c r="L694" s="1"/>
      <c r="M694" s="21"/>
      <c r="W694" s="2"/>
    </row>
    <row r="695" spans="2:23" ht="15.75" customHeight="1" x14ac:dyDescent="0.25">
      <c r="B695" s="10"/>
      <c r="C695" s="15"/>
      <c r="D695" s="49"/>
      <c r="E695" s="10"/>
      <c r="F695" s="10"/>
      <c r="G695" s="20"/>
      <c r="H695" s="20"/>
      <c r="I695" s="20"/>
      <c r="J695" s="20"/>
      <c r="K695" s="15"/>
      <c r="L695" s="1"/>
      <c r="M695" s="21"/>
      <c r="W695" s="2"/>
    </row>
    <row r="696" spans="2:23" ht="15.75" customHeight="1" x14ac:dyDescent="0.25">
      <c r="B696" s="10"/>
      <c r="C696" s="15"/>
      <c r="D696" s="49"/>
      <c r="E696" s="10"/>
      <c r="F696" s="10"/>
      <c r="G696" s="20"/>
      <c r="H696" s="20"/>
      <c r="I696" s="20"/>
      <c r="J696" s="20"/>
      <c r="K696" s="15"/>
      <c r="L696" s="1"/>
      <c r="M696" s="21"/>
      <c r="W696" s="2"/>
    </row>
    <row r="697" spans="2:23" ht="15.75" customHeight="1" x14ac:dyDescent="0.25">
      <c r="B697" s="10"/>
      <c r="C697" s="15"/>
      <c r="D697" s="49"/>
      <c r="E697" s="10"/>
      <c r="F697" s="10"/>
      <c r="G697" s="20"/>
      <c r="H697" s="20"/>
      <c r="I697" s="20"/>
      <c r="J697" s="20"/>
      <c r="K697" s="15"/>
      <c r="L697" s="1"/>
      <c r="M697" s="21"/>
      <c r="W697" s="2"/>
    </row>
    <row r="698" spans="2:23" ht="15.75" customHeight="1" x14ac:dyDescent="0.25">
      <c r="B698" s="10"/>
      <c r="C698" s="15"/>
      <c r="D698" s="49"/>
      <c r="E698" s="10"/>
      <c r="F698" s="10"/>
      <c r="G698" s="20"/>
      <c r="H698" s="20"/>
      <c r="I698" s="20"/>
      <c r="J698" s="20"/>
      <c r="K698" s="15"/>
      <c r="L698" s="1"/>
      <c r="M698" s="21"/>
      <c r="W698" s="2"/>
    </row>
    <row r="699" spans="2:23" ht="15.75" customHeight="1" x14ac:dyDescent="0.25">
      <c r="B699" s="10"/>
      <c r="C699" s="15"/>
      <c r="D699" s="49"/>
      <c r="E699" s="10"/>
      <c r="F699" s="10"/>
      <c r="G699" s="20"/>
      <c r="H699" s="20"/>
      <c r="I699" s="20"/>
      <c r="J699" s="20"/>
      <c r="K699" s="15"/>
      <c r="L699" s="1"/>
      <c r="M699" s="21"/>
      <c r="W699" s="2"/>
    </row>
    <row r="700" spans="2:23" ht="15.75" customHeight="1" x14ac:dyDescent="0.25">
      <c r="B700" s="10"/>
      <c r="C700" s="15"/>
      <c r="D700" s="49"/>
      <c r="E700" s="10"/>
      <c r="F700" s="10"/>
      <c r="G700" s="20"/>
      <c r="H700" s="20"/>
      <c r="I700" s="20"/>
      <c r="J700" s="20"/>
      <c r="K700" s="15"/>
      <c r="L700" s="1"/>
      <c r="M700" s="21"/>
      <c r="W700" s="2"/>
    </row>
    <row r="701" spans="2:23" ht="15.75" customHeight="1" x14ac:dyDescent="0.25">
      <c r="B701" s="10"/>
      <c r="C701" s="15"/>
      <c r="D701" s="49"/>
      <c r="E701" s="10"/>
      <c r="F701" s="10"/>
      <c r="G701" s="20"/>
      <c r="H701" s="20"/>
      <c r="I701" s="20"/>
      <c r="J701" s="20"/>
      <c r="K701" s="15"/>
      <c r="L701" s="1"/>
      <c r="M701" s="21"/>
      <c r="W701" s="2"/>
    </row>
    <row r="702" spans="2:23" ht="15.75" customHeight="1" x14ac:dyDescent="0.25">
      <c r="B702" s="10"/>
      <c r="C702" s="15"/>
      <c r="D702" s="49"/>
      <c r="E702" s="10"/>
      <c r="F702" s="10"/>
      <c r="G702" s="20"/>
      <c r="H702" s="20"/>
      <c r="I702" s="20"/>
      <c r="J702" s="20"/>
      <c r="K702" s="15"/>
      <c r="L702" s="1"/>
      <c r="M702" s="21"/>
      <c r="W702" s="2"/>
    </row>
    <row r="703" spans="2:23" ht="15.75" customHeight="1" x14ac:dyDescent="0.25">
      <c r="B703" s="10"/>
      <c r="C703" s="15"/>
      <c r="D703" s="49"/>
      <c r="E703" s="10"/>
      <c r="F703" s="10"/>
      <c r="G703" s="20"/>
      <c r="H703" s="20"/>
      <c r="I703" s="20"/>
      <c r="J703" s="20"/>
      <c r="K703" s="15"/>
      <c r="L703" s="1"/>
      <c r="M703" s="21"/>
      <c r="W703" s="2"/>
    </row>
    <row r="704" spans="2:23" ht="15.75" customHeight="1" x14ac:dyDescent="0.25">
      <c r="B704" s="10"/>
      <c r="C704" s="15"/>
      <c r="D704" s="49"/>
      <c r="E704" s="10"/>
      <c r="F704" s="10"/>
      <c r="G704" s="20"/>
      <c r="H704" s="20"/>
      <c r="I704" s="20"/>
      <c r="J704" s="20"/>
      <c r="K704" s="15"/>
      <c r="L704" s="1"/>
      <c r="M704" s="21"/>
      <c r="W704" s="2"/>
    </row>
    <row r="705" spans="2:23" ht="15.75" customHeight="1" x14ac:dyDescent="0.25">
      <c r="B705" s="10"/>
      <c r="C705" s="15"/>
      <c r="D705" s="49"/>
      <c r="E705" s="10"/>
      <c r="F705" s="10"/>
      <c r="G705" s="20"/>
      <c r="H705" s="20"/>
      <c r="I705" s="20"/>
      <c r="J705" s="20"/>
      <c r="K705" s="15"/>
      <c r="L705" s="1"/>
      <c r="M705" s="21"/>
      <c r="W705" s="2"/>
    </row>
    <row r="706" spans="2:23" ht="15.75" customHeight="1" x14ac:dyDescent="0.25">
      <c r="B706" s="10"/>
      <c r="C706" s="15"/>
      <c r="D706" s="49"/>
      <c r="E706" s="10"/>
      <c r="F706" s="10"/>
      <c r="G706" s="20"/>
      <c r="H706" s="20"/>
      <c r="I706" s="20"/>
      <c r="J706" s="20"/>
      <c r="K706" s="15"/>
      <c r="L706" s="1"/>
      <c r="M706" s="21"/>
      <c r="W706" s="2"/>
    </row>
    <row r="707" spans="2:23" ht="15.75" customHeight="1" x14ac:dyDescent="0.25">
      <c r="B707" s="10"/>
      <c r="C707" s="15"/>
      <c r="D707" s="49"/>
      <c r="E707" s="10"/>
      <c r="F707" s="10"/>
      <c r="G707" s="20"/>
      <c r="H707" s="20"/>
      <c r="I707" s="20"/>
      <c r="J707" s="20"/>
      <c r="K707" s="15"/>
      <c r="L707" s="1"/>
      <c r="M707" s="21"/>
      <c r="W707" s="2"/>
    </row>
    <row r="708" spans="2:23" ht="15.75" customHeight="1" x14ac:dyDescent="0.25">
      <c r="B708" s="10"/>
      <c r="C708" s="15"/>
      <c r="D708" s="49"/>
      <c r="E708" s="10"/>
      <c r="F708" s="10"/>
      <c r="G708" s="20"/>
      <c r="H708" s="20"/>
      <c r="I708" s="20"/>
      <c r="J708" s="20"/>
      <c r="K708" s="15"/>
      <c r="L708" s="1"/>
      <c r="M708" s="21"/>
      <c r="W708" s="2"/>
    </row>
    <row r="709" spans="2:23" ht="15.75" customHeight="1" x14ac:dyDescent="0.25">
      <c r="B709" s="10"/>
      <c r="C709" s="15"/>
      <c r="D709" s="49"/>
      <c r="E709" s="10"/>
      <c r="F709" s="10"/>
      <c r="G709" s="20"/>
      <c r="H709" s="20"/>
      <c r="I709" s="20"/>
      <c r="J709" s="20"/>
      <c r="K709" s="15"/>
      <c r="L709" s="1"/>
      <c r="M709" s="21"/>
      <c r="W709" s="2"/>
    </row>
    <row r="710" spans="2:23" ht="15.75" customHeight="1" x14ac:dyDescent="0.25">
      <c r="B710" s="10"/>
      <c r="C710" s="15"/>
      <c r="D710" s="49"/>
      <c r="E710" s="10"/>
      <c r="F710" s="10"/>
      <c r="G710" s="20"/>
      <c r="H710" s="20"/>
      <c r="I710" s="20"/>
      <c r="J710" s="20"/>
      <c r="K710" s="15"/>
      <c r="L710" s="1"/>
      <c r="M710" s="21"/>
      <c r="W710" s="2"/>
    </row>
    <row r="711" spans="2:23" ht="15.75" customHeight="1" x14ac:dyDescent="0.25">
      <c r="B711" s="10"/>
      <c r="C711" s="15"/>
      <c r="D711" s="49"/>
      <c r="E711" s="10"/>
      <c r="F711" s="10"/>
      <c r="G711" s="20"/>
      <c r="H711" s="20"/>
      <c r="I711" s="20"/>
      <c r="J711" s="20"/>
      <c r="K711" s="15"/>
      <c r="L711" s="1"/>
      <c r="M711" s="21"/>
      <c r="W711" s="2"/>
    </row>
    <row r="712" spans="2:23" ht="15.75" customHeight="1" x14ac:dyDescent="0.25">
      <c r="B712" s="10"/>
      <c r="C712" s="15"/>
      <c r="D712" s="49"/>
      <c r="E712" s="10"/>
      <c r="F712" s="10"/>
      <c r="G712" s="20"/>
      <c r="H712" s="20"/>
      <c r="I712" s="20"/>
      <c r="J712" s="20"/>
      <c r="K712" s="15"/>
      <c r="L712" s="1"/>
      <c r="M712" s="21"/>
      <c r="W712" s="2"/>
    </row>
    <row r="713" spans="2:23" ht="15.75" customHeight="1" x14ac:dyDescent="0.25">
      <c r="B713" s="10"/>
      <c r="C713" s="15"/>
      <c r="D713" s="49"/>
      <c r="E713" s="10"/>
      <c r="F713" s="10"/>
      <c r="G713" s="20"/>
      <c r="H713" s="20"/>
      <c r="I713" s="20"/>
      <c r="J713" s="20"/>
      <c r="K713" s="15"/>
      <c r="L713" s="1"/>
      <c r="M713" s="21"/>
      <c r="W713" s="2"/>
    </row>
    <row r="714" spans="2:23" ht="15.75" customHeight="1" x14ac:dyDescent="0.25">
      <c r="B714" s="10"/>
      <c r="C714" s="15"/>
      <c r="D714" s="49"/>
      <c r="E714" s="10"/>
      <c r="F714" s="10"/>
      <c r="G714" s="20"/>
      <c r="H714" s="20"/>
      <c r="I714" s="20"/>
      <c r="J714" s="20"/>
      <c r="K714" s="15"/>
      <c r="L714" s="1"/>
      <c r="M714" s="21"/>
      <c r="W714" s="2"/>
    </row>
    <row r="715" spans="2:23" ht="15.75" customHeight="1" x14ac:dyDescent="0.25">
      <c r="B715" s="10"/>
      <c r="C715" s="15"/>
      <c r="D715" s="49"/>
      <c r="E715" s="10"/>
      <c r="F715" s="10"/>
      <c r="G715" s="20"/>
      <c r="H715" s="20"/>
      <c r="I715" s="20"/>
      <c r="J715" s="20"/>
      <c r="K715" s="15"/>
      <c r="L715" s="1"/>
      <c r="M715" s="21"/>
      <c r="W715" s="2"/>
    </row>
    <row r="716" spans="2:23" ht="15.75" customHeight="1" x14ac:dyDescent="0.25">
      <c r="B716" s="10"/>
      <c r="C716" s="15"/>
      <c r="D716" s="49"/>
      <c r="E716" s="10"/>
      <c r="F716" s="10"/>
      <c r="G716" s="20"/>
      <c r="H716" s="20"/>
      <c r="I716" s="20"/>
      <c r="J716" s="20"/>
      <c r="K716" s="15"/>
      <c r="L716" s="1"/>
      <c r="M716" s="21"/>
      <c r="W716" s="2"/>
    </row>
    <row r="717" spans="2:23" ht="15.75" customHeight="1" x14ac:dyDescent="0.25">
      <c r="B717" s="10"/>
      <c r="C717" s="15"/>
      <c r="D717" s="49"/>
      <c r="E717" s="10"/>
      <c r="F717" s="10"/>
      <c r="G717" s="20"/>
      <c r="H717" s="20"/>
      <c r="I717" s="20"/>
      <c r="J717" s="20"/>
      <c r="K717" s="15"/>
      <c r="L717" s="1"/>
      <c r="M717" s="21"/>
      <c r="W717" s="2"/>
    </row>
    <row r="718" spans="2:23" ht="15.75" customHeight="1" x14ac:dyDescent="0.25">
      <c r="B718" s="10"/>
      <c r="C718" s="15"/>
      <c r="D718" s="49"/>
      <c r="E718" s="10"/>
      <c r="F718" s="10"/>
      <c r="G718" s="20"/>
      <c r="H718" s="20"/>
      <c r="I718" s="20"/>
      <c r="J718" s="20"/>
      <c r="K718" s="15"/>
      <c r="L718" s="1"/>
      <c r="M718" s="21"/>
      <c r="W718" s="2"/>
    </row>
    <row r="719" spans="2:23" ht="15.75" customHeight="1" x14ac:dyDescent="0.25">
      <c r="B719" s="10"/>
      <c r="C719" s="15"/>
      <c r="D719" s="49"/>
      <c r="E719" s="10"/>
      <c r="F719" s="10"/>
      <c r="G719" s="20"/>
      <c r="H719" s="20"/>
      <c r="I719" s="20"/>
      <c r="J719" s="20"/>
      <c r="K719" s="15"/>
      <c r="L719" s="1"/>
      <c r="M719" s="21"/>
      <c r="W719" s="2"/>
    </row>
    <row r="720" spans="2:23" ht="15.75" customHeight="1" x14ac:dyDescent="0.25">
      <c r="B720" s="10"/>
      <c r="C720" s="15"/>
      <c r="D720" s="49"/>
      <c r="E720" s="10"/>
      <c r="F720" s="10"/>
      <c r="G720" s="20"/>
      <c r="H720" s="20"/>
      <c r="I720" s="20"/>
      <c r="J720" s="20"/>
      <c r="K720" s="15"/>
      <c r="L720" s="1"/>
      <c r="M720" s="21"/>
      <c r="W720" s="2"/>
    </row>
    <row r="721" spans="2:23" ht="15.75" customHeight="1" x14ac:dyDescent="0.25">
      <c r="B721" s="10"/>
      <c r="C721" s="15"/>
      <c r="D721" s="49"/>
      <c r="E721" s="10"/>
      <c r="F721" s="10"/>
      <c r="G721" s="20"/>
      <c r="H721" s="20"/>
      <c r="I721" s="20"/>
      <c r="J721" s="20"/>
      <c r="K721" s="15"/>
      <c r="L721" s="1"/>
      <c r="M721" s="21"/>
      <c r="W721" s="2"/>
    </row>
    <row r="722" spans="2:23" ht="15.75" customHeight="1" x14ac:dyDescent="0.25">
      <c r="B722" s="10"/>
      <c r="C722" s="15"/>
      <c r="D722" s="49"/>
      <c r="E722" s="10"/>
      <c r="F722" s="10"/>
      <c r="G722" s="20"/>
      <c r="H722" s="20"/>
      <c r="I722" s="20"/>
      <c r="J722" s="20"/>
      <c r="K722" s="15"/>
      <c r="L722" s="1"/>
      <c r="M722" s="21"/>
      <c r="W722" s="2"/>
    </row>
    <row r="723" spans="2:23" ht="15.75" customHeight="1" x14ac:dyDescent="0.25">
      <c r="B723" s="10"/>
      <c r="C723" s="15"/>
      <c r="D723" s="49"/>
      <c r="E723" s="10"/>
      <c r="F723" s="10"/>
      <c r="G723" s="20"/>
      <c r="H723" s="20"/>
      <c r="I723" s="20"/>
      <c r="J723" s="20"/>
      <c r="K723" s="15"/>
      <c r="L723" s="1"/>
      <c r="M723" s="21"/>
      <c r="W723" s="2"/>
    </row>
    <row r="724" spans="2:23" ht="15.75" customHeight="1" x14ac:dyDescent="0.25">
      <c r="B724" s="10"/>
      <c r="C724" s="15"/>
      <c r="D724" s="49"/>
      <c r="E724" s="10"/>
      <c r="F724" s="10"/>
      <c r="G724" s="20"/>
      <c r="H724" s="20"/>
      <c r="I724" s="20"/>
      <c r="J724" s="20"/>
      <c r="K724" s="15"/>
      <c r="L724" s="1"/>
      <c r="M724" s="21"/>
      <c r="W724" s="2"/>
    </row>
    <row r="725" spans="2:23" ht="15.75" customHeight="1" x14ac:dyDescent="0.25">
      <c r="B725" s="10"/>
      <c r="C725" s="15"/>
      <c r="D725" s="49"/>
      <c r="E725" s="10"/>
      <c r="F725" s="10"/>
      <c r="G725" s="20"/>
      <c r="H725" s="20"/>
      <c r="I725" s="20"/>
      <c r="J725" s="20"/>
      <c r="K725" s="15"/>
      <c r="L725" s="1"/>
      <c r="M725" s="21"/>
      <c r="W725" s="2"/>
    </row>
    <row r="726" spans="2:23" ht="15.75" customHeight="1" x14ac:dyDescent="0.25">
      <c r="B726" s="10"/>
      <c r="C726" s="15"/>
      <c r="D726" s="49"/>
      <c r="E726" s="10"/>
      <c r="F726" s="10"/>
      <c r="G726" s="20"/>
      <c r="H726" s="20"/>
      <c r="I726" s="20"/>
      <c r="J726" s="20"/>
      <c r="K726" s="15"/>
      <c r="L726" s="1"/>
      <c r="M726" s="21"/>
      <c r="W726" s="2"/>
    </row>
    <row r="727" spans="2:23" ht="15.75" customHeight="1" x14ac:dyDescent="0.25">
      <c r="B727" s="10"/>
      <c r="C727" s="15"/>
      <c r="D727" s="49"/>
      <c r="E727" s="10"/>
      <c r="F727" s="10"/>
      <c r="G727" s="20"/>
      <c r="H727" s="20"/>
      <c r="I727" s="20"/>
      <c r="J727" s="20"/>
      <c r="K727" s="15"/>
      <c r="L727" s="1"/>
      <c r="M727" s="21"/>
      <c r="W727" s="2"/>
    </row>
    <row r="728" spans="2:23" ht="15.75" customHeight="1" x14ac:dyDescent="0.25">
      <c r="B728" s="10"/>
      <c r="C728" s="15"/>
      <c r="D728" s="49"/>
      <c r="E728" s="10"/>
      <c r="F728" s="10"/>
      <c r="G728" s="20"/>
      <c r="H728" s="20"/>
      <c r="I728" s="20"/>
      <c r="J728" s="20"/>
      <c r="K728" s="15"/>
      <c r="L728" s="1"/>
      <c r="M728" s="21"/>
      <c r="W728" s="2"/>
    </row>
    <row r="729" spans="2:23" ht="15.75" customHeight="1" x14ac:dyDescent="0.25">
      <c r="B729" s="10"/>
      <c r="C729" s="15"/>
      <c r="D729" s="49"/>
      <c r="E729" s="10"/>
      <c r="F729" s="10"/>
      <c r="G729" s="20"/>
      <c r="H729" s="20"/>
      <c r="I729" s="20"/>
      <c r="J729" s="20"/>
      <c r="K729" s="15"/>
      <c r="L729" s="1"/>
      <c r="M729" s="21"/>
      <c r="W729" s="2"/>
    </row>
    <row r="730" spans="2:23" ht="15.75" customHeight="1" x14ac:dyDescent="0.25">
      <c r="B730" s="10"/>
      <c r="C730" s="15"/>
      <c r="D730" s="49"/>
      <c r="E730" s="10"/>
      <c r="F730" s="10"/>
      <c r="G730" s="20"/>
      <c r="H730" s="20"/>
      <c r="I730" s="20"/>
      <c r="J730" s="20"/>
      <c r="K730" s="15"/>
      <c r="L730" s="1"/>
      <c r="M730" s="21"/>
      <c r="W730" s="2"/>
    </row>
    <row r="731" spans="2:23" ht="15.75" customHeight="1" x14ac:dyDescent="0.25">
      <c r="B731" s="10"/>
      <c r="C731" s="15"/>
      <c r="D731" s="49"/>
      <c r="E731" s="10"/>
      <c r="F731" s="10"/>
      <c r="G731" s="20"/>
      <c r="H731" s="20"/>
      <c r="I731" s="20"/>
      <c r="J731" s="20"/>
      <c r="K731" s="15"/>
      <c r="L731" s="1"/>
      <c r="M731" s="21"/>
      <c r="W731" s="2"/>
    </row>
    <row r="732" spans="2:23" ht="15.75" customHeight="1" x14ac:dyDescent="0.25">
      <c r="B732" s="10"/>
      <c r="C732" s="15"/>
      <c r="D732" s="49"/>
      <c r="E732" s="10"/>
      <c r="F732" s="10"/>
      <c r="G732" s="20"/>
      <c r="H732" s="20"/>
      <c r="I732" s="20"/>
      <c r="J732" s="20"/>
      <c r="K732" s="15"/>
      <c r="L732" s="1"/>
      <c r="M732" s="21"/>
      <c r="W732" s="2"/>
    </row>
    <row r="733" spans="2:23" ht="15.75" customHeight="1" x14ac:dyDescent="0.25">
      <c r="B733" s="10"/>
      <c r="C733" s="15"/>
      <c r="D733" s="49"/>
      <c r="E733" s="10"/>
      <c r="F733" s="10"/>
      <c r="G733" s="20"/>
      <c r="H733" s="20"/>
      <c r="I733" s="20"/>
      <c r="J733" s="20"/>
      <c r="K733" s="15"/>
      <c r="L733" s="1"/>
      <c r="M733" s="21"/>
      <c r="W733" s="2"/>
    </row>
    <row r="734" spans="2:23" ht="15.75" customHeight="1" x14ac:dyDescent="0.25">
      <c r="B734" s="10"/>
      <c r="C734" s="15"/>
      <c r="D734" s="49"/>
      <c r="E734" s="10"/>
      <c r="F734" s="10"/>
      <c r="G734" s="20"/>
      <c r="H734" s="20"/>
      <c r="I734" s="20"/>
      <c r="J734" s="20"/>
      <c r="K734" s="15"/>
      <c r="L734" s="1"/>
      <c r="M734" s="21"/>
      <c r="W734" s="2"/>
    </row>
    <row r="735" spans="2:23" ht="15.75" customHeight="1" x14ac:dyDescent="0.25">
      <c r="B735" s="10"/>
      <c r="C735" s="15"/>
      <c r="D735" s="49"/>
      <c r="E735" s="10"/>
      <c r="F735" s="10"/>
      <c r="G735" s="20"/>
      <c r="H735" s="20"/>
      <c r="I735" s="20"/>
      <c r="J735" s="20"/>
      <c r="K735" s="15"/>
      <c r="L735" s="1"/>
      <c r="M735" s="21"/>
      <c r="W735" s="2"/>
    </row>
    <row r="736" spans="2:23" ht="15.75" customHeight="1" x14ac:dyDescent="0.25">
      <c r="B736" s="10"/>
      <c r="C736" s="15"/>
      <c r="D736" s="49"/>
      <c r="E736" s="10"/>
      <c r="F736" s="10"/>
      <c r="G736" s="20"/>
      <c r="H736" s="20"/>
      <c r="I736" s="20"/>
      <c r="J736" s="20"/>
      <c r="K736" s="15"/>
      <c r="L736" s="1"/>
      <c r="M736" s="21"/>
      <c r="W736" s="2"/>
    </row>
    <row r="737" spans="2:23" ht="15.75" customHeight="1" x14ac:dyDescent="0.25">
      <c r="B737" s="10"/>
      <c r="C737" s="15"/>
      <c r="D737" s="49"/>
      <c r="E737" s="10"/>
      <c r="F737" s="10"/>
      <c r="G737" s="20"/>
      <c r="H737" s="20"/>
      <c r="I737" s="20"/>
      <c r="J737" s="20"/>
      <c r="K737" s="15"/>
      <c r="L737" s="1"/>
      <c r="M737" s="21"/>
      <c r="W737" s="2"/>
    </row>
    <row r="738" spans="2:23" ht="15.75" customHeight="1" x14ac:dyDescent="0.25">
      <c r="B738" s="10"/>
      <c r="C738" s="15"/>
      <c r="D738" s="49"/>
      <c r="E738" s="10"/>
      <c r="F738" s="10"/>
      <c r="G738" s="20"/>
      <c r="H738" s="20"/>
      <c r="I738" s="20"/>
      <c r="J738" s="20"/>
      <c r="K738" s="15"/>
      <c r="L738" s="1"/>
      <c r="M738" s="21"/>
      <c r="W738" s="2"/>
    </row>
    <row r="739" spans="2:23" ht="15.75" customHeight="1" x14ac:dyDescent="0.25">
      <c r="B739" s="10"/>
      <c r="C739" s="15"/>
      <c r="D739" s="49"/>
      <c r="E739" s="10"/>
      <c r="F739" s="10"/>
      <c r="G739" s="20"/>
      <c r="H739" s="20"/>
      <c r="I739" s="20"/>
      <c r="J739" s="20"/>
      <c r="K739" s="15"/>
      <c r="L739" s="1"/>
      <c r="M739" s="21"/>
      <c r="W739" s="2"/>
    </row>
    <row r="740" spans="2:23" ht="15.75" customHeight="1" x14ac:dyDescent="0.25">
      <c r="B740" s="10"/>
      <c r="C740" s="15"/>
      <c r="D740" s="49"/>
      <c r="E740" s="10"/>
      <c r="F740" s="10"/>
      <c r="G740" s="20"/>
      <c r="H740" s="20"/>
      <c r="I740" s="20"/>
      <c r="J740" s="20"/>
      <c r="K740" s="15"/>
      <c r="L740" s="1"/>
      <c r="M740" s="21"/>
      <c r="W740" s="2"/>
    </row>
    <row r="741" spans="2:23" ht="15.75" customHeight="1" x14ac:dyDescent="0.25">
      <c r="B741" s="10"/>
      <c r="C741" s="15"/>
      <c r="D741" s="49"/>
      <c r="E741" s="10"/>
      <c r="F741" s="10"/>
      <c r="G741" s="20"/>
      <c r="H741" s="20"/>
      <c r="I741" s="20"/>
      <c r="J741" s="20"/>
      <c r="K741" s="15"/>
      <c r="L741" s="1"/>
      <c r="M741" s="21"/>
      <c r="W741" s="2"/>
    </row>
    <row r="742" spans="2:23" ht="15.75" customHeight="1" x14ac:dyDescent="0.25">
      <c r="B742" s="20"/>
      <c r="C742" s="15"/>
      <c r="D742" s="49"/>
      <c r="E742" s="10"/>
      <c r="F742" s="10"/>
      <c r="G742" s="20"/>
      <c r="H742" s="20"/>
      <c r="I742" s="20"/>
      <c r="J742" s="20"/>
      <c r="K742" s="15"/>
      <c r="L742" s="1"/>
      <c r="M742" s="21"/>
      <c r="W742" s="2"/>
    </row>
    <row r="743" spans="2:23" ht="15.75" customHeight="1" x14ac:dyDescent="0.25">
      <c r="B743" s="20"/>
      <c r="C743" s="15"/>
      <c r="D743" s="49"/>
      <c r="E743" s="10"/>
      <c r="F743" s="10"/>
      <c r="G743" s="20"/>
      <c r="H743" s="20"/>
      <c r="I743" s="20"/>
      <c r="J743" s="20"/>
      <c r="K743" s="15"/>
      <c r="L743" s="1"/>
      <c r="M743" s="21"/>
      <c r="W743" s="2"/>
    </row>
    <row r="744" spans="2:23" ht="15.75" customHeight="1" x14ac:dyDescent="0.25">
      <c r="B744" s="10"/>
      <c r="C744" s="15"/>
      <c r="D744" s="49"/>
      <c r="E744" s="10"/>
      <c r="F744" s="10"/>
      <c r="G744" s="20"/>
      <c r="H744" s="20"/>
      <c r="I744" s="20"/>
      <c r="J744" s="20"/>
      <c r="K744" s="15"/>
      <c r="L744" s="1"/>
      <c r="M744" s="21"/>
      <c r="W744" s="2"/>
    </row>
    <row r="745" spans="2:23" ht="15.75" customHeight="1" x14ac:dyDescent="0.25">
      <c r="B745" s="10"/>
      <c r="C745" s="15"/>
      <c r="D745" s="49"/>
      <c r="E745" s="10"/>
      <c r="F745" s="10"/>
      <c r="G745" s="20"/>
      <c r="H745" s="20"/>
      <c r="I745" s="20"/>
      <c r="J745" s="20"/>
      <c r="K745" s="15"/>
      <c r="L745" s="1"/>
      <c r="M745" s="21"/>
      <c r="W745" s="2"/>
    </row>
    <row r="746" spans="2:23" ht="15.75" customHeight="1" x14ac:dyDescent="0.25">
      <c r="B746" s="10"/>
      <c r="C746" s="15"/>
      <c r="D746" s="49"/>
      <c r="E746" s="10"/>
      <c r="F746" s="10"/>
      <c r="G746" s="20"/>
      <c r="H746" s="20"/>
      <c r="I746" s="20"/>
      <c r="J746" s="20"/>
      <c r="K746" s="15"/>
      <c r="L746" s="1"/>
      <c r="M746" s="21"/>
      <c r="W746" s="2"/>
    </row>
    <row r="747" spans="2:23" ht="15.75" customHeight="1" x14ac:dyDescent="0.25">
      <c r="B747" s="10"/>
      <c r="C747" s="15"/>
      <c r="D747" s="49"/>
      <c r="E747" s="10"/>
      <c r="F747" s="10"/>
      <c r="G747" s="20"/>
      <c r="H747" s="20"/>
      <c r="I747" s="20"/>
      <c r="J747" s="20"/>
      <c r="K747" s="15"/>
      <c r="L747" s="1"/>
      <c r="M747" s="21"/>
      <c r="W747" s="2"/>
    </row>
    <row r="748" spans="2:23" ht="15.75" customHeight="1" x14ac:dyDescent="0.25">
      <c r="B748" s="10"/>
      <c r="C748" s="15"/>
      <c r="D748" s="49"/>
      <c r="E748" s="10"/>
      <c r="F748" s="10"/>
      <c r="G748" s="20"/>
      <c r="H748" s="20"/>
      <c r="I748" s="20"/>
      <c r="J748" s="20"/>
      <c r="K748" s="15"/>
      <c r="L748" s="1"/>
      <c r="M748" s="21"/>
      <c r="W748" s="2"/>
    </row>
    <row r="749" spans="2:23" ht="15.75" customHeight="1" x14ac:dyDescent="0.25">
      <c r="B749" s="10"/>
      <c r="C749" s="15"/>
      <c r="D749" s="49"/>
      <c r="E749" s="10"/>
      <c r="F749" s="10"/>
      <c r="G749" s="20"/>
      <c r="H749" s="20"/>
      <c r="I749" s="20"/>
      <c r="J749" s="20"/>
      <c r="K749" s="15"/>
      <c r="L749" s="1"/>
      <c r="M749" s="21"/>
      <c r="W749" s="2"/>
    </row>
    <row r="750" spans="2:23" ht="15.75" customHeight="1" x14ac:dyDescent="0.25">
      <c r="B750" s="10"/>
      <c r="C750" s="10"/>
      <c r="D750" s="49"/>
      <c r="E750" s="10"/>
      <c r="F750" s="10"/>
      <c r="G750" s="20"/>
      <c r="H750" s="20"/>
      <c r="I750" s="20"/>
      <c r="J750" s="20"/>
      <c r="K750" s="15"/>
      <c r="L750" s="1"/>
      <c r="M750" s="21"/>
      <c r="W750" s="2"/>
    </row>
    <row r="751" spans="2:23" ht="15.75" customHeight="1" x14ac:dyDescent="0.25">
      <c r="B751" s="10"/>
      <c r="C751" s="10"/>
      <c r="D751" s="49"/>
      <c r="E751" s="10"/>
      <c r="F751" s="10"/>
      <c r="G751" s="20"/>
      <c r="H751" s="20"/>
      <c r="I751" s="20"/>
      <c r="J751" s="20"/>
      <c r="K751" s="15"/>
      <c r="L751" s="1"/>
      <c r="M751" s="21"/>
      <c r="W751" s="2"/>
    </row>
    <row r="752" spans="2:23" ht="15.75" customHeight="1" x14ac:dyDescent="0.25">
      <c r="B752" s="10"/>
      <c r="C752" s="10"/>
      <c r="D752" s="49"/>
      <c r="E752" s="10"/>
      <c r="F752" s="10"/>
      <c r="G752" s="20"/>
      <c r="H752" s="20"/>
      <c r="I752" s="20"/>
      <c r="J752" s="20"/>
      <c r="K752" s="15"/>
      <c r="L752" s="1"/>
      <c r="M752" s="21"/>
      <c r="W752" s="2"/>
    </row>
    <row r="753" spans="2:23" ht="15.75" customHeight="1" x14ac:dyDescent="0.25">
      <c r="B753" s="10"/>
      <c r="C753" s="10"/>
      <c r="D753" s="49"/>
      <c r="E753" s="10"/>
      <c r="F753" s="10"/>
      <c r="G753" s="20"/>
      <c r="H753" s="20"/>
      <c r="I753" s="20"/>
      <c r="J753" s="20"/>
      <c r="K753" s="15"/>
      <c r="L753" s="1"/>
      <c r="M753" s="21"/>
      <c r="W753" s="2"/>
    </row>
    <row r="754" spans="2:23" ht="15.75" customHeight="1" x14ac:dyDescent="0.25">
      <c r="B754" s="10"/>
      <c r="C754" s="10"/>
      <c r="D754" s="49"/>
      <c r="E754" s="10"/>
      <c r="F754" s="10"/>
      <c r="G754" s="20"/>
      <c r="H754" s="20"/>
      <c r="I754" s="20"/>
      <c r="J754" s="20"/>
      <c r="K754" s="15"/>
      <c r="L754" s="1"/>
      <c r="M754" s="21"/>
      <c r="W754" s="2"/>
    </row>
    <row r="755" spans="2:23" ht="15.75" customHeight="1" x14ac:dyDescent="0.25">
      <c r="B755" s="10"/>
      <c r="C755" s="10"/>
      <c r="D755" s="49"/>
      <c r="E755" s="10"/>
      <c r="F755" s="10"/>
      <c r="G755" s="20"/>
      <c r="H755" s="20"/>
      <c r="I755" s="20"/>
      <c r="J755" s="20"/>
      <c r="K755" s="15"/>
      <c r="L755" s="1"/>
      <c r="M755" s="21"/>
      <c r="W755" s="2"/>
    </row>
    <row r="756" spans="2:23" ht="15.75" customHeight="1" x14ac:dyDescent="0.25">
      <c r="B756" s="10"/>
      <c r="C756" s="10"/>
      <c r="D756" s="49"/>
      <c r="E756" s="10"/>
      <c r="F756" s="10"/>
      <c r="G756" s="20"/>
      <c r="H756" s="20"/>
      <c r="I756" s="20"/>
      <c r="J756" s="20"/>
      <c r="K756" s="15"/>
      <c r="L756" s="1"/>
      <c r="M756" s="21"/>
      <c r="W756" s="2"/>
    </row>
    <row r="757" spans="2:23" ht="15.75" customHeight="1" x14ac:dyDescent="0.25">
      <c r="B757" s="10"/>
      <c r="C757" s="10"/>
      <c r="D757" s="49"/>
      <c r="E757" s="10"/>
      <c r="F757" s="10"/>
      <c r="G757" s="20"/>
      <c r="H757" s="20"/>
      <c r="I757" s="20"/>
      <c r="J757" s="20"/>
      <c r="K757" s="15"/>
      <c r="L757" s="1"/>
      <c r="M757" s="21"/>
      <c r="W757" s="2"/>
    </row>
    <row r="758" spans="2:23" ht="15.75" customHeight="1" x14ac:dyDescent="0.25">
      <c r="B758" s="10"/>
      <c r="C758" s="10"/>
      <c r="D758" s="49"/>
      <c r="E758" s="10"/>
      <c r="F758" s="10"/>
      <c r="G758" s="20"/>
      <c r="H758" s="20"/>
      <c r="I758" s="20"/>
      <c r="J758" s="20"/>
      <c r="K758" s="15"/>
      <c r="L758" s="1"/>
      <c r="M758" s="21"/>
      <c r="W758" s="2"/>
    </row>
    <row r="759" spans="2:23" ht="15.75" customHeight="1" x14ac:dyDescent="0.25">
      <c r="B759" s="10"/>
      <c r="C759" s="10"/>
      <c r="D759" s="49"/>
      <c r="E759" s="10"/>
      <c r="F759" s="10"/>
      <c r="G759" s="20"/>
      <c r="H759" s="20"/>
      <c r="I759" s="20"/>
      <c r="J759" s="20"/>
      <c r="K759" s="15"/>
      <c r="L759" s="1"/>
      <c r="M759" s="21"/>
      <c r="W759" s="2"/>
    </row>
    <row r="760" spans="2:23" ht="15.75" customHeight="1" x14ac:dyDescent="0.25">
      <c r="B760" s="10"/>
      <c r="C760" s="10"/>
      <c r="D760" s="49"/>
      <c r="E760" s="10"/>
      <c r="F760" s="10"/>
      <c r="G760" s="20"/>
      <c r="H760" s="20"/>
      <c r="I760" s="20"/>
      <c r="J760" s="20"/>
      <c r="K760" s="15"/>
      <c r="L760" s="1"/>
      <c r="M760" s="21"/>
      <c r="W760" s="2"/>
    </row>
    <row r="761" spans="2:23" ht="15.75" customHeight="1" x14ac:dyDescent="0.25">
      <c r="B761" s="10"/>
      <c r="C761" s="10"/>
      <c r="D761" s="49"/>
      <c r="E761" s="10"/>
      <c r="F761" s="10"/>
      <c r="G761" s="20"/>
      <c r="H761" s="20"/>
      <c r="I761" s="20"/>
      <c r="J761" s="20"/>
      <c r="K761" s="15"/>
      <c r="L761" s="1"/>
      <c r="M761" s="21"/>
      <c r="W761" s="2"/>
    </row>
    <row r="762" spans="2:23" ht="15.75" customHeight="1" x14ac:dyDescent="0.25">
      <c r="B762" s="10"/>
      <c r="C762" s="10"/>
      <c r="D762" s="49"/>
      <c r="E762" s="10"/>
      <c r="F762" s="10"/>
      <c r="G762" s="20"/>
      <c r="H762" s="20"/>
      <c r="I762" s="20"/>
      <c r="J762" s="20"/>
      <c r="K762" s="15"/>
      <c r="L762" s="1"/>
      <c r="M762" s="21"/>
      <c r="W762" s="2"/>
    </row>
    <row r="763" spans="2:23" ht="15.75" customHeight="1" x14ac:dyDescent="0.25">
      <c r="B763" s="10"/>
      <c r="C763" s="10"/>
      <c r="D763" s="49"/>
      <c r="E763" s="10"/>
      <c r="F763" s="10"/>
      <c r="G763" s="20"/>
      <c r="H763" s="20"/>
      <c r="I763" s="20"/>
      <c r="J763" s="20"/>
      <c r="K763" s="15"/>
      <c r="L763" s="1"/>
      <c r="M763" s="21"/>
      <c r="W763" s="2"/>
    </row>
    <row r="764" spans="2:23" ht="15.75" customHeight="1" x14ac:dyDescent="0.25">
      <c r="B764" s="10"/>
      <c r="C764" s="10"/>
      <c r="D764" s="49"/>
      <c r="E764" s="10"/>
      <c r="F764" s="10"/>
      <c r="G764" s="20"/>
      <c r="H764" s="20"/>
      <c r="I764" s="20"/>
      <c r="J764" s="20"/>
      <c r="K764" s="15"/>
      <c r="L764" s="1"/>
      <c r="M764" s="21"/>
      <c r="W764" s="2"/>
    </row>
    <row r="765" spans="2:23" ht="15.75" customHeight="1" x14ac:dyDescent="0.25">
      <c r="B765" s="10"/>
      <c r="C765" s="10"/>
      <c r="D765" s="49"/>
      <c r="E765" s="10"/>
      <c r="F765" s="10"/>
      <c r="G765" s="20"/>
      <c r="H765" s="20"/>
      <c r="I765" s="20"/>
      <c r="J765" s="20"/>
      <c r="K765" s="15"/>
      <c r="L765" s="1"/>
      <c r="M765" s="21"/>
      <c r="W765" s="2"/>
    </row>
    <row r="766" spans="2:23" ht="15.75" customHeight="1" x14ac:dyDescent="0.25">
      <c r="B766" s="10"/>
      <c r="C766" s="10"/>
      <c r="D766" s="49"/>
      <c r="E766" s="10"/>
      <c r="F766" s="10"/>
      <c r="G766" s="20"/>
      <c r="H766" s="20"/>
      <c r="I766" s="20"/>
      <c r="J766" s="20"/>
      <c r="K766" s="15"/>
      <c r="L766" s="1"/>
      <c r="M766" s="21"/>
      <c r="W766" s="2"/>
    </row>
    <row r="767" spans="2:23" ht="15.75" customHeight="1" x14ac:dyDescent="0.25">
      <c r="B767" s="10"/>
      <c r="C767" s="10"/>
      <c r="D767" s="49"/>
      <c r="E767" s="10"/>
      <c r="F767" s="10"/>
      <c r="G767" s="20"/>
      <c r="H767" s="20"/>
      <c r="I767" s="20"/>
      <c r="J767" s="20"/>
      <c r="K767" s="15"/>
      <c r="L767" s="1"/>
      <c r="M767" s="21"/>
      <c r="W767" s="2"/>
    </row>
    <row r="768" spans="2:23" ht="15.75" customHeight="1" x14ac:dyDescent="0.25">
      <c r="B768" s="10"/>
      <c r="C768" s="10"/>
      <c r="D768" s="49"/>
      <c r="E768" s="10"/>
      <c r="F768" s="10"/>
      <c r="G768" s="20"/>
      <c r="H768" s="20"/>
      <c r="I768" s="20"/>
      <c r="J768" s="20"/>
      <c r="K768" s="15"/>
      <c r="L768" s="1"/>
      <c r="M768" s="21"/>
      <c r="W768" s="2"/>
    </row>
    <row r="769" spans="2:23" ht="15.75" customHeight="1" x14ac:dyDescent="0.25">
      <c r="B769" s="10"/>
      <c r="C769" s="10"/>
      <c r="D769" s="49"/>
      <c r="E769" s="10"/>
      <c r="F769" s="10"/>
      <c r="G769" s="20"/>
      <c r="H769" s="20"/>
      <c r="I769" s="20"/>
      <c r="J769" s="20"/>
      <c r="K769" s="15"/>
      <c r="L769" s="1"/>
      <c r="M769" s="21"/>
      <c r="W769" s="2"/>
    </row>
    <row r="770" spans="2:23" ht="15.75" customHeight="1" x14ac:dyDescent="0.25">
      <c r="B770" s="10"/>
      <c r="C770" s="10"/>
      <c r="D770" s="49"/>
      <c r="E770" s="10"/>
      <c r="F770" s="10"/>
      <c r="G770" s="20"/>
      <c r="H770" s="20"/>
      <c r="I770" s="20"/>
      <c r="J770" s="20"/>
      <c r="K770" s="15"/>
      <c r="L770" s="1"/>
      <c r="M770" s="21"/>
      <c r="W770" s="2"/>
    </row>
    <row r="771" spans="2:23" ht="15.75" customHeight="1" x14ac:dyDescent="0.25">
      <c r="B771" s="10"/>
      <c r="C771" s="10"/>
      <c r="D771" s="49"/>
      <c r="E771" s="10"/>
      <c r="F771" s="10"/>
      <c r="G771" s="20"/>
      <c r="H771" s="20"/>
      <c r="I771" s="20"/>
      <c r="J771" s="20"/>
      <c r="K771" s="15"/>
      <c r="L771" s="1"/>
      <c r="M771" s="21"/>
      <c r="W771" s="2"/>
    </row>
    <row r="772" spans="2:23" ht="15.75" customHeight="1" x14ac:dyDescent="0.25">
      <c r="B772" s="10"/>
      <c r="C772" s="10"/>
      <c r="D772" s="49"/>
      <c r="E772" s="10"/>
      <c r="F772" s="10"/>
      <c r="G772" s="20"/>
      <c r="H772" s="20"/>
      <c r="I772" s="20"/>
      <c r="J772" s="20"/>
      <c r="K772" s="15"/>
      <c r="L772" s="1"/>
      <c r="M772" s="21"/>
      <c r="W772" s="2"/>
    </row>
    <row r="773" spans="2:23" ht="15.75" customHeight="1" x14ac:dyDescent="0.25">
      <c r="B773" s="10"/>
      <c r="C773" s="10"/>
      <c r="D773" s="49"/>
      <c r="E773" s="10"/>
      <c r="F773" s="10"/>
      <c r="G773" s="20"/>
      <c r="H773" s="20"/>
      <c r="I773" s="20"/>
      <c r="J773" s="20"/>
      <c r="K773" s="15"/>
      <c r="L773" s="1"/>
      <c r="M773" s="21"/>
      <c r="W773" s="2"/>
    </row>
    <row r="774" spans="2:23" ht="15.75" customHeight="1" x14ac:dyDescent="0.25">
      <c r="B774" s="10"/>
      <c r="C774" s="10"/>
      <c r="D774" s="49"/>
      <c r="E774" s="10"/>
      <c r="F774" s="10"/>
      <c r="G774" s="20"/>
      <c r="H774" s="20"/>
      <c r="I774" s="20"/>
      <c r="J774" s="20"/>
      <c r="K774" s="15"/>
      <c r="L774" s="1"/>
      <c r="M774" s="21"/>
      <c r="W774" s="2"/>
    </row>
    <row r="775" spans="2:23" ht="15.75" customHeight="1" x14ac:dyDescent="0.25">
      <c r="B775" s="10"/>
      <c r="C775" s="10"/>
      <c r="D775" s="49"/>
      <c r="E775" s="10"/>
      <c r="F775" s="10"/>
      <c r="G775" s="20"/>
      <c r="H775" s="20"/>
      <c r="I775" s="20"/>
      <c r="J775" s="20"/>
      <c r="K775" s="15"/>
      <c r="L775" s="1"/>
      <c r="M775" s="21"/>
      <c r="W775" s="2"/>
    </row>
    <row r="776" spans="2:23" ht="15.75" customHeight="1" x14ac:dyDescent="0.25">
      <c r="B776" s="10"/>
      <c r="C776" s="10"/>
      <c r="D776" s="49"/>
      <c r="E776" s="10"/>
      <c r="F776" s="10"/>
      <c r="G776" s="20"/>
      <c r="H776" s="20"/>
      <c r="I776" s="20"/>
      <c r="J776" s="20"/>
      <c r="K776" s="15"/>
      <c r="L776" s="1"/>
      <c r="M776" s="21"/>
      <c r="W776" s="2"/>
    </row>
    <row r="777" spans="2:23" ht="15.75" customHeight="1" x14ac:dyDescent="0.25">
      <c r="B777" s="10"/>
      <c r="C777" s="10"/>
      <c r="D777" s="49"/>
      <c r="E777" s="10"/>
      <c r="F777" s="10"/>
      <c r="G777" s="20"/>
      <c r="H777" s="20"/>
      <c r="I777" s="20"/>
      <c r="J777" s="20"/>
      <c r="K777" s="15"/>
      <c r="L777" s="1"/>
      <c r="M777" s="21"/>
      <c r="W777" s="2"/>
    </row>
    <row r="778" spans="2:23" ht="15.75" customHeight="1" x14ac:dyDescent="0.25">
      <c r="B778" s="10"/>
      <c r="C778" s="10"/>
      <c r="D778" s="49"/>
      <c r="E778" s="10"/>
      <c r="F778" s="10"/>
      <c r="G778" s="20"/>
      <c r="H778" s="20"/>
      <c r="I778" s="20"/>
      <c r="J778" s="20"/>
      <c r="K778" s="15"/>
      <c r="L778" s="1"/>
      <c r="M778" s="21"/>
      <c r="W778" s="2"/>
    </row>
    <row r="779" spans="2:23" ht="15.75" customHeight="1" x14ac:dyDescent="0.25">
      <c r="B779" s="10"/>
      <c r="C779" s="10"/>
      <c r="D779" s="49"/>
      <c r="E779" s="10"/>
      <c r="F779" s="10"/>
      <c r="G779" s="20"/>
      <c r="H779" s="20"/>
      <c r="I779" s="20"/>
      <c r="J779" s="20"/>
      <c r="K779" s="15"/>
      <c r="L779" s="1"/>
      <c r="M779" s="21"/>
      <c r="W779" s="2"/>
    </row>
    <row r="780" spans="2:23" ht="15.75" customHeight="1" x14ac:dyDescent="0.25">
      <c r="B780" s="10"/>
      <c r="C780" s="10"/>
      <c r="D780" s="49"/>
      <c r="E780" s="10"/>
      <c r="F780" s="10"/>
      <c r="G780" s="20"/>
      <c r="H780" s="20"/>
      <c r="I780" s="20"/>
      <c r="J780" s="20"/>
      <c r="K780" s="15"/>
      <c r="L780" s="1"/>
      <c r="M780" s="21"/>
      <c r="W780" s="2"/>
    </row>
    <row r="781" spans="2:23" ht="15.75" customHeight="1" x14ac:dyDescent="0.25">
      <c r="B781" s="10"/>
      <c r="C781" s="10"/>
      <c r="D781" s="49"/>
      <c r="E781" s="10"/>
      <c r="F781" s="10"/>
      <c r="G781" s="20"/>
      <c r="H781" s="20"/>
      <c r="I781" s="20"/>
      <c r="J781" s="20"/>
      <c r="K781" s="15"/>
      <c r="L781" s="1"/>
      <c r="M781" s="21"/>
      <c r="W781" s="2"/>
    </row>
    <row r="782" spans="2:23" ht="15.75" customHeight="1" x14ac:dyDescent="0.25">
      <c r="B782" s="10"/>
      <c r="C782" s="10"/>
      <c r="D782" s="49"/>
      <c r="E782" s="10"/>
      <c r="F782" s="10"/>
      <c r="G782" s="20"/>
      <c r="H782" s="20"/>
      <c r="I782" s="20"/>
      <c r="J782" s="20"/>
      <c r="K782" s="15"/>
      <c r="L782" s="1"/>
      <c r="M782" s="21"/>
      <c r="W782" s="2"/>
    </row>
    <row r="783" spans="2:23" ht="15.75" customHeight="1" x14ac:dyDescent="0.25">
      <c r="B783" s="10"/>
      <c r="C783" s="10"/>
      <c r="D783" s="49"/>
      <c r="E783" s="10"/>
      <c r="F783" s="10"/>
      <c r="G783" s="20"/>
      <c r="H783" s="20"/>
      <c r="I783" s="20"/>
      <c r="J783" s="20"/>
      <c r="K783" s="15"/>
      <c r="L783" s="1"/>
      <c r="M783" s="21"/>
      <c r="W783" s="2"/>
    </row>
    <row r="784" spans="2:23" ht="15.75" customHeight="1" x14ac:dyDescent="0.25">
      <c r="B784" s="10"/>
      <c r="C784" s="10"/>
      <c r="D784" s="49"/>
      <c r="E784" s="10"/>
      <c r="F784" s="10"/>
      <c r="G784" s="20"/>
      <c r="H784" s="20"/>
      <c r="I784" s="20"/>
      <c r="J784" s="20"/>
      <c r="K784" s="15"/>
      <c r="L784" s="1"/>
      <c r="M784" s="21"/>
      <c r="W784" s="2"/>
    </row>
    <row r="785" spans="2:23" ht="15.75" customHeight="1" x14ac:dyDescent="0.25">
      <c r="B785" s="10"/>
      <c r="C785" s="10"/>
      <c r="D785" s="49"/>
      <c r="E785" s="10"/>
      <c r="F785" s="10"/>
      <c r="G785" s="20"/>
      <c r="H785" s="20"/>
      <c r="I785" s="20"/>
      <c r="J785" s="20"/>
      <c r="K785" s="15"/>
      <c r="L785" s="1"/>
      <c r="M785" s="21"/>
      <c r="W785" s="2"/>
    </row>
    <row r="786" spans="2:23" ht="15.75" customHeight="1" x14ac:dyDescent="0.25">
      <c r="B786" s="10"/>
      <c r="C786" s="10"/>
      <c r="D786" s="49"/>
      <c r="E786" s="10"/>
      <c r="F786" s="10"/>
      <c r="G786" s="20"/>
      <c r="H786" s="20"/>
      <c r="I786" s="20"/>
      <c r="J786" s="20"/>
      <c r="K786" s="15"/>
      <c r="L786" s="1"/>
      <c r="M786" s="21"/>
      <c r="W786" s="2"/>
    </row>
    <row r="787" spans="2:23" ht="15.75" customHeight="1" x14ac:dyDescent="0.25">
      <c r="B787" s="10"/>
      <c r="C787" s="10"/>
      <c r="D787" s="49"/>
      <c r="E787" s="10"/>
      <c r="F787" s="10"/>
      <c r="G787" s="20"/>
      <c r="H787" s="20"/>
      <c r="I787" s="20"/>
      <c r="J787" s="20"/>
      <c r="K787" s="15"/>
      <c r="L787" s="1"/>
      <c r="M787" s="21"/>
      <c r="W787" s="2"/>
    </row>
    <row r="788" spans="2:23" ht="15.75" customHeight="1" x14ac:dyDescent="0.25">
      <c r="B788" s="10"/>
      <c r="C788" s="10"/>
      <c r="D788" s="49"/>
      <c r="E788" s="10"/>
      <c r="F788" s="10"/>
      <c r="G788" s="20"/>
      <c r="H788" s="20"/>
      <c r="I788" s="20"/>
      <c r="J788" s="20"/>
      <c r="K788" s="15"/>
      <c r="L788" s="1"/>
      <c r="M788" s="21"/>
      <c r="W788" s="2"/>
    </row>
    <row r="789" spans="2:23" ht="15.75" customHeight="1" x14ac:dyDescent="0.25">
      <c r="B789" s="10"/>
      <c r="C789" s="10"/>
      <c r="D789" s="49"/>
      <c r="E789" s="10"/>
      <c r="F789" s="10"/>
      <c r="G789" s="20"/>
      <c r="H789" s="20"/>
      <c r="I789" s="20"/>
      <c r="J789" s="20"/>
      <c r="K789" s="15"/>
      <c r="L789" s="1"/>
      <c r="M789" s="21"/>
      <c r="W789" s="2"/>
    </row>
    <row r="790" spans="2:23" ht="15.75" customHeight="1" x14ac:dyDescent="0.25">
      <c r="B790" s="10"/>
      <c r="C790" s="10"/>
      <c r="D790" s="49"/>
      <c r="E790" s="10"/>
      <c r="F790" s="10"/>
      <c r="G790" s="20"/>
      <c r="H790" s="20"/>
      <c r="I790" s="20"/>
      <c r="J790" s="20"/>
      <c r="K790" s="15"/>
      <c r="L790" s="1"/>
      <c r="M790" s="21"/>
      <c r="W790" s="2"/>
    </row>
    <row r="791" spans="2:23" ht="15.75" customHeight="1" x14ac:dyDescent="0.25">
      <c r="B791" s="10"/>
      <c r="C791" s="10"/>
      <c r="D791" s="49"/>
      <c r="E791" s="10"/>
      <c r="F791" s="10"/>
      <c r="G791" s="20"/>
      <c r="H791" s="20"/>
      <c r="I791" s="20"/>
      <c r="J791" s="20"/>
      <c r="K791" s="15"/>
      <c r="L791" s="1"/>
      <c r="M791" s="21"/>
      <c r="W791" s="2"/>
    </row>
    <row r="792" spans="2:23" ht="15.75" customHeight="1" x14ac:dyDescent="0.25">
      <c r="B792" s="10"/>
      <c r="C792" s="10"/>
      <c r="D792" s="49"/>
      <c r="E792" s="10"/>
      <c r="F792" s="10"/>
      <c r="G792" s="20"/>
      <c r="H792" s="20"/>
      <c r="I792" s="20"/>
      <c r="J792" s="20"/>
      <c r="K792" s="15"/>
      <c r="L792" s="1"/>
      <c r="M792" s="21"/>
      <c r="W792" s="2"/>
    </row>
    <row r="793" spans="2:23" ht="15.75" customHeight="1" x14ac:dyDescent="0.25">
      <c r="B793" s="10"/>
      <c r="C793" s="10"/>
      <c r="D793" s="49"/>
      <c r="E793" s="10"/>
      <c r="F793" s="10"/>
      <c r="G793" s="20"/>
      <c r="H793" s="20"/>
      <c r="I793" s="20"/>
      <c r="J793" s="20"/>
      <c r="K793" s="15"/>
      <c r="L793" s="1"/>
      <c r="M793" s="21"/>
      <c r="W793" s="2"/>
    </row>
    <row r="794" spans="2:23" ht="15.75" customHeight="1" x14ac:dyDescent="0.25">
      <c r="B794" s="10"/>
      <c r="C794" s="10"/>
      <c r="D794" s="49"/>
      <c r="E794" s="10"/>
      <c r="F794" s="10"/>
      <c r="G794" s="20"/>
      <c r="H794" s="20"/>
      <c r="I794" s="20"/>
      <c r="J794" s="20"/>
      <c r="K794" s="15"/>
      <c r="L794" s="1"/>
      <c r="M794" s="21"/>
      <c r="W794" s="2"/>
    </row>
    <row r="795" spans="2:23" ht="15.75" customHeight="1" x14ac:dyDescent="0.25">
      <c r="B795" s="10"/>
      <c r="C795" s="10"/>
      <c r="D795" s="49"/>
      <c r="E795" s="10"/>
      <c r="F795" s="10"/>
      <c r="G795" s="20"/>
      <c r="H795" s="20"/>
      <c r="I795" s="20"/>
      <c r="J795" s="20"/>
      <c r="K795" s="15"/>
      <c r="L795" s="1"/>
      <c r="M795" s="21"/>
      <c r="W795" s="2"/>
    </row>
    <row r="796" spans="2:23" ht="15.75" customHeight="1" x14ac:dyDescent="0.25">
      <c r="B796" s="10"/>
      <c r="C796" s="10"/>
      <c r="D796" s="49"/>
      <c r="E796" s="10"/>
      <c r="F796" s="10"/>
      <c r="G796" s="20"/>
      <c r="H796" s="20"/>
      <c r="I796" s="20"/>
      <c r="J796" s="20"/>
      <c r="K796" s="15"/>
      <c r="L796" s="1"/>
      <c r="M796" s="21"/>
      <c r="W796" s="2"/>
    </row>
    <row r="797" spans="2:23" ht="15.75" customHeight="1" x14ac:dyDescent="0.25">
      <c r="B797" s="10"/>
      <c r="C797" s="10"/>
      <c r="D797" s="49"/>
      <c r="E797" s="10"/>
      <c r="F797" s="10"/>
      <c r="G797" s="20"/>
      <c r="H797" s="20"/>
      <c r="I797" s="20"/>
      <c r="J797" s="20"/>
      <c r="K797" s="15"/>
      <c r="L797" s="1"/>
      <c r="M797" s="21"/>
      <c r="W797" s="2"/>
    </row>
    <row r="798" spans="2:23" ht="15.75" customHeight="1" x14ac:dyDescent="0.25">
      <c r="B798" s="10"/>
      <c r="C798" s="10"/>
      <c r="D798" s="49"/>
      <c r="E798" s="10"/>
      <c r="F798" s="10"/>
      <c r="G798" s="20"/>
      <c r="H798" s="20"/>
      <c r="I798" s="20"/>
      <c r="J798" s="20"/>
      <c r="K798" s="15"/>
      <c r="L798" s="1"/>
      <c r="M798" s="21"/>
      <c r="W798" s="2"/>
    </row>
    <row r="799" spans="2:23" ht="15.75" customHeight="1" x14ac:dyDescent="0.25">
      <c r="B799" s="10"/>
      <c r="C799" s="10"/>
      <c r="D799" s="49"/>
      <c r="E799" s="10"/>
      <c r="F799" s="10"/>
      <c r="G799" s="20"/>
      <c r="H799" s="20"/>
      <c r="I799" s="20"/>
      <c r="J799" s="20"/>
      <c r="K799" s="15"/>
      <c r="L799" s="1"/>
      <c r="M799" s="21"/>
      <c r="W799" s="2"/>
    </row>
    <row r="800" spans="2:23" ht="15.75" customHeight="1" x14ac:dyDescent="0.25">
      <c r="B800" s="10"/>
      <c r="C800" s="10"/>
      <c r="D800" s="49"/>
      <c r="E800" s="10"/>
      <c r="F800" s="10"/>
      <c r="G800" s="20"/>
      <c r="H800" s="20"/>
      <c r="I800" s="20"/>
      <c r="J800" s="20"/>
      <c r="K800" s="15"/>
      <c r="L800" s="1"/>
      <c r="M800" s="21"/>
      <c r="W800" s="2"/>
    </row>
    <row r="801" spans="2:23" ht="15.75" customHeight="1" x14ac:dyDescent="0.25">
      <c r="B801" s="10"/>
      <c r="C801" s="10"/>
      <c r="D801" s="49"/>
      <c r="E801" s="10"/>
      <c r="F801" s="10"/>
      <c r="G801" s="20"/>
      <c r="H801" s="20"/>
      <c r="I801" s="20"/>
      <c r="J801" s="20"/>
      <c r="K801" s="15"/>
      <c r="L801" s="1"/>
      <c r="M801" s="21"/>
      <c r="W801" s="2"/>
    </row>
    <row r="802" spans="2:23" ht="15.75" customHeight="1" x14ac:dyDescent="0.25">
      <c r="B802" s="10"/>
      <c r="C802" s="10"/>
      <c r="D802" s="49"/>
      <c r="E802" s="10"/>
      <c r="F802" s="10"/>
      <c r="G802" s="20"/>
      <c r="H802" s="20"/>
      <c r="I802" s="20"/>
      <c r="J802" s="20"/>
      <c r="K802" s="15"/>
      <c r="L802" s="1"/>
      <c r="M802" s="21"/>
      <c r="W802" s="2"/>
    </row>
    <row r="803" spans="2:23" ht="15.75" customHeight="1" x14ac:dyDescent="0.25">
      <c r="B803" s="10"/>
      <c r="C803" s="10"/>
      <c r="D803" s="49"/>
      <c r="E803" s="10"/>
      <c r="F803" s="10"/>
      <c r="G803" s="20"/>
      <c r="H803" s="20"/>
      <c r="I803" s="20"/>
      <c r="J803" s="20"/>
      <c r="K803" s="15"/>
      <c r="L803" s="1"/>
      <c r="M803" s="21"/>
      <c r="W803" s="2"/>
    </row>
    <row r="804" spans="2:23" ht="15.75" customHeight="1" x14ac:dyDescent="0.25">
      <c r="B804" s="10"/>
      <c r="C804" s="10"/>
      <c r="D804" s="49"/>
      <c r="E804" s="10"/>
      <c r="F804" s="10"/>
      <c r="G804" s="20"/>
      <c r="H804" s="20"/>
      <c r="I804" s="20"/>
      <c r="J804" s="20"/>
      <c r="K804" s="15"/>
      <c r="L804" s="1"/>
      <c r="M804" s="21"/>
      <c r="W804" s="2"/>
    </row>
    <row r="805" spans="2:23" ht="15.75" customHeight="1" x14ac:dyDescent="0.25">
      <c r="B805" s="10"/>
      <c r="C805" s="10"/>
      <c r="D805" s="49"/>
      <c r="E805" s="10"/>
      <c r="F805" s="10"/>
      <c r="G805" s="20"/>
      <c r="H805" s="20"/>
      <c r="I805" s="20"/>
      <c r="J805" s="20"/>
      <c r="K805" s="15"/>
      <c r="L805" s="1"/>
      <c r="M805" s="21"/>
      <c r="W805" s="2"/>
    </row>
    <row r="806" spans="2:23" ht="15.75" customHeight="1" x14ac:dyDescent="0.25">
      <c r="B806" s="10"/>
      <c r="C806" s="10"/>
      <c r="D806" s="49"/>
      <c r="E806" s="10"/>
      <c r="F806" s="10"/>
      <c r="G806" s="20"/>
      <c r="H806" s="20"/>
      <c r="I806" s="20"/>
      <c r="J806" s="20"/>
      <c r="K806" s="15"/>
      <c r="L806" s="1"/>
      <c r="M806" s="21"/>
      <c r="W806" s="2"/>
    </row>
    <row r="807" spans="2:23" ht="15.75" customHeight="1" x14ac:dyDescent="0.25">
      <c r="B807" s="10"/>
      <c r="C807" s="10"/>
      <c r="D807" s="49"/>
      <c r="E807" s="10"/>
      <c r="F807" s="10"/>
      <c r="G807" s="20"/>
      <c r="H807" s="20"/>
      <c r="I807" s="20"/>
      <c r="J807" s="20"/>
      <c r="K807" s="15"/>
      <c r="L807" s="1"/>
      <c r="M807" s="21"/>
      <c r="W807" s="2"/>
    </row>
    <row r="808" spans="2:23" ht="15.75" customHeight="1" x14ac:dyDescent="0.25">
      <c r="B808" s="10"/>
      <c r="C808" s="10"/>
      <c r="D808" s="49"/>
      <c r="E808" s="10"/>
      <c r="F808" s="10"/>
      <c r="G808" s="20"/>
      <c r="H808" s="20"/>
      <c r="I808" s="20"/>
      <c r="J808" s="20"/>
      <c r="K808" s="15"/>
      <c r="L808" s="1"/>
      <c r="M808" s="21"/>
      <c r="W808" s="2"/>
    </row>
    <row r="809" spans="2:23" ht="15.75" customHeight="1" x14ac:dyDescent="0.25">
      <c r="B809" s="10"/>
      <c r="C809" s="10"/>
      <c r="D809" s="49"/>
      <c r="E809" s="10"/>
      <c r="F809" s="10"/>
      <c r="G809" s="20"/>
      <c r="H809" s="20"/>
      <c r="I809" s="20"/>
      <c r="J809" s="20"/>
      <c r="K809" s="15"/>
      <c r="L809" s="1"/>
      <c r="M809" s="21"/>
      <c r="W809" s="2"/>
    </row>
    <row r="810" spans="2:23" ht="15.75" customHeight="1" x14ac:dyDescent="0.25">
      <c r="B810" s="10"/>
      <c r="C810" s="10"/>
      <c r="D810" s="49"/>
      <c r="E810" s="10"/>
      <c r="F810" s="10"/>
      <c r="G810" s="20"/>
      <c r="H810" s="20"/>
      <c r="I810" s="20"/>
      <c r="J810" s="20"/>
      <c r="K810" s="15"/>
      <c r="L810" s="1"/>
      <c r="M810" s="21"/>
      <c r="W810" s="2"/>
    </row>
    <row r="811" spans="2:23" ht="15.75" customHeight="1" x14ac:dyDescent="0.25">
      <c r="B811" s="10"/>
      <c r="C811" s="10"/>
      <c r="D811" s="49"/>
      <c r="E811" s="10"/>
      <c r="F811" s="10"/>
      <c r="G811" s="20"/>
      <c r="H811" s="20"/>
      <c r="I811" s="20"/>
      <c r="J811" s="20"/>
      <c r="K811" s="15"/>
      <c r="L811" s="1"/>
      <c r="M811" s="21"/>
      <c r="W811" s="2"/>
    </row>
    <row r="812" spans="2:23" ht="15.75" customHeight="1" x14ac:dyDescent="0.25">
      <c r="B812" s="10"/>
      <c r="C812" s="10"/>
      <c r="D812" s="49"/>
      <c r="E812" s="10"/>
      <c r="F812" s="10"/>
      <c r="G812" s="20"/>
      <c r="H812" s="20"/>
      <c r="I812" s="20"/>
      <c r="J812" s="20"/>
      <c r="K812" s="15"/>
      <c r="L812" s="1"/>
      <c r="M812" s="21"/>
      <c r="W812" s="2"/>
    </row>
    <row r="813" spans="2:23" ht="15.75" customHeight="1" x14ac:dyDescent="0.25">
      <c r="B813" s="10"/>
      <c r="C813" s="10"/>
      <c r="D813" s="49"/>
      <c r="E813" s="10"/>
      <c r="F813" s="10"/>
      <c r="G813" s="20"/>
      <c r="H813" s="20"/>
      <c r="I813" s="20"/>
      <c r="J813" s="20"/>
      <c r="K813" s="15"/>
      <c r="L813" s="1"/>
      <c r="M813" s="21"/>
      <c r="W813" s="2"/>
    </row>
    <row r="814" spans="2:23" ht="15.75" customHeight="1" x14ac:dyDescent="0.25">
      <c r="B814" s="10"/>
      <c r="C814" s="10"/>
      <c r="D814" s="49"/>
      <c r="E814" s="10"/>
      <c r="F814" s="10"/>
      <c r="G814" s="20"/>
      <c r="H814" s="20"/>
      <c r="I814" s="20"/>
      <c r="J814" s="20"/>
      <c r="K814" s="15"/>
      <c r="L814" s="1"/>
      <c r="M814" s="21"/>
      <c r="W814" s="2"/>
    </row>
    <row r="815" spans="2:23" ht="15.75" customHeight="1" x14ac:dyDescent="0.25">
      <c r="B815" s="10"/>
      <c r="C815" s="10"/>
      <c r="D815" s="49"/>
      <c r="E815" s="10"/>
      <c r="F815" s="10"/>
      <c r="G815" s="20"/>
      <c r="H815" s="20"/>
      <c r="I815" s="20"/>
      <c r="J815" s="20"/>
      <c r="K815" s="15"/>
      <c r="L815" s="1"/>
      <c r="M815" s="21"/>
      <c r="W815" s="2"/>
    </row>
    <row r="816" spans="2:23" ht="15.75" customHeight="1" x14ac:dyDescent="0.25">
      <c r="B816" s="10"/>
      <c r="C816" s="10"/>
      <c r="D816" s="49"/>
      <c r="E816" s="10"/>
      <c r="F816" s="10"/>
      <c r="G816" s="20"/>
      <c r="H816" s="20"/>
      <c r="I816" s="20"/>
      <c r="J816" s="20"/>
      <c r="K816" s="15"/>
      <c r="L816" s="1"/>
      <c r="M816" s="21"/>
      <c r="W816" s="2"/>
    </row>
    <row r="817" spans="2:23" ht="15.75" customHeight="1" x14ac:dyDescent="0.25">
      <c r="B817" s="10"/>
      <c r="C817" s="10"/>
      <c r="D817" s="49"/>
      <c r="E817" s="10"/>
      <c r="F817" s="10"/>
      <c r="G817" s="20"/>
      <c r="H817" s="20"/>
      <c r="I817" s="20"/>
      <c r="J817" s="20"/>
      <c r="K817" s="15"/>
      <c r="L817" s="1"/>
      <c r="M817" s="21"/>
      <c r="W817" s="2"/>
    </row>
    <row r="818" spans="2:23" ht="15.75" customHeight="1" x14ac:dyDescent="0.25">
      <c r="B818" s="10"/>
      <c r="C818" s="10"/>
      <c r="D818" s="49"/>
      <c r="E818" s="10"/>
      <c r="F818" s="10"/>
      <c r="G818" s="20"/>
      <c r="H818" s="20"/>
      <c r="I818" s="20"/>
      <c r="J818" s="20"/>
      <c r="K818" s="15"/>
      <c r="L818" s="1"/>
      <c r="M818" s="21"/>
      <c r="W818" s="2"/>
    </row>
    <row r="819" spans="2:23" ht="15.75" customHeight="1" x14ac:dyDescent="0.25">
      <c r="B819" s="10"/>
      <c r="C819" s="10"/>
      <c r="D819" s="49"/>
      <c r="E819" s="10"/>
      <c r="F819" s="10"/>
      <c r="G819" s="20"/>
      <c r="H819" s="20"/>
      <c r="I819" s="20"/>
      <c r="J819" s="20"/>
      <c r="K819" s="15"/>
      <c r="L819" s="1"/>
      <c r="M819" s="21"/>
      <c r="W819" s="2"/>
    </row>
    <row r="820" spans="2:23" ht="15.75" customHeight="1" x14ac:dyDescent="0.25">
      <c r="B820" s="10"/>
      <c r="C820" s="10"/>
      <c r="D820" s="49"/>
      <c r="E820" s="10"/>
      <c r="F820" s="10"/>
      <c r="G820" s="20"/>
      <c r="H820" s="20"/>
      <c r="I820" s="20"/>
      <c r="J820" s="20"/>
      <c r="K820" s="15"/>
      <c r="L820" s="1"/>
      <c r="M820" s="21"/>
      <c r="W820" s="2"/>
    </row>
    <row r="821" spans="2:23" ht="15.75" customHeight="1" x14ac:dyDescent="0.25">
      <c r="B821" s="10"/>
      <c r="C821" s="10"/>
      <c r="D821" s="49"/>
      <c r="E821" s="10"/>
      <c r="F821" s="10"/>
      <c r="G821" s="20"/>
      <c r="H821" s="20"/>
      <c r="I821" s="20"/>
      <c r="J821" s="20"/>
      <c r="K821" s="15"/>
      <c r="L821" s="1"/>
      <c r="M821" s="21"/>
      <c r="W821" s="2"/>
    </row>
    <row r="822" spans="2:23" ht="15.75" customHeight="1" x14ac:dyDescent="0.25">
      <c r="B822" s="10"/>
      <c r="C822" s="10"/>
      <c r="D822" s="49"/>
      <c r="E822" s="10"/>
      <c r="F822" s="10"/>
      <c r="G822" s="20"/>
      <c r="H822" s="20"/>
      <c r="I822" s="20"/>
      <c r="J822" s="20"/>
      <c r="K822" s="15"/>
      <c r="L822" s="1"/>
      <c r="M822" s="21"/>
      <c r="W822" s="2"/>
    </row>
    <row r="823" spans="2:23" ht="15.75" customHeight="1" x14ac:dyDescent="0.25">
      <c r="B823" s="10"/>
      <c r="C823" s="10"/>
      <c r="D823" s="49"/>
      <c r="E823" s="10"/>
      <c r="F823" s="10"/>
      <c r="G823" s="20"/>
      <c r="H823" s="20"/>
      <c r="I823" s="20"/>
      <c r="J823" s="20"/>
      <c r="K823" s="15"/>
      <c r="L823" s="1"/>
      <c r="M823" s="21"/>
      <c r="W823" s="2"/>
    </row>
    <row r="824" spans="2:23" ht="15.75" customHeight="1" x14ac:dyDescent="0.25">
      <c r="B824" s="10"/>
      <c r="C824" s="10"/>
      <c r="D824" s="49"/>
      <c r="E824" s="10"/>
      <c r="F824" s="10"/>
      <c r="G824" s="20"/>
      <c r="H824" s="20"/>
      <c r="I824" s="20"/>
      <c r="J824" s="20"/>
      <c r="K824" s="15"/>
      <c r="L824" s="1"/>
      <c r="M824" s="21"/>
      <c r="W824" s="2"/>
    </row>
    <row r="825" spans="2:23" ht="15.75" customHeight="1" x14ac:dyDescent="0.25">
      <c r="B825" s="10"/>
      <c r="C825" s="10"/>
      <c r="D825" s="49"/>
      <c r="E825" s="10"/>
      <c r="F825" s="10"/>
      <c r="G825" s="20"/>
      <c r="H825" s="20"/>
      <c r="I825" s="20"/>
      <c r="J825" s="20"/>
      <c r="K825" s="15"/>
      <c r="L825" s="1"/>
      <c r="M825" s="21"/>
      <c r="W825" s="2"/>
    </row>
    <row r="826" spans="2:23" ht="15.75" customHeight="1" x14ac:dyDescent="0.25">
      <c r="B826" s="10"/>
      <c r="C826" s="10"/>
      <c r="D826" s="49"/>
      <c r="E826" s="10"/>
      <c r="F826" s="10"/>
      <c r="G826" s="20"/>
      <c r="H826" s="20"/>
      <c r="I826" s="20"/>
      <c r="J826" s="20"/>
      <c r="K826" s="15"/>
      <c r="L826" s="1"/>
      <c r="M826" s="21"/>
      <c r="W826" s="2"/>
    </row>
    <row r="827" spans="2:23" ht="15.75" customHeight="1" x14ac:dyDescent="0.25">
      <c r="B827" s="10"/>
      <c r="C827" s="10"/>
      <c r="D827" s="49"/>
      <c r="E827" s="10"/>
      <c r="F827" s="10"/>
      <c r="G827" s="20"/>
      <c r="H827" s="20"/>
      <c r="I827" s="20"/>
      <c r="J827" s="20"/>
      <c r="K827" s="15"/>
      <c r="L827" s="1"/>
      <c r="M827" s="21"/>
      <c r="W827" s="2"/>
    </row>
    <row r="828" spans="2:23" ht="15.75" customHeight="1" x14ac:dyDescent="0.25">
      <c r="B828" s="10"/>
      <c r="C828" s="10"/>
      <c r="D828" s="49"/>
      <c r="E828" s="10"/>
      <c r="F828" s="10"/>
      <c r="G828" s="20"/>
      <c r="H828" s="20"/>
      <c r="I828" s="20"/>
      <c r="J828" s="20"/>
      <c r="K828" s="15"/>
      <c r="L828" s="1"/>
      <c r="M828" s="21"/>
      <c r="W828" s="2"/>
    </row>
    <row r="829" spans="2:23" ht="15.75" customHeight="1" x14ac:dyDescent="0.25">
      <c r="B829" s="10"/>
      <c r="C829" s="10"/>
      <c r="D829" s="49"/>
      <c r="E829" s="10"/>
      <c r="F829" s="10"/>
      <c r="G829" s="20"/>
      <c r="H829" s="20"/>
      <c r="I829" s="20"/>
      <c r="J829" s="20"/>
      <c r="K829" s="15"/>
      <c r="L829" s="1"/>
      <c r="M829" s="21"/>
      <c r="W829" s="2"/>
    </row>
    <row r="830" spans="2:23" ht="15.75" customHeight="1" x14ac:dyDescent="0.25">
      <c r="B830" s="10"/>
      <c r="C830" s="10"/>
      <c r="D830" s="49"/>
      <c r="E830" s="10"/>
      <c r="F830" s="10"/>
      <c r="G830" s="20"/>
      <c r="H830" s="20"/>
      <c r="I830" s="20"/>
      <c r="J830" s="20"/>
      <c r="K830" s="15"/>
      <c r="L830" s="1"/>
      <c r="M830" s="21"/>
      <c r="W830" s="2"/>
    </row>
    <row r="831" spans="2:23" ht="15.75" customHeight="1" x14ac:dyDescent="0.25">
      <c r="B831" s="10"/>
      <c r="C831" s="10"/>
      <c r="D831" s="49"/>
      <c r="E831" s="10"/>
      <c r="F831" s="10"/>
      <c r="G831" s="20"/>
      <c r="H831" s="20"/>
      <c r="I831" s="20"/>
      <c r="J831" s="20"/>
      <c r="K831" s="15"/>
      <c r="L831" s="1"/>
      <c r="M831" s="21"/>
      <c r="W831" s="2"/>
    </row>
    <row r="832" spans="2:23" ht="15.75" customHeight="1" x14ac:dyDescent="0.25">
      <c r="B832" s="10"/>
      <c r="C832" s="10"/>
      <c r="D832" s="49"/>
      <c r="E832" s="10"/>
      <c r="F832" s="10"/>
      <c r="G832" s="20"/>
      <c r="H832" s="20"/>
      <c r="I832" s="20"/>
      <c r="J832" s="20"/>
      <c r="K832" s="15"/>
      <c r="L832" s="1"/>
      <c r="M832" s="21"/>
      <c r="W832" s="2"/>
    </row>
    <row r="833" spans="2:23" ht="15.75" customHeight="1" x14ac:dyDescent="0.25">
      <c r="B833" s="10"/>
      <c r="C833" s="10"/>
      <c r="D833" s="49"/>
      <c r="E833" s="10"/>
      <c r="F833" s="10"/>
      <c r="G833" s="20"/>
      <c r="H833" s="20"/>
      <c r="I833" s="20"/>
      <c r="J833" s="20"/>
      <c r="K833" s="15"/>
      <c r="L833" s="1"/>
      <c r="M833" s="21"/>
      <c r="W833" s="2"/>
    </row>
    <row r="834" spans="2:23" ht="15.75" customHeight="1" x14ac:dyDescent="0.25">
      <c r="B834" s="10"/>
      <c r="C834" s="10"/>
      <c r="D834" s="49"/>
      <c r="E834" s="10"/>
      <c r="F834" s="10"/>
      <c r="G834" s="20"/>
      <c r="H834" s="20"/>
      <c r="I834" s="20"/>
      <c r="J834" s="20"/>
      <c r="K834" s="15"/>
      <c r="L834" s="1"/>
      <c r="M834" s="21"/>
      <c r="W834" s="2"/>
    </row>
    <row r="835" spans="2:23" ht="15.75" customHeight="1" x14ac:dyDescent="0.25">
      <c r="B835" s="10"/>
      <c r="C835" s="10"/>
      <c r="D835" s="49"/>
      <c r="E835" s="10"/>
      <c r="F835" s="10"/>
      <c r="G835" s="20"/>
      <c r="H835" s="20"/>
      <c r="I835" s="20"/>
      <c r="J835" s="20"/>
      <c r="K835" s="15"/>
      <c r="L835" s="1"/>
      <c r="M835" s="21"/>
      <c r="W835" s="2"/>
    </row>
    <row r="836" spans="2:23" ht="15.75" customHeight="1" x14ac:dyDescent="0.25">
      <c r="B836" s="10"/>
      <c r="C836" s="10"/>
      <c r="D836" s="16"/>
      <c r="E836" s="10"/>
      <c r="F836" s="10"/>
      <c r="G836" s="20"/>
      <c r="H836" s="20"/>
      <c r="I836" s="20"/>
      <c r="J836" s="20"/>
      <c r="K836" s="15"/>
      <c r="L836" s="1"/>
      <c r="M836" s="21"/>
      <c r="W836" s="2"/>
    </row>
    <row r="837" spans="2:23" ht="15.75" customHeight="1" x14ac:dyDescent="0.25">
      <c r="B837" s="10"/>
      <c r="C837" s="10"/>
      <c r="D837" s="16"/>
      <c r="E837" s="10"/>
      <c r="F837" s="10"/>
      <c r="G837" s="20"/>
      <c r="H837" s="20"/>
      <c r="I837" s="20"/>
      <c r="J837" s="20"/>
      <c r="K837" s="15"/>
      <c r="L837" s="1"/>
      <c r="M837" s="21"/>
      <c r="W837" s="2"/>
    </row>
    <row r="838" spans="2:23" ht="15.75" customHeight="1" x14ac:dyDescent="0.25">
      <c r="B838" s="10"/>
      <c r="C838" s="10"/>
      <c r="D838" s="16"/>
      <c r="E838" s="10"/>
      <c r="F838" s="10"/>
      <c r="G838" s="20"/>
      <c r="H838" s="20"/>
      <c r="I838" s="20"/>
      <c r="J838" s="20"/>
      <c r="K838" s="15"/>
      <c r="L838" s="1"/>
      <c r="M838" s="21"/>
      <c r="W838" s="2"/>
    </row>
    <row r="839" spans="2:23" ht="15.75" customHeight="1" x14ac:dyDescent="0.25">
      <c r="B839" s="10"/>
      <c r="C839" s="10"/>
      <c r="D839" s="16"/>
      <c r="E839" s="10"/>
      <c r="F839" s="10"/>
      <c r="G839" s="20"/>
      <c r="H839" s="20"/>
      <c r="I839" s="20"/>
      <c r="J839" s="20"/>
      <c r="K839" s="15"/>
      <c r="L839" s="1"/>
      <c r="M839" s="21"/>
      <c r="W839" s="2"/>
    </row>
    <row r="840" spans="2:23" ht="15.75" customHeight="1" x14ac:dyDescent="0.25">
      <c r="B840" s="10"/>
      <c r="C840" s="10"/>
      <c r="D840" s="16"/>
      <c r="E840" s="10"/>
      <c r="F840" s="10"/>
      <c r="G840" s="20"/>
      <c r="H840" s="20"/>
      <c r="I840" s="20"/>
      <c r="J840" s="20"/>
      <c r="K840" s="15"/>
      <c r="L840" s="1"/>
      <c r="M840" s="21"/>
      <c r="W840" s="2"/>
    </row>
    <row r="841" spans="2:23" ht="15.75" customHeight="1" x14ac:dyDescent="0.25">
      <c r="B841" s="10"/>
      <c r="C841" s="10"/>
      <c r="D841" s="16"/>
      <c r="E841" s="10"/>
      <c r="F841" s="10"/>
      <c r="G841" s="20"/>
      <c r="H841" s="20"/>
      <c r="I841" s="20"/>
      <c r="J841" s="20"/>
      <c r="K841" s="15"/>
      <c r="L841" s="1"/>
      <c r="M841" s="21"/>
      <c r="W841" s="2"/>
    </row>
    <row r="842" spans="2:23" ht="15.75" customHeight="1" x14ac:dyDescent="0.25">
      <c r="B842" s="10"/>
      <c r="C842" s="10"/>
      <c r="D842" s="16"/>
      <c r="E842" s="10"/>
      <c r="F842" s="10"/>
      <c r="G842" s="20"/>
      <c r="H842" s="20"/>
      <c r="I842" s="20"/>
      <c r="J842" s="20"/>
      <c r="K842" s="15"/>
      <c r="L842" s="1"/>
      <c r="M842" s="21"/>
      <c r="W842" s="2"/>
    </row>
    <row r="843" spans="2:23" ht="15.75" customHeight="1" x14ac:dyDescent="0.25">
      <c r="B843" s="10"/>
      <c r="C843" s="10"/>
      <c r="D843" s="16"/>
      <c r="E843" s="10"/>
      <c r="F843" s="10"/>
      <c r="G843" s="20"/>
      <c r="H843" s="20"/>
      <c r="I843" s="20"/>
      <c r="J843" s="20"/>
      <c r="K843" s="15"/>
      <c r="L843" s="1"/>
      <c r="M843" s="21"/>
      <c r="W843" s="2"/>
    </row>
    <row r="844" spans="2:23" ht="15.75" customHeight="1" x14ac:dyDescent="0.25">
      <c r="B844" s="10"/>
      <c r="C844" s="10"/>
      <c r="D844" s="16"/>
      <c r="E844" s="10"/>
      <c r="F844" s="10"/>
      <c r="G844" s="20"/>
      <c r="H844" s="20"/>
      <c r="I844" s="20"/>
      <c r="J844" s="20"/>
      <c r="K844" s="15"/>
      <c r="L844" s="1"/>
      <c r="M844" s="21"/>
      <c r="W844" s="2"/>
    </row>
    <row r="845" spans="2:23" ht="15.75" customHeight="1" x14ac:dyDescent="0.25">
      <c r="B845" s="10"/>
      <c r="C845" s="10"/>
      <c r="D845" s="16"/>
      <c r="E845" s="10"/>
      <c r="F845" s="10"/>
      <c r="G845" s="20"/>
      <c r="H845" s="20"/>
      <c r="I845" s="20"/>
      <c r="J845" s="20"/>
      <c r="K845" s="15"/>
      <c r="L845" s="1"/>
      <c r="M845" s="21"/>
      <c r="W845" s="2"/>
    </row>
    <row r="846" spans="2:23" ht="15.75" customHeight="1" x14ac:dyDescent="0.25">
      <c r="B846" s="10"/>
      <c r="C846" s="10"/>
      <c r="D846" s="16"/>
      <c r="E846" s="10"/>
      <c r="F846" s="10"/>
      <c r="G846" s="20"/>
      <c r="H846" s="20"/>
      <c r="I846" s="20"/>
      <c r="J846" s="20"/>
      <c r="K846" s="15"/>
      <c r="L846" s="1"/>
      <c r="M846" s="21"/>
      <c r="W846" s="2"/>
    </row>
    <row r="847" spans="2:23" ht="15.75" customHeight="1" x14ac:dyDescent="0.25">
      <c r="B847" s="10"/>
      <c r="C847" s="10"/>
      <c r="D847" s="16"/>
      <c r="E847" s="10"/>
      <c r="F847" s="10"/>
      <c r="G847" s="20"/>
      <c r="H847" s="20"/>
      <c r="I847" s="20"/>
      <c r="J847" s="20"/>
      <c r="K847" s="15"/>
      <c r="L847" s="1"/>
      <c r="M847" s="21"/>
      <c r="W847" s="2"/>
    </row>
    <row r="848" spans="2:23" ht="15.75" customHeight="1" x14ac:dyDescent="0.25">
      <c r="B848" s="10"/>
      <c r="C848" s="10"/>
      <c r="D848" s="16"/>
      <c r="E848" s="10"/>
      <c r="F848" s="10"/>
      <c r="G848" s="20"/>
      <c r="H848" s="20"/>
      <c r="I848" s="20"/>
      <c r="J848" s="20"/>
      <c r="K848" s="15"/>
      <c r="L848" s="1"/>
      <c r="M848" s="21"/>
      <c r="W848" s="2"/>
    </row>
    <row r="849" spans="2:23" ht="15.75" customHeight="1" x14ac:dyDescent="0.25">
      <c r="B849" s="10"/>
      <c r="C849" s="10"/>
      <c r="D849" s="16"/>
      <c r="E849" s="10"/>
      <c r="F849" s="10"/>
      <c r="G849" s="20"/>
      <c r="H849" s="20"/>
      <c r="I849" s="20"/>
      <c r="J849" s="20"/>
      <c r="K849" s="15"/>
      <c r="L849" s="1"/>
      <c r="M849" s="21"/>
      <c r="W849" s="2"/>
    </row>
    <row r="850" spans="2:23" ht="15.75" customHeight="1" x14ac:dyDescent="0.25">
      <c r="B850" s="10"/>
      <c r="C850" s="10"/>
      <c r="D850" s="16"/>
      <c r="E850" s="10"/>
      <c r="F850" s="10"/>
      <c r="G850" s="20"/>
      <c r="H850" s="20"/>
      <c r="I850" s="20"/>
      <c r="J850" s="20"/>
      <c r="K850" s="15"/>
      <c r="L850" s="1"/>
      <c r="M850" s="21"/>
      <c r="W850" s="2"/>
    </row>
    <row r="851" spans="2:23" ht="15.75" customHeight="1" x14ac:dyDescent="0.25">
      <c r="B851" s="10"/>
      <c r="C851" s="10"/>
      <c r="D851" s="16"/>
      <c r="E851" s="10"/>
      <c r="F851" s="10"/>
      <c r="G851" s="20"/>
      <c r="H851" s="20"/>
      <c r="I851" s="20"/>
      <c r="J851" s="20"/>
      <c r="K851" s="15"/>
      <c r="L851" s="1"/>
      <c r="M851" s="21"/>
      <c r="W851" s="2"/>
    </row>
    <row r="852" spans="2:23" ht="15.75" customHeight="1" x14ac:dyDescent="0.25">
      <c r="B852" s="10"/>
      <c r="C852" s="10"/>
      <c r="D852" s="16"/>
      <c r="E852" s="10"/>
      <c r="F852" s="10"/>
      <c r="G852" s="20"/>
      <c r="H852" s="20"/>
      <c r="I852" s="20"/>
      <c r="J852" s="20"/>
      <c r="K852" s="15"/>
      <c r="L852" s="1"/>
      <c r="M852" s="21"/>
      <c r="W852" s="2"/>
    </row>
    <row r="853" spans="2:23" ht="15.75" customHeight="1" x14ac:dyDescent="0.25">
      <c r="B853" s="10"/>
      <c r="C853" s="10"/>
      <c r="D853" s="16"/>
      <c r="E853" s="10"/>
      <c r="F853" s="10"/>
      <c r="G853" s="20"/>
      <c r="H853" s="20"/>
      <c r="I853" s="20"/>
      <c r="J853" s="20"/>
      <c r="K853" s="15"/>
      <c r="L853" s="1"/>
      <c r="M853" s="21"/>
      <c r="W853" s="2"/>
    </row>
    <row r="854" spans="2:23" ht="15.75" customHeight="1" x14ac:dyDescent="0.25">
      <c r="B854" s="10"/>
      <c r="C854" s="10"/>
      <c r="D854" s="16"/>
      <c r="E854" s="10"/>
      <c r="F854" s="10"/>
      <c r="G854" s="20"/>
      <c r="H854" s="20"/>
      <c r="I854" s="20"/>
      <c r="J854" s="20"/>
      <c r="K854" s="15"/>
      <c r="L854" s="1"/>
      <c r="M854" s="21"/>
      <c r="W854" s="2"/>
    </row>
    <row r="855" spans="2:23" ht="15.75" customHeight="1" x14ac:dyDescent="0.25">
      <c r="B855" s="10"/>
      <c r="C855" s="10"/>
      <c r="D855" s="16"/>
      <c r="E855" s="10"/>
      <c r="F855" s="10"/>
      <c r="G855" s="20"/>
      <c r="H855" s="20"/>
      <c r="I855" s="20"/>
      <c r="J855" s="20"/>
      <c r="K855" s="15"/>
      <c r="L855" s="1"/>
      <c r="M855" s="21"/>
      <c r="W855" s="2"/>
    </row>
    <row r="856" spans="2:23" ht="15.75" customHeight="1" x14ac:dyDescent="0.25">
      <c r="B856" s="10"/>
      <c r="C856" s="10"/>
      <c r="D856" s="16"/>
      <c r="E856" s="10"/>
      <c r="F856" s="10"/>
      <c r="G856" s="20"/>
      <c r="H856" s="20"/>
      <c r="I856" s="20"/>
      <c r="J856" s="20"/>
      <c r="K856" s="15"/>
      <c r="L856" s="1"/>
      <c r="M856" s="21"/>
      <c r="W856" s="2"/>
    </row>
    <row r="857" spans="2:23" ht="15.75" customHeight="1" x14ac:dyDescent="0.25">
      <c r="B857" s="10"/>
      <c r="C857" s="10"/>
      <c r="D857" s="16"/>
      <c r="E857" s="10"/>
      <c r="F857" s="10"/>
      <c r="G857" s="20"/>
      <c r="H857" s="20"/>
      <c r="I857" s="20"/>
      <c r="J857" s="20"/>
      <c r="K857" s="15"/>
      <c r="L857" s="1"/>
      <c r="M857" s="21"/>
      <c r="W857" s="2"/>
    </row>
    <row r="858" spans="2:23" ht="15.75" customHeight="1" x14ac:dyDescent="0.25">
      <c r="B858" s="10"/>
      <c r="C858" s="10"/>
      <c r="D858" s="16"/>
      <c r="E858" s="10"/>
      <c r="F858" s="10"/>
      <c r="G858" s="20"/>
      <c r="H858" s="20"/>
      <c r="I858" s="20"/>
      <c r="J858" s="20"/>
      <c r="K858" s="15"/>
      <c r="L858" s="1"/>
      <c r="M858" s="21"/>
      <c r="W858" s="2"/>
    </row>
    <row r="859" spans="2:23" ht="15.75" customHeight="1" x14ac:dyDescent="0.25">
      <c r="B859" s="10"/>
      <c r="C859" s="10"/>
      <c r="D859" s="16"/>
      <c r="E859" s="10"/>
      <c r="F859" s="10"/>
      <c r="G859" s="20"/>
      <c r="H859" s="20"/>
      <c r="I859" s="20"/>
      <c r="J859" s="20"/>
      <c r="K859" s="15"/>
      <c r="L859" s="1"/>
      <c r="M859" s="21"/>
      <c r="W859" s="2"/>
    </row>
    <row r="860" spans="2:23" ht="15.75" customHeight="1" x14ac:dyDescent="0.25">
      <c r="B860" s="10"/>
      <c r="C860" s="10"/>
      <c r="D860" s="16"/>
      <c r="E860" s="10"/>
      <c r="F860" s="10"/>
      <c r="G860" s="20"/>
      <c r="H860" s="20"/>
      <c r="I860" s="20"/>
      <c r="J860" s="20"/>
      <c r="K860" s="15"/>
      <c r="L860" s="1"/>
      <c r="M860" s="21"/>
      <c r="W860" s="2"/>
    </row>
    <row r="861" spans="2:23" ht="15.75" customHeight="1" x14ac:dyDescent="0.25">
      <c r="B861" s="10"/>
      <c r="C861" s="10"/>
      <c r="D861" s="16"/>
      <c r="E861" s="10"/>
      <c r="F861" s="10"/>
      <c r="G861" s="20"/>
      <c r="H861" s="20"/>
      <c r="I861" s="20"/>
      <c r="J861" s="20"/>
      <c r="K861" s="15"/>
      <c r="L861" s="1"/>
      <c r="M861" s="21"/>
      <c r="W861" s="2"/>
    </row>
    <row r="862" spans="2:23" ht="15.75" customHeight="1" x14ac:dyDescent="0.25">
      <c r="B862" s="10"/>
      <c r="C862" s="10"/>
      <c r="D862" s="16"/>
      <c r="E862" s="10"/>
      <c r="F862" s="10"/>
      <c r="G862" s="20"/>
      <c r="H862" s="20"/>
      <c r="I862" s="20"/>
      <c r="J862" s="20"/>
      <c r="K862" s="15"/>
      <c r="L862" s="1"/>
      <c r="M862" s="21"/>
      <c r="W862" s="2"/>
    </row>
    <row r="863" spans="2:23" ht="15.75" customHeight="1" x14ac:dyDescent="0.25">
      <c r="B863" s="10"/>
      <c r="C863" s="10"/>
      <c r="D863" s="16"/>
      <c r="E863" s="10"/>
      <c r="F863" s="10"/>
      <c r="G863" s="20"/>
      <c r="H863" s="20"/>
      <c r="I863" s="20"/>
      <c r="J863" s="20"/>
      <c r="K863" s="15"/>
      <c r="L863" s="1"/>
      <c r="M863" s="21"/>
      <c r="W863" s="2"/>
    </row>
    <row r="864" spans="2:23" ht="15.75" customHeight="1" x14ac:dyDescent="0.25">
      <c r="B864" s="10"/>
      <c r="C864" s="10"/>
      <c r="D864" s="16"/>
      <c r="E864" s="10"/>
      <c r="F864" s="10"/>
      <c r="G864" s="20"/>
      <c r="H864" s="20"/>
      <c r="I864" s="20"/>
      <c r="J864" s="20"/>
      <c r="K864" s="15"/>
      <c r="L864" s="1"/>
      <c r="M864" s="21"/>
      <c r="W864" s="2"/>
    </row>
    <row r="865" spans="2:23" ht="15.75" customHeight="1" x14ac:dyDescent="0.25">
      <c r="B865" s="10"/>
      <c r="C865" s="10"/>
      <c r="D865" s="16"/>
      <c r="E865" s="10"/>
      <c r="F865" s="10"/>
      <c r="G865" s="20"/>
      <c r="H865" s="20"/>
      <c r="I865" s="20"/>
      <c r="J865" s="20"/>
      <c r="K865" s="15"/>
      <c r="L865" s="1"/>
      <c r="M865" s="21"/>
      <c r="W865" s="2"/>
    </row>
    <row r="866" spans="2:23" ht="15.75" customHeight="1" x14ac:dyDescent="0.25">
      <c r="B866" s="10"/>
      <c r="C866" s="10"/>
      <c r="D866" s="16"/>
      <c r="E866" s="10"/>
      <c r="F866" s="10"/>
      <c r="G866" s="20"/>
      <c r="H866" s="20"/>
      <c r="I866" s="20"/>
      <c r="J866" s="20"/>
      <c r="K866" s="15"/>
      <c r="L866" s="1"/>
      <c r="M866" s="21"/>
      <c r="W866" s="2"/>
    </row>
    <row r="867" spans="2:23" ht="15.75" customHeight="1" x14ac:dyDescent="0.25">
      <c r="B867" s="10"/>
      <c r="C867" s="10"/>
      <c r="D867" s="16"/>
      <c r="E867" s="10"/>
      <c r="F867" s="10"/>
      <c r="G867" s="20"/>
      <c r="H867" s="20"/>
      <c r="I867" s="20"/>
      <c r="J867" s="20"/>
      <c r="K867" s="15"/>
      <c r="L867" s="1"/>
      <c r="M867" s="21"/>
      <c r="W867" s="2"/>
    </row>
    <row r="868" spans="2:23" ht="15.75" customHeight="1" x14ac:dyDescent="0.25">
      <c r="B868" s="10"/>
      <c r="C868" s="10"/>
      <c r="D868" s="16"/>
      <c r="E868" s="10"/>
      <c r="F868" s="10"/>
      <c r="G868" s="20"/>
      <c r="H868" s="20"/>
      <c r="I868" s="20"/>
      <c r="J868" s="20"/>
      <c r="K868" s="15"/>
      <c r="L868" s="1"/>
      <c r="M868" s="21"/>
      <c r="W868" s="2"/>
    </row>
    <row r="869" spans="2:23" ht="15.75" customHeight="1" x14ac:dyDescent="0.25">
      <c r="B869" s="10"/>
      <c r="C869" s="10"/>
      <c r="D869" s="16"/>
      <c r="E869" s="10"/>
      <c r="F869" s="10"/>
      <c r="G869" s="20"/>
      <c r="H869" s="20"/>
      <c r="I869" s="20"/>
      <c r="J869" s="20"/>
      <c r="K869" s="15"/>
      <c r="L869" s="1"/>
      <c r="M869" s="21"/>
      <c r="W869" s="2"/>
    </row>
    <row r="870" spans="2:23" ht="15.75" customHeight="1" x14ac:dyDescent="0.25">
      <c r="B870" s="10"/>
      <c r="C870" s="10"/>
      <c r="D870" s="16"/>
      <c r="E870" s="10"/>
      <c r="F870" s="10"/>
      <c r="G870" s="20"/>
      <c r="H870" s="20"/>
      <c r="I870" s="20"/>
      <c r="J870" s="20"/>
      <c r="K870" s="15"/>
      <c r="L870" s="1"/>
      <c r="M870" s="21"/>
      <c r="W870" s="2"/>
    </row>
    <row r="871" spans="2:23" ht="15.75" customHeight="1" x14ac:dyDescent="0.25">
      <c r="B871" s="10"/>
      <c r="C871" s="10"/>
      <c r="D871" s="16"/>
      <c r="E871" s="10"/>
      <c r="F871" s="10"/>
      <c r="G871" s="20"/>
      <c r="H871" s="20"/>
      <c r="I871" s="20"/>
      <c r="J871" s="20"/>
      <c r="K871" s="15"/>
      <c r="L871" s="1"/>
      <c r="M871" s="21"/>
      <c r="W871" s="2"/>
    </row>
    <row r="872" spans="2:23" ht="15.75" customHeight="1" x14ac:dyDescent="0.25">
      <c r="B872" s="10"/>
      <c r="C872" s="10"/>
      <c r="D872" s="16"/>
      <c r="E872" s="10"/>
      <c r="F872" s="10"/>
      <c r="G872" s="20"/>
      <c r="H872" s="20"/>
      <c r="I872" s="20"/>
      <c r="J872" s="20"/>
      <c r="K872" s="15"/>
      <c r="L872" s="1"/>
      <c r="M872" s="21"/>
      <c r="W872" s="2"/>
    </row>
    <row r="873" spans="2:23" ht="15.75" customHeight="1" x14ac:dyDescent="0.25">
      <c r="B873" s="10"/>
      <c r="C873" s="10"/>
      <c r="D873" s="16"/>
      <c r="E873" s="10"/>
      <c r="F873" s="10"/>
      <c r="G873" s="20"/>
      <c r="H873" s="20"/>
      <c r="I873" s="20"/>
      <c r="J873" s="20"/>
      <c r="K873" s="15"/>
      <c r="L873" s="1"/>
      <c r="M873" s="21"/>
      <c r="W873" s="2"/>
    </row>
    <row r="874" spans="2:23" ht="15.75" customHeight="1" x14ac:dyDescent="0.25">
      <c r="B874" s="10"/>
      <c r="C874" s="10"/>
      <c r="D874" s="16"/>
      <c r="E874" s="10"/>
      <c r="F874" s="10"/>
      <c r="G874" s="20"/>
      <c r="H874" s="20"/>
      <c r="I874" s="20"/>
      <c r="J874" s="20"/>
      <c r="K874" s="15"/>
      <c r="L874" s="1"/>
      <c r="M874" s="21"/>
      <c r="W874" s="2"/>
    </row>
    <row r="875" spans="2:23" ht="15.75" customHeight="1" x14ac:dyDescent="0.25">
      <c r="B875" s="10"/>
      <c r="C875" s="10"/>
      <c r="D875" s="16"/>
      <c r="E875" s="10"/>
      <c r="F875" s="10"/>
      <c r="G875" s="20"/>
      <c r="H875" s="20"/>
      <c r="I875" s="20"/>
      <c r="J875" s="20"/>
      <c r="K875" s="15"/>
      <c r="L875" s="1"/>
      <c r="M875" s="21"/>
      <c r="W875" s="2"/>
    </row>
    <row r="876" spans="2:23" ht="15.75" customHeight="1" x14ac:dyDescent="0.25">
      <c r="B876" s="10"/>
      <c r="C876" s="10"/>
      <c r="D876" s="16"/>
      <c r="E876" s="10"/>
      <c r="F876" s="10"/>
      <c r="G876" s="20"/>
      <c r="H876" s="20"/>
      <c r="I876" s="20"/>
      <c r="J876" s="20"/>
      <c r="K876" s="15"/>
      <c r="L876" s="1"/>
      <c r="M876" s="21"/>
      <c r="W876" s="2"/>
    </row>
    <row r="877" spans="2:23" ht="15.75" customHeight="1" x14ac:dyDescent="0.25">
      <c r="B877" s="10"/>
      <c r="C877" s="10"/>
      <c r="D877" s="16"/>
      <c r="E877" s="10"/>
      <c r="F877" s="10"/>
      <c r="G877" s="20"/>
      <c r="H877" s="20"/>
      <c r="I877" s="20"/>
      <c r="J877" s="20"/>
      <c r="K877" s="15"/>
      <c r="L877" s="1"/>
      <c r="M877" s="21"/>
      <c r="W877" s="2"/>
    </row>
    <row r="878" spans="2:23" ht="15.75" customHeight="1" x14ac:dyDescent="0.25">
      <c r="B878" s="10"/>
      <c r="C878" s="10"/>
      <c r="D878" s="16"/>
      <c r="E878" s="10"/>
      <c r="F878" s="10"/>
      <c r="G878" s="20"/>
      <c r="H878" s="20"/>
      <c r="I878" s="20"/>
      <c r="J878" s="20"/>
      <c r="K878" s="15"/>
      <c r="L878" s="1"/>
      <c r="M878" s="21"/>
      <c r="W878" s="2"/>
    </row>
    <row r="879" spans="2:23" ht="15.75" customHeight="1" x14ac:dyDescent="0.25">
      <c r="B879" s="10"/>
      <c r="C879" s="10"/>
      <c r="D879" s="16"/>
      <c r="E879" s="10"/>
      <c r="F879" s="10"/>
      <c r="G879" s="20"/>
      <c r="H879" s="20"/>
      <c r="I879" s="20"/>
      <c r="J879" s="20"/>
      <c r="K879" s="15"/>
      <c r="L879" s="1"/>
      <c r="M879" s="21"/>
      <c r="W879" s="2"/>
    </row>
    <row r="880" spans="2:23" ht="15.75" customHeight="1" x14ac:dyDescent="0.25">
      <c r="B880" s="10"/>
      <c r="C880" s="10"/>
      <c r="D880" s="16"/>
      <c r="E880" s="10"/>
      <c r="F880" s="10"/>
      <c r="G880" s="20"/>
      <c r="H880" s="20"/>
      <c r="I880" s="20"/>
      <c r="J880" s="20"/>
      <c r="K880" s="15"/>
      <c r="L880" s="1"/>
      <c r="M880" s="21"/>
      <c r="W880" s="2"/>
    </row>
    <row r="881" spans="2:23" ht="15.75" customHeight="1" x14ac:dyDescent="0.25">
      <c r="B881" s="10"/>
      <c r="C881" s="10"/>
      <c r="D881" s="16"/>
      <c r="E881" s="10"/>
      <c r="F881" s="10"/>
      <c r="G881" s="20"/>
      <c r="H881" s="20"/>
      <c r="I881" s="20"/>
      <c r="J881" s="20"/>
      <c r="K881" s="15"/>
      <c r="L881" s="1"/>
      <c r="M881" s="21"/>
      <c r="W881" s="2"/>
    </row>
    <row r="882" spans="2:23" ht="15.75" customHeight="1" x14ac:dyDescent="0.25">
      <c r="B882" s="10"/>
      <c r="C882" s="10"/>
      <c r="D882" s="16"/>
      <c r="E882" s="10"/>
      <c r="F882" s="10"/>
      <c r="G882" s="20"/>
      <c r="H882" s="20"/>
      <c r="I882" s="20"/>
      <c r="J882" s="20"/>
      <c r="K882" s="15"/>
      <c r="L882" s="1"/>
      <c r="M882" s="21"/>
      <c r="W882" s="2"/>
    </row>
    <row r="883" spans="2:23" ht="15.75" customHeight="1" x14ac:dyDescent="0.25">
      <c r="B883" s="10"/>
      <c r="C883" s="10"/>
      <c r="D883" s="16"/>
      <c r="E883" s="10"/>
      <c r="F883" s="10"/>
      <c r="G883" s="20"/>
      <c r="H883" s="20"/>
      <c r="I883" s="20"/>
      <c r="J883" s="20"/>
      <c r="K883" s="15"/>
      <c r="L883" s="1"/>
      <c r="M883" s="21"/>
      <c r="W883" s="2"/>
    </row>
    <row r="884" spans="2:23" ht="15.75" customHeight="1" x14ac:dyDescent="0.25">
      <c r="B884" s="10"/>
      <c r="C884" s="10"/>
      <c r="D884" s="16"/>
      <c r="E884" s="10"/>
      <c r="F884" s="10"/>
      <c r="G884" s="20"/>
      <c r="H884" s="20"/>
      <c r="I884" s="20"/>
      <c r="J884" s="20"/>
      <c r="K884" s="15"/>
      <c r="L884" s="1"/>
      <c r="M884" s="21"/>
      <c r="W884" s="2"/>
    </row>
    <row r="885" spans="2:23" ht="15.75" customHeight="1" x14ac:dyDescent="0.25">
      <c r="B885" s="10"/>
      <c r="C885" s="10"/>
      <c r="D885" s="16"/>
      <c r="E885" s="10"/>
      <c r="F885" s="10"/>
      <c r="G885" s="20"/>
      <c r="H885" s="20"/>
      <c r="I885" s="20"/>
      <c r="J885" s="20"/>
      <c r="K885" s="15"/>
      <c r="L885" s="1"/>
      <c r="M885" s="21"/>
      <c r="W885" s="2"/>
    </row>
    <row r="886" spans="2:23" ht="15.75" customHeight="1" x14ac:dyDescent="0.25">
      <c r="B886" s="10"/>
      <c r="C886" s="10"/>
      <c r="D886" s="16"/>
      <c r="E886" s="10"/>
      <c r="F886" s="10"/>
      <c r="G886" s="20"/>
      <c r="H886" s="20"/>
      <c r="I886" s="20"/>
      <c r="J886" s="20"/>
      <c r="K886" s="15"/>
      <c r="L886" s="1"/>
      <c r="M886" s="21"/>
      <c r="W886" s="2"/>
    </row>
  </sheetData>
  <conditionalFormatting sqref="B1:B9 B13:B14 B16 L48 L52:L53 L67 L71:L72 L86 L90:L91 L105 L109:L110 L124 L128:L129 L143 L147:L148 L166:L167 L181 L185:L188 L202 L220 L224:L227 L241 L245:L248 L262:L263 L267:L268 L286:L287 L301 L305:L307 L321 L325:L327 L341 L345:L346 L364:L365 L379 L383:L385 L399:L400 L404:L405 L419 L423:L424 L438 L442:L443 C452:C453 L457 L461 L475 L479:L481 L495 L499:L500 L518:L519 L533 L537 L551 L555:L557 L571 L575:L578 L592 L596 L610:L611 L615:L616 L630:L631 L635 L649:L650 L654:L655 L669 L673 L687:L886 C742:C743 K742:K743">
    <cfRule type="expression" dxfId="27" priority="1" stopIfTrue="1">
      <formula>$N1=0</formula>
    </cfRule>
  </conditionalFormatting>
  <conditionalFormatting sqref="B10:B12 B15:C15">
    <cfRule type="expression" dxfId="26" priority="2" stopIfTrue="1">
      <formula>$M10=0</formula>
    </cfRule>
  </conditionalFormatting>
  <conditionalFormatting sqref="K37:K46">
    <cfRule type="expression" dxfId="25" priority="3" stopIfTrue="1">
      <formula>$M37=0</formula>
    </cfRule>
  </conditionalFormatting>
  <conditionalFormatting sqref="K75:K84">
    <cfRule type="expression" dxfId="24" priority="4" stopIfTrue="1">
      <formula>$M75=0</formula>
    </cfRule>
  </conditionalFormatting>
  <conditionalFormatting sqref="K94:K103">
    <cfRule type="expression" dxfId="23" priority="5" stopIfTrue="1">
      <formula>$M94=0</formula>
    </cfRule>
  </conditionalFormatting>
  <conditionalFormatting sqref="K113:K122">
    <cfRule type="expression" dxfId="22" priority="6" stopIfTrue="1">
      <formula>$M113=0</formula>
    </cfRule>
  </conditionalFormatting>
  <conditionalFormatting sqref="K132:K141">
    <cfRule type="expression" dxfId="21" priority="7" stopIfTrue="1">
      <formula>$M132=0</formula>
    </cfRule>
  </conditionalFormatting>
  <conditionalFormatting sqref="K151:K160">
    <cfRule type="expression" dxfId="20" priority="8" stopIfTrue="1">
      <formula>$M151=0</formula>
    </cfRule>
  </conditionalFormatting>
  <conditionalFormatting sqref="K170:K179">
    <cfRule type="expression" dxfId="19" priority="9" stopIfTrue="1">
      <formula>$M170=0</formula>
    </cfRule>
  </conditionalFormatting>
  <conditionalFormatting sqref="K191:K200">
    <cfRule type="expression" dxfId="18" priority="10" stopIfTrue="1">
      <formula>$M191=0</formula>
    </cfRule>
  </conditionalFormatting>
  <conditionalFormatting sqref="K230:K239">
    <cfRule type="expression" dxfId="17" priority="11" stopIfTrue="1">
      <formula>$M230=0</formula>
    </cfRule>
  </conditionalFormatting>
  <conditionalFormatting sqref="K253:K260">
    <cfRule type="expression" dxfId="16" priority="12" stopIfTrue="1">
      <formula>$M253=0</formula>
    </cfRule>
  </conditionalFormatting>
  <conditionalFormatting sqref="K290:K299">
    <cfRule type="expression" dxfId="15" priority="13" stopIfTrue="1">
      <formula>$M290=0</formula>
    </cfRule>
  </conditionalFormatting>
  <conditionalFormatting sqref="K310:K319">
    <cfRule type="expression" dxfId="14" priority="14" stopIfTrue="1">
      <formula>$M310=0</formula>
    </cfRule>
  </conditionalFormatting>
  <conditionalFormatting sqref="K349:K358">
    <cfRule type="expression" dxfId="13" priority="15" stopIfTrue="1">
      <formula>$M349=0</formula>
    </cfRule>
  </conditionalFormatting>
  <conditionalFormatting sqref="K408:K417">
    <cfRule type="expression" dxfId="12" priority="16" stopIfTrue="1">
      <formula>$M408=0</formula>
    </cfRule>
  </conditionalFormatting>
  <conditionalFormatting sqref="K427:K436">
    <cfRule type="expression" dxfId="11" priority="17" stopIfTrue="1">
      <formula>$M427=0</formula>
    </cfRule>
  </conditionalFormatting>
  <conditionalFormatting sqref="K446:K455">
    <cfRule type="expression" dxfId="10" priority="18" stopIfTrue="1">
      <formula>$M446=0</formula>
    </cfRule>
  </conditionalFormatting>
  <conditionalFormatting sqref="K464:K473">
    <cfRule type="expression" dxfId="9" priority="19" stopIfTrue="1">
      <formula>$M464=0</formula>
    </cfRule>
  </conditionalFormatting>
  <conditionalFormatting sqref="K484:K493">
    <cfRule type="expression" dxfId="8" priority="20" stopIfTrue="1">
      <formula>$M484=0</formula>
    </cfRule>
  </conditionalFormatting>
  <conditionalFormatting sqref="K560:K569">
    <cfRule type="expression" dxfId="7" priority="21" stopIfTrue="1">
      <formula>$M560=0</formula>
    </cfRule>
  </conditionalFormatting>
  <conditionalFormatting sqref="K581:K590">
    <cfRule type="expression" dxfId="6" priority="22" stopIfTrue="1">
      <formula>$M581=0</formula>
    </cfRule>
  </conditionalFormatting>
  <conditionalFormatting sqref="K599:K608">
    <cfRule type="expression" dxfId="5" priority="23" stopIfTrue="1">
      <formula>$M599=0</formula>
    </cfRule>
  </conditionalFormatting>
  <conditionalFormatting sqref="K619:K628">
    <cfRule type="expression" dxfId="4" priority="24" stopIfTrue="1">
      <formula>$M619=0</formula>
    </cfRule>
  </conditionalFormatting>
  <conditionalFormatting sqref="K638:K647">
    <cfRule type="expression" dxfId="3" priority="25" stopIfTrue="1">
      <formula>$M638=0</formula>
    </cfRule>
  </conditionalFormatting>
  <conditionalFormatting sqref="K658:K667">
    <cfRule type="expression" dxfId="2" priority="26" stopIfTrue="1">
      <formula>$M658=0</formula>
    </cfRule>
  </conditionalFormatting>
  <conditionalFormatting sqref="K676:K685">
    <cfRule type="expression" dxfId="1" priority="27" stopIfTrue="1">
      <formula>$M676=0</formula>
    </cfRule>
  </conditionalFormatting>
  <conditionalFormatting sqref="L29 L33:L34">
    <cfRule type="expression" dxfId="0" priority="28" stopIfTrue="1">
      <formula>$N29=0</formula>
    </cfRule>
  </conditionalFormatting>
  <pageMargins left="0.7" right="0.7" top="0.75" bottom="0.75" header="0" footer="0"/>
  <pageSetup orientation="landscape"/>
  <ignoredErrors>
    <ignoredError sqref="G53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R1000"/>
  <sheetViews>
    <sheetView topLeftCell="A13" workbookViewId="0">
      <selection activeCell="D29" sqref="D29:E30"/>
    </sheetView>
  </sheetViews>
  <sheetFormatPr defaultColWidth="12.5703125" defaultRowHeight="15" customHeight="1" x14ac:dyDescent="0.25"/>
  <cols>
    <col min="1" max="3" width="11.42578125" customWidth="1"/>
    <col min="4" max="4" width="5" customWidth="1"/>
    <col min="5" max="5" width="53.7109375" customWidth="1"/>
    <col min="6" max="6" width="47.42578125" customWidth="1"/>
    <col min="7" max="7" width="45.7109375" customWidth="1"/>
    <col min="8" max="8" width="13" customWidth="1"/>
    <col min="9" max="15" width="11.42578125" customWidth="1"/>
    <col min="16" max="16" width="38.7109375" customWidth="1"/>
    <col min="17" max="26" width="11.42578125" customWidth="1"/>
  </cols>
  <sheetData>
    <row r="3" spans="4:18" x14ac:dyDescent="0.25">
      <c r="D3" s="8">
        <v>7110</v>
      </c>
      <c r="E3" s="4" t="s">
        <v>39</v>
      </c>
      <c r="J3" s="50"/>
      <c r="K3" s="37"/>
      <c r="L3" s="38"/>
      <c r="Q3" s="38"/>
      <c r="R3" s="38"/>
    </row>
    <row r="4" spans="4:18" x14ac:dyDescent="0.25">
      <c r="D4" s="8">
        <v>7150</v>
      </c>
      <c r="E4" s="4" t="s">
        <v>40</v>
      </c>
      <c r="J4" s="50"/>
      <c r="K4" s="37"/>
      <c r="L4" s="38"/>
      <c r="M4" s="51"/>
      <c r="N4" s="51"/>
      <c r="O4" s="38"/>
      <c r="P4" s="38"/>
      <c r="R4" s="38"/>
    </row>
    <row r="5" spans="4:18" x14ac:dyDescent="0.25">
      <c r="D5" s="8">
        <v>7175</v>
      </c>
      <c r="E5" s="4" t="s">
        <v>41</v>
      </c>
      <c r="J5" s="50"/>
      <c r="K5" s="37"/>
      <c r="L5" s="38"/>
      <c r="M5" s="51"/>
      <c r="N5" s="51"/>
      <c r="O5" s="38"/>
      <c r="P5" s="38"/>
      <c r="Q5" s="38"/>
      <c r="R5" s="38"/>
    </row>
    <row r="6" spans="4:18" x14ac:dyDescent="0.25">
      <c r="D6" s="8">
        <v>7185</v>
      </c>
      <c r="E6" s="4" t="s">
        <v>42</v>
      </c>
      <c r="J6" s="50"/>
      <c r="K6" s="37"/>
      <c r="L6" s="38"/>
      <c r="M6" s="51"/>
      <c r="N6" s="51"/>
      <c r="O6" s="38"/>
      <c r="P6" s="38"/>
      <c r="Q6" s="38"/>
      <c r="R6" s="38"/>
    </row>
    <row r="7" spans="4:18" x14ac:dyDescent="0.25">
      <c r="D7" s="8">
        <v>7380</v>
      </c>
      <c r="E7" s="4" t="s">
        <v>43</v>
      </c>
      <c r="J7" s="50"/>
      <c r="K7" s="37"/>
      <c r="L7" s="52"/>
      <c r="M7" s="51"/>
      <c r="N7" s="51"/>
      <c r="O7" s="38"/>
      <c r="P7" s="38"/>
      <c r="Q7" s="38"/>
      <c r="R7" s="38"/>
    </row>
    <row r="8" spans="4:18" x14ac:dyDescent="0.25">
      <c r="D8" s="8">
        <v>7400</v>
      </c>
      <c r="E8" s="4" t="s">
        <v>44</v>
      </c>
      <c r="J8" s="50"/>
      <c r="K8" s="37"/>
      <c r="L8" s="52"/>
      <c r="M8" s="51"/>
      <c r="N8" s="51"/>
      <c r="O8" s="38"/>
      <c r="P8" s="38"/>
      <c r="R8" s="38"/>
    </row>
    <row r="9" spans="4:18" x14ac:dyDescent="0.25">
      <c r="D9" s="8">
        <v>7410</v>
      </c>
      <c r="E9" s="4" t="s">
        <v>128</v>
      </c>
      <c r="J9" s="50"/>
      <c r="K9" s="37"/>
      <c r="L9" s="52"/>
      <c r="M9" s="51"/>
      <c r="N9" s="51"/>
      <c r="O9" s="38"/>
      <c r="P9" s="38"/>
      <c r="Q9" s="38"/>
      <c r="R9" s="38"/>
    </row>
    <row r="10" spans="4:18" x14ac:dyDescent="0.25">
      <c r="D10" s="8">
        <v>7415</v>
      </c>
      <c r="E10" s="4" t="s">
        <v>58</v>
      </c>
      <c r="J10" s="50"/>
      <c r="K10" s="37"/>
      <c r="L10" s="52"/>
      <c r="M10" s="51"/>
      <c r="N10" s="51"/>
      <c r="O10" s="38"/>
      <c r="P10" s="38"/>
      <c r="Q10" s="38"/>
      <c r="R10" s="38"/>
    </row>
    <row r="11" spans="4:18" x14ac:dyDescent="0.25">
      <c r="D11" s="8">
        <v>7560</v>
      </c>
      <c r="E11" s="4" t="s">
        <v>62</v>
      </c>
      <c r="J11" s="50"/>
      <c r="K11" s="37"/>
      <c r="L11" s="38"/>
      <c r="M11" s="51"/>
      <c r="N11" s="51"/>
      <c r="O11" s="38"/>
      <c r="P11" s="38"/>
      <c r="Q11" s="38"/>
      <c r="R11" s="38"/>
    </row>
    <row r="12" spans="4:18" x14ac:dyDescent="0.25">
      <c r="D12" s="8">
        <v>7565</v>
      </c>
      <c r="E12" s="4" t="s">
        <v>67</v>
      </c>
      <c r="J12" s="50"/>
      <c r="K12" s="37"/>
      <c r="L12" s="38"/>
      <c r="M12" s="51"/>
      <c r="N12" s="51"/>
      <c r="O12" s="38"/>
      <c r="P12" s="38"/>
      <c r="Q12" s="38"/>
      <c r="R12" s="38"/>
    </row>
    <row r="13" spans="4:18" x14ac:dyDescent="0.25">
      <c r="D13" s="8">
        <v>7570</v>
      </c>
      <c r="E13" s="4" t="s">
        <v>68</v>
      </c>
      <c r="J13" s="50"/>
      <c r="K13" s="37"/>
      <c r="L13" s="38"/>
      <c r="M13" s="51"/>
      <c r="N13" s="51"/>
      <c r="O13" s="38"/>
      <c r="P13" s="38"/>
      <c r="Q13" s="38"/>
      <c r="R13" s="38"/>
    </row>
    <row r="14" spans="4:18" x14ac:dyDescent="0.25">
      <c r="D14" s="8">
        <v>7575</v>
      </c>
      <c r="E14" s="4" t="s">
        <v>72</v>
      </c>
      <c r="J14" s="50"/>
      <c r="K14" s="37"/>
      <c r="L14" s="38"/>
      <c r="M14" s="51"/>
      <c r="N14" s="51"/>
      <c r="O14" s="38"/>
      <c r="P14" s="38"/>
      <c r="Q14" s="38"/>
      <c r="R14" s="38"/>
    </row>
    <row r="15" spans="4:18" x14ac:dyDescent="0.25">
      <c r="D15" s="8">
        <v>7580</v>
      </c>
      <c r="E15" s="4" t="s">
        <v>74</v>
      </c>
      <c r="J15" s="50"/>
      <c r="K15" s="37"/>
      <c r="L15" s="38"/>
      <c r="M15" s="51"/>
      <c r="N15" s="51"/>
      <c r="O15" s="38"/>
      <c r="P15" s="38"/>
      <c r="R15" s="38"/>
    </row>
    <row r="16" spans="4:18" x14ac:dyDescent="0.25">
      <c r="D16" s="8">
        <v>7585</v>
      </c>
      <c r="E16" s="4" t="s">
        <v>76</v>
      </c>
      <c r="J16" s="50"/>
      <c r="K16" s="37"/>
      <c r="L16" s="38"/>
      <c r="M16" s="51"/>
      <c r="N16" s="51"/>
      <c r="O16" s="38"/>
      <c r="P16" s="38"/>
      <c r="R16" s="38"/>
    </row>
    <row r="17" spans="4:18" x14ac:dyDescent="0.25">
      <c r="D17" s="8">
        <v>7590</v>
      </c>
      <c r="E17" s="4" t="s">
        <v>120</v>
      </c>
      <c r="J17" s="50"/>
      <c r="K17" s="37"/>
      <c r="L17" s="38"/>
      <c r="M17" s="51"/>
      <c r="N17" s="51"/>
      <c r="O17" s="38"/>
      <c r="P17" s="38"/>
    </row>
    <row r="18" spans="4:18" x14ac:dyDescent="0.25">
      <c r="D18" s="8">
        <v>7595</v>
      </c>
      <c r="E18" s="4" t="s">
        <v>86</v>
      </c>
      <c r="J18" s="50"/>
      <c r="K18" s="37"/>
      <c r="L18" s="38"/>
      <c r="M18" s="51"/>
      <c r="N18" s="51"/>
      <c r="O18" s="38"/>
      <c r="P18" s="38"/>
      <c r="Q18" s="38"/>
      <c r="R18" s="38"/>
    </row>
    <row r="19" spans="4:18" x14ac:dyDescent="0.25">
      <c r="D19" s="8">
        <v>7600</v>
      </c>
      <c r="E19" s="4" t="s">
        <v>91</v>
      </c>
      <c r="J19" s="50"/>
      <c r="K19" s="37"/>
      <c r="L19" s="38"/>
      <c r="M19" s="51"/>
      <c r="N19" s="51"/>
      <c r="O19" s="38"/>
      <c r="P19" s="38"/>
      <c r="Q19" s="38"/>
      <c r="R19" s="38"/>
    </row>
    <row r="20" spans="4:18" x14ac:dyDescent="0.25">
      <c r="D20" s="8">
        <v>7605</v>
      </c>
      <c r="E20" s="4" t="s">
        <v>95</v>
      </c>
      <c r="J20" s="50"/>
      <c r="K20" s="37"/>
      <c r="L20" s="38"/>
      <c r="M20" s="51"/>
      <c r="N20" s="51"/>
      <c r="O20" s="38"/>
      <c r="P20" s="38"/>
      <c r="Q20" s="38"/>
      <c r="R20" s="38"/>
    </row>
    <row r="21" spans="4:18" ht="15.75" customHeight="1" x14ac:dyDescent="0.25">
      <c r="D21" s="8">
        <v>7610</v>
      </c>
      <c r="E21" s="4" t="s">
        <v>98</v>
      </c>
      <c r="J21" s="50"/>
      <c r="K21" s="37"/>
      <c r="L21" s="38"/>
      <c r="M21" s="51"/>
      <c r="N21" s="51"/>
      <c r="O21" s="38"/>
      <c r="P21" s="38"/>
      <c r="Q21" s="38"/>
      <c r="R21" s="38"/>
    </row>
    <row r="22" spans="4:18" ht="15.75" customHeight="1" x14ac:dyDescent="0.25">
      <c r="D22" s="8">
        <v>7615</v>
      </c>
      <c r="E22" s="4" t="s">
        <v>99</v>
      </c>
      <c r="I22" s="37"/>
      <c r="J22" s="50"/>
      <c r="K22" s="37"/>
      <c r="L22" s="38"/>
      <c r="M22" s="51"/>
      <c r="N22" s="51"/>
      <c r="O22" s="38"/>
      <c r="P22" s="38"/>
      <c r="Q22" s="38"/>
      <c r="R22" s="38"/>
    </row>
    <row r="23" spans="4:18" ht="15.75" customHeight="1" x14ac:dyDescent="0.25">
      <c r="D23" s="8">
        <v>7620</v>
      </c>
      <c r="E23" s="4" t="s">
        <v>100</v>
      </c>
      <c r="J23" s="50"/>
      <c r="K23" s="37"/>
      <c r="L23" s="38"/>
      <c r="M23" s="51"/>
      <c r="N23" s="51"/>
      <c r="O23" s="38"/>
      <c r="P23" s="38"/>
      <c r="Q23" s="38"/>
      <c r="R23" s="38"/>
    </row>
    <row r="24" spans="4:18" ht="15.75" customHeight="1" x14ac:dyDescent="0.25">
      <c r="D24" s="8">
        <v>7625</v>
      </c>
      <c r="E24" s="4" t="s">
        <v>103</v>
      </c>
      <c r="J24" s="50"/>
      <c r="K24" s="37"/>
      <c r="L24" s="38"/>
      <c r="M24" s="51"/>
      <c r="N24" s="51"/>
      <c r="O24" s="38"/>
      <c r="P24" s="38"/>
      <c r="Q24" s="38"/>
      <c r="R24" s="38"/>
    </row>
    <row r="25" spans="4:18" ht="15.75" customHeight="1" x14ac:dyDescent="0.25">
      <c r="D25" s="8">
        <v>7630</v>
      </c>
      <c r="E25" s="4" t="s">
        <v>110</v>
      </c>
      <c r="J25" s="50"/>
      <c r="K25" s="37"/>
      <c r="L25" s="38"/>
      <c r="M25" s="51"/>
      <c r="N25" s="51"/>
      <c r="O25" s="38"/>
      <c r="P25" s="38"/>
      <c r="Q25" s="38"/>
      <c r="R25" s="38"/>
    </row>
    <row r="26" spans="4:18" ht="15.75" customHeight="1" x14ac:dyDescent="0.25">
      <c r="D26" s="8">
        <v>7635</v>
      </c>
      <c r="E26" s="4" t="s">
        <v>112</v>
      </c>
      <c r="J26" s="50"/>
      <c r="K26" s="37"/>
      <c r="L26" s="38"/>
      <c r="M26" s="51"/>
      <c r="N26" s="51"/>
      <c r="O26" s="38"/>
      <c r="P26" s="38"/>
      <c r="Q26" s="38"/>
      <c r="R26" s="38"/>
    </row>
    <row r="27" spans="4:18" ht="15.75" customHeight="1" x14ac:dyDescent="0.25">
      <c r="D27" s="8">
        <v>7640</v>
      </c>
      <c r="E27" s="4" t="s">
        <v>119</v>
      </c>
      <c r="J27" s="50"/>
      <c r="K27" s="37"/>
      <c r="L27" s="38"/>
      <c r="M27" s="51"/>
      <c r="N27" s="51"/>
      <c r="O27" s="38"/>
      <c r="P27" s="38"/>
      <c r="R27" s="38"/>
    </row>
    <row r="28" spans="4:18" ht="15.75" customHeight="1" x14ac:dyDescent="0.25">
      <c r="D28" s="8">
        <v>7665</v>
      </c>
      <c r="E28" s="4" t="s">
        <v>123</v>
      </c>
      <c r="J28" s="50"/>
      <c r="K28" s="37"/>
      <c r="L28" s="38"/>
      <c r="M28" s="51"/>
      <c r="N28" s="51"/>
      <c r="O28" s="38"/>
      <c r="P28" s="38"/>
      <c r="Q28" s="38"/>
      <c r="R28" s="38"/>
    </row>
    <row r="29" spans="4:18" ht="15.75" customHeight="1" x14ac:dyDescent="0.25">
      <c r="D29" s="8">
        <v>7670</v>
      </c>
      <c r="E29" s="4" t="s">
        <v>124</v>
      </c>
      <c r="J29" s="50"/>
      <c r="K29" s="37"/>
      <c r="L29" s="38"/>
      <c r="M29" s="51"/>
      <c r="N29" s="51"/>
      <c r="O29" s="38"/>
      <c r="P29" s="38"/>
      <c r="Q29" s="38"/>
      <c r="R29" s="38"/>
    </row>
    <row r="30" spans="4:18" ht="15.75" customHeight="1" x14ac:dyDescent="0.25">
      <c r="D30" s="8">
        <v>7675</v>
      </c>
      <c r="E30" s="4" t="s">
        <v>125</v>
      </c>
      <c r="J30" s="50"/>
      <c r="K30" s="37"/>
      <c r="L30" s="38"/>
      <c r="M30" s="51"/>
      <c r="N30" s="51"/>
      <c r="O30" s="38"/>
      <c r="P30" s="38"/>
      <c r="Q30" s="38"/>
      <c r="R30" s="38"/>
    </row>
    <row r="31" spans="4:18" ht="15.75" customHeight="1" x14ac:dyDescent="0.25">
      <c r="D31" s="8">
        <v>7680</v>
      </c>
      <c r="E31" s="4" t="s">
        <v>126</v>
      </c>
      <c r="J31" s="50"/>
      <c r="K31" s="37"/>
      <c r="L31" s="38"/>
      <c r="M31" s="51"/>
      <c r="N31" s="51"/>
      <c r="O31" s="38"/>
      <c r="P31" s="38"/>
      <c r="Q31" s="38"/>
      <c r="R31" s="38"/>
    </row>
    <row r="32" spans="4:18" ht="15.75" customHeight="1" x14ac:dyDescent="0.25">
      <c r="D32" s="8">
        <v>7685</v>
      </c>
      <c r="E32" s="4" t="s">
        <v>127</v>
      </c>
      <c r="J32" s="50"/>
      <c r="K32" s="37"/>
      <c r="L32" s="38"/>
      <c r="M32" s="51"/>
      <c r="N32" s="51"/>
    </row>
    <row r="33" spans="4:14" ht="15.75" customHeight="1" x14ac:dyDescent="0.25">
      <c r="D33" s="53"/>
      <c r="E33" s="53"/>
      <c r="M33" s="51"/>
      <c r="N33" s="51"/>
    </row>
    <row r="34" spans="4:14" ht="15.75" customHeight="1" x14ac:dyDescent="0.25">
      <c r="D34" s="53"/>
      <c r="E34" s="53"/>
      <c r="M34" s="51"/>
      <c r="N34" s="51"/>
    </row>
    <row r="35" spans="4:14" ht="15.75" customHeight="1" x14ac:dyDescent="0.25">
      <c r="D35" s="53"/>
      <c r="E35" s="53"/>
      <c r="I35" s="38"/>
    </row>
    <row r="36" spans="4:14" ht="15.75" customHeight="1" x14ac:dyDescent="0.25">
      <c r="D36" s="53"/>
      <c r="E36" s="53"/>
    </row>
    <row r="37" spans="4:14" ht="15.75" customHeight="1" x14ac:dyDescent="0.25">
      <c r="D37" s="53"/>
      <c r="E37" s="53"/>
    </row>
    <row r="38" spans="4:14" ht="15.75" customHeight="1" x14ac:dyDescent="0.25">
      <c r="D38" s="53"/>
      <c r="E38" s="53"/>
    </row>
    <row r="39" spans="4:14" ht="15.75" customHeight="1" x14ac:dyDescent="0.25">
      <c r="D39" s="53"/>
      <c r="E39" s="53"/>
      <c r="F39" s="51"/>
      <c r="G39" s="38"/>
    </row>
    <row r="40" spans="4:14" ht="15.75" customHeight="1" x14ac:dyDescent="0.25">
      <c r="F40" s="51"/>
      <c r="G40" s="51"/>
      <c r="H40" s="38"/>
    </row>
    <row r="41" spans="4:14" ht="15.75" customHeight="1" x14ac:dyDescent="0.25"/>
    <row r="42" spans="4:14" ht="15.75" customHeight="1" x14ac:dyDescent="0.25"/>
    <row r="43" spans="4:14" ht="15.75" customHeight="1" x14ac:dyDescent="0.25"/>
    <row r="44" spans="4:14" ht="15.75" customHeight="1" x14ac:dyDescent="0.25"/>
    <row r="45" spans="4:14" ht="15.75" customHeight="1" x14ac:dyDescent="0.25">
      <c r="F45" s="51"/>
      <c r="G45" s="51"/>
    </row>
    <row r="46" spans="4:14" ht="15.75" customHeight="1" x14ac:dyDescent="0.25"/>
    <row r="47" spans="4:14" ht="15.75" customHeight="1" x14ac:dyDescent="0.25"/>
    <row r="48" spans="4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cuenta Usali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2025-11-28T01:10:08Z</dcterms:modified>
</cp:coreProperties>
</file>