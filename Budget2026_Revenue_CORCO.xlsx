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2o0W3I1nBzb59zYjcvFSptu6Qoc96Vbk\3-102-865727 - CORCOVADO HOLDING SCP S.R.L\3-102-865727 - CORCOVADO HOLDING SCP S.R.L\Plan 2026\Working Budget 2026\REVENUE 2026\"/>
    </mc:Choice>
  </mc:AlternateContent>
  <xr:revisionPtr revIDLastSave="0" documentId="13_ncr:1_{D2449CBA-44FE-40A7-B1F0-470D130745A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ummary" sheetId="1" r:id="rId1"/>
    <sheet name="Rates 2026" sheetId="18" r:id="rId2"/>
    <sheet name="Key Indicators" sheetId="2" r:id="rId3"/>
    <sheet name="Key LIGIA (2)" sheetId="17" state="hidden" r:id="rId4"/>
    <sheet name="Key LIGIA" sheetId="15" state="hidden" r:id="rId5"/>
    <sheet name="Rooms" sheetId="3" r:id="rId6"/>
    <sheet name="Food Revenue" sheetId="4" r:id="rId7"/>
    <sheet name="Beverage Revenue" sheetId="5" r:id="rId8"/>
    <sheet name="F&amp;B Mis Revenue" sheetId="6" r:id="rId9"/>
    <sheet name="Spa Revenue" sheetId="7" r:id="rId10"/>
    <sheet name="Retail Gift Shop" sheetId="8" r:id="rId11"/>
    <sheet name="Activities" sheetId="9" r:id="rId12"/>
    <sheet name="Transportation" sheetId="10" r:id="rId13"/>
    <sheet name="Innoceanna" sheetId="11" r:id="rId14"/>
    <sheet name="Sustainability Fee" sheetId="12" r:id="rId15"/>
    <sheet name="Laundry" sheetId="13" r:id="rId16"/>
    <sheet name="Final 2026 Rates" sheetId="14" r:id="rId17"/>
    <sheet name="ANALYSIS" sheetId="16" r:id="rId18"/>
  </sheets>
  <externalReferences>
    <externalReference r:id="rId19"/>
    <externalReference r:id="rId20"/>
    <externalReference r:id="rId21"/>
    <externalReference r:id="rId22"/>
  </externalReferences>
  <definedNames>
    <definedName name="A_impresión_IM">#REF!</definedName>
    <definedName name="ANNUAL_OTHER_TAX">[1]Assumptions!$B$48</definedName>
    <definedName name="ANNUAL_PERS_PROPERTY_TAX">[1]Assumptions!$B$47</definedName>
    <definedName name="ANNUAL_REAL_PROPERTY_TAX">[1]Assumptions!$B$46</definedName>
    <definedName name="AVG_NO_EMPLOYEES">[1]Assumptions!$B$74</definedName>
    <definedName name="BUDGET_YEAR">[1]Assumptions!$B$4</definedName>
    <definedName name="CELL_PHONE_100">[1]Assumptions!$B$35</definedName>
    <definedName name="CELL_PHONE_50">[1]Assumptions!$B$34</definedName>
    <definedName name="CLEANING_MINS_PER_ROOM">[1]Assumptions!$B$27</definedName>
    <definedName name="COST_OF_BEER">[1]Assumptions!$B$155</definedName>
    <definedName name="COST_OF_BEVERAGE">[1]Assumptions!$B$154</definedName>
    <definedName name="COST_OF_FOOD">[1]Assumptions!$B$152</definedName>
    <definedName name="COST_OF_LIQUOR">[1]Assumptions!$B$156</definedName>
    <definedName name="COST_OF_PREPACKAGED">[1]Assumptions!$B$153</definedName>
    <definedName name="COST_OF_WINE">[1]Assumptions!$B$157</definedName>
    <definedName name="CREDIT_CARD_COMMISSION_RATE">[1]Assumptions!$B$12</definedName>
    <definedName name="DATE_REV_FIGURES">[1]Assumptions!$B$7</definedName>
    <definedName name="Demand2Data">#REF!</definedName>
    <definedName name="Demand2Date2">#REF!</definedName>
    <definedName name="Demand2Metric">#REF!</definedName>
    <definedName name="EMPLOYEE_BENEFITS">[1]Assumptions!$F$59</definedName>
    <definedName name="EMPLOYEE_ONBOARDING">[1]Assumptions!#REF!</definedName>
    <definedName name="EMPLOYEE_TRAINING">[1]Assumptions!$B$32</definedName>
    <definedName name="ESDG_FACTOR">[1]Assumptions!$B$16</definedName>
    <definedName name="ESDG_PER_STAY">[1]Assumptions!$B$17</definedName>
    <definedName name="FAIR_TRADE_PRICING">[1]Assumptions!$B$14</definedName>
    <definedName name="FechaDeInicioelañoFiscal">'[2]FLUJO DE EFECTIVO'!$B$7</definedName>
    <definedName name="FEE_ACCOUNTING">[1]Assumptions!$B$38</definedName>
    <definedName name="FEE_BACKGROUND_CHECK">[1]Assumptions!$B$33</definedName>
    <definedName name="FEE_MANAGEMENT">[1]Assumptions!$B$8</definedName>
    <definedName name="FEE_MARKETING_BRAND">[1]Assumptions!$B$11</definedName>
    <definedName name="FEE_MARKETING_CENTRALIZED_SERVICES">[1]Assumptions!$B$41</definedName>
    <definedName name="FEE_REVMGMT_CENTRALIZED_SERVICES">[1]Assumptions!$B$39</definedName>
    <definedName name="FEE_ROYALTY_FB">[1]Assumptions!$B$10</definedName>
    <definedName name="FEE_ROYALTY_ROOMS">[1]Assumptions!$B$9</definedName>
    <definedName name="FEE_SALES_CENTRALIZED_SERVICES">[1]Assumptions!$B$40</definedName>
    <definedName name="FEE_TECHNOLOGY">[1]Assumptions!$B$37</definedName>
    <definedName name="FFE_RESERVE">[1]Assumptions!$B$13</definedName>
    <definedName name="HOTEL_NAME">[1]Assumptions!$B$2</definedName>
    <definedName name="MEMBERSHIP_COST_MULTIPLIER">#REF!</definedName>
    <definedName name="MEMBERSHIP_FEE_REVENUE">[1]Assumptions!$B$147</definedName>
    <definedName name="MINS_PER_HOUR">[1]Assumptions!$B$51</definedName>
    <definedName name="MONTHLY_INTERNET_SERVICE">[1]Assumptions!$B$43</definedName>
    <definedName name="MONTHLY_PHONE_SERVICE">[1]Assumptions!$B$44</definedName>
    <definedName name="MONTHLY_WASTE_REMOVAL">[1]Assumptions!$B$45</definedName>
    <definedName name="MY_FUNCTION1" localSheetId="4">_xludf.LAMBDA(SUM('[3]RATES CWL 2023-2024'!$B$48-500)/3)</definedName>
    <definedName name="MY_FUNCTION1" localSheetId="3">_xludf.LAMBDA(SUM('[3]RATES CWL 2023-2024'!$B$48-500)/3)</definedName>
    <definedName name="MY_FUNCTION1" localSheetId="1">_xludf.LAMBDA(SUM('[3]RATES CWL 2023-2024'!$B$48-500)/3)</definedName>
    <definedName name="MY_FUNCTION1">_xludf.LAMBDA(SUM('[3]RATES CWL 2023-2024'!$B$48-500)/3)</definedName>
    <definedName name="NO_OF_ROOMS">[1]Assumptions!$B$5</definedName>
    <definedName name="PAYROLL_TAXES">[1]Assumptions!$F$57</definedName>
    <definedName name="PET_FEE_MULTIPLIER">[1]Assumptions!$B$26</definedName>
    <definedName name="PET_FEE_PER_STAY">[1]Assumptions!$B$25</definedName>
    <definedName name="PRIOR_YEAR_TOTAL_OCCUPIED_ROOMS">Summary!$T$12</definedName>
    <definedName name="RESORT_FEE_MULTIPLIER">[1]Assumptions!$B$23</definedName>
    <definedName name="RESORT_FEE_PER_STAY">[1]Assumptions!$B$22</definedName>
    <definedName name="SUPPPAY">[1]Assumptions!$F$58</definedName>
    <definedName name="Tipo1">'[4]Tipo Cambio'!$1:$1048576</definedName>
    <definedName name="Tipo2">'[4]Tipo Cambio'!$1:$1</definedName>
    <definedName name="TOTAL_OCCUPIED_ROOMS">[1]Assumptions!$B$6</definedName>
    <definedName name="TOTAL_OPERATING_REVENUE">Summary!$O$43</definedName>
    <definedName name="WC_ANDG">[1]Assumptions!$F$62</definedName>
    <definedName name="WC_FANDB">[1]Assumptions!$F$61</definedName>
    <definedName name="WC_RANDM">[1]Assumptions!$F$64</definedName>
    <definedName name="WC_ROOMS">[1]Assumptions!$F$60</definedName>
    <definedName name="WC_SANDM">[1]Assumptions!$F$63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vB/n9pmlek4QhLrQrA/rwm+MputkBCbeMOb1n1CwhsM="/>
    </ext>
  </extLst>
</workbook>
</file>

<file path=xl/calcChain.xml><?xml version="1.0" encoding="utf-8"?>
<calcChain xmlns="http://schemas.openxmlformats.org/spreadsheetml/2006/main">
  <c r="AE48" i="18" l="1"/>
  <c r="L32" i="18"/>
  <c r="N30" i="18"/>
  <c r="M30" i="18"/>
  <c r="K30" i="18"/>
  <c r="J30" i="18"/>
  <c r="I30" i="18"/>
  <c r="H30" i="18"/>
  <c r="G30" i="18"/>
  <c r="F30" i="18"/>
  <c r="E30" i="18"/>
  <c r="D30" i="18"/>
  <c r="C30" i="18"/>
  <c r="N29" i="18"/>
  <c r="M29" i="18"/>
  <c r="K29" i="18"/>
  <c r="J29" i="18"/>
  <c r="I29" i="18"/>
  <c r="H29" i="18"/>
  <c r="G29" i="18"/>
  <c r="F29" i="18"/>
  <c r="E29" i="18"/>
  <c r="D29" i="18"/>
  <c r="C29" i="18"/>
  <c r="N28" i="18"/>
  <c r="M28" i="18"/>
  <c r="K28" i="18"/>
  <c r="J28" i="18"/>
  <c r="I28" i="18"/>
  <c r="H28" i="18"/>
  <c r="G28" i="18"/>
  <c r="F28" i="18"/>
  <c r="E28" i="18"/>
  <c r="D28" i="18"/>
  <c r="C28" i="18"/>
  <c r="N27" i="18"/>
  <c r="M27" i="18"/>
  <c r="K27" i="18"/>
  <c r="J27" i="18"/>
  <c r="I27" i="18"/>
  <c r="H27" i="18"/>
  <c r="G27" i="18"/>
  <c r="F27" i="18"/>
  <c r="E27" i="18"/>
  <c r="D27" i="18"/>
  <c r="C27" i="18"/>
  <c r="N26" i="18"/>
  <c r="M26" i="18"/>
  <c r="K26" i="18"/>
  <c r="J26" i="18"/>
  <c r="I26" i="18"/>
  <c r="H26" i="18"/>
  <c r="G26" i="18"/>
  <c r="F26" i="18"/>
  <c r="E26" i="18"/>
  <c r="D26" i="18"/>
  <c r="C26" i="18"/>
  <c r="N25" i="18"/>
  <c r="M25" i="18"/>
  <c r="K25" i="18"/>
  <c r="J25" i="18"/>
  <c r="I25" i="18"/>
  <c r="H25" i="18"/>
  <c r="G25" i="18"/>
  <c r="F25" i="18"/>
  <c r="E25" i="18"/>
  <c r="D25" i="18"/>
  <c r="C25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N9" i="18"/>
  <c r="M9" i="18"/>
  <c r="L9" i="18"/>
  <c r="K9" i="18"/>
  <c r="J9" i="18"/>
  <c r="I9" i="18"/>
  <c r="H9" i="18"/>
  <c r="G9" i="18"/>
  <c r="F9" i="18"/>
  <c r="E9" i="18"/>
  <c r="D9" i="18"/>
  <c r="C9" i="18"/>
  <c r="C304" i="2"/>
  <c r="C331" i="2"/>
  <c r="AE163" i="2"/>
  <c r="AE168" i="2" s="1"/>
  <c r="K32" i="18" l="1"/>
  <c r="O29" i="18"/>
  <c r="O28" i="18"/>
  <c r="N32" i="18"/>
  <c r="O26" i="18"/>
  <c r="E32" i="18"/>
  <c r="F32" i="18"/>
  <c r="D32" i="18"/>
  <c r="G32" i="18"/>
  <c r="H32" i="18"/>
  <c r="O25" i="18"/>
  <c r="I32" i="18"/>
  <c r="M32" i="18"/>
  <c r="O27" i="18"/>
  <c r="J32" i="18"/>
  <c r="O30" i="18"/>
  <c r="C32" i="18"/>
  <c r="O102" i="2"/>
  <c r="O101" i="2"/>
  <c r="O100" i="2"/>
  <c r="O99" i="2"/>
  <c r="O98" i="2"/>
  <c r="O97" i="2"/>
  <c r="F82" i="16"/>
  <c r="Q82" i="16"/>
  <c r="M82" i="16"/>
  <c r="R82" i="16"/>
  <c r="R80" i="16"/>
  <c r="R79" i="16"/>
  <c r="R78" i="16"/>
  <c r="R77" i="16"/>
  <c r="K78" i="16"/>
  <c r="L78" i="16"/>
  <c r="L77" i="16"/>
  <c r="E84" i="16"/>
  <c r="E82" i="16"/>
  <c r="E81" i="16"/>
  <c r="E80" i="16"/>
  <c r="E79" i="16"/>
  <c r="E78" i="16"/>
  <c r="D84" i="16"/>
  <c r="D80" i="16"/>
  <c r="D79" i="16"/>
  <c r="D78" i="16"/>
  <c r="K84" i="16"/>
  <c r="K80" i="16"/>
  <c r="K79" i="16"/>
  <c r="F84" i="16"/>
  <c r="G84" i="16"/>
  <c r="G21" i="16"/>
  <c r="G20" i="16"/>
  <c r="G19" i="16"/>
  <c r="E21" i="16"/>
  <c r="E20" i="16"/>
  <c r="E19" i="16"/>
  <c r="K30" i="17"/>
  <c r="K97" i="17" s="1"/>
  <c r="K29" i="17"/>
  <c r="K28" i="17"/>
  <c r="K27" i="17"/>
  <c r="K26" i="17"/>
  <c r="K25" i="17"/>
  <c r="J179" i="17"/>
  <c r="K178" i="17"/>
  <c r="K177" i="17"/>
  <c r="K176" i="17"/>
  <c r="L131" i="17"/>
  <c r="J131" i="17"/>
  <c r="I131" i="17"/>
  <c r="H131" i="17"/>
  <c r="E122" i="17"/>
  <c r="D122" i="17"/>
  <c r="E121" i="17"/>
  <c r="D121" i="17"/>
  <c r="D126" i="17" s="1" a="1"/>
  <c r="D126" i="17" s="1"/>
  <c r="E120" i="17"/>
  <c r="D120" i="17"/>
  <c r="K111" i="17"/>
  <c r="J110" i="17"/>
  <c r="K109" i="17"/>
  <c r="K108" i="17"/>
  <c r="K107" i="17"/>
  <c r="N105" i="17"/>
  <c r="N131" i="17" s="1"/>
  <c r="M105" i="17"/>
  <c r="M131" i="17" s="1"/>
  <c r="L105" i="17"/>
  <c r="K105" i="17"/>
  <c r="K131" i="17" s="1"/>
  <c r="J105" i="17"/>
  <c r="I105" i="17"/>
  <c r="H105" i="17"/>
  <c r="G105" i="17"/>
  <c r="G131" i="17" s="1"/>
  <c r="F105" i="17"/>
  <c r="F131" i="17" s="1"/>
  <c r="E105" i="17"/>
  <c r="E131" i="17" s="1"/>
  <c r="D105" i="17"/>
  <c r="D131" i="17" s="1"/>
  <c r="C105" i="17"/>
  <c r="C131" i="17" s="1"/>
  <c r="K96" i="17"/>
  <c r="K180" i="17" s="1"/>
  <c r="K95" i="17"/>
  <c r="C61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M49" i="17"/>
  <c r="L49" i="17"/>
  <c r="K49" i="17"/>
  <c r="J49" i="17"/>
  <c r="I49" i="17"/>
  <c r="H49" i="17"/>
  <c r="G49" i="17"/>
  <c r="F49" i="17"/>
  <c r="E49" i="17"/>
  <c r="D49" i="17"/>
  <c r="C49" i="17"/>
  <c r="K32" i="17"/>
  <c r="N30" i="17"/>
  <c r="N97" i="17" s="1"/>
  <c r="M30" i="17"/>
  <c r="M97" i="17" s="1"/>
  <c r="L97" i="17"/>
  <c r="J30" i="17"/>
  <c r="O30" i="17" s="1"/>
  <c r="I30" i="17"/>
  <c r="I97" i="17" s="1"/>
  <c r="H30" i="17"/>
  <c r="H97" i="17" s="1"/>
  <c r="G30" i="17"/>
  <c r="G97" i="17" s="1"/>
  <c r="F30" i="17"/>
  <c r="F97" i="17" s="1"/>
  <c r="E30" i="17"/>
  <c r="E97" i="17" s="1"/>
  <c r="D30" i="17"/>
  <c r="D97" i="17" s="1"/>
  <c r="C30" i="17"/>
  <c r="C97" i="17" s="1"/>
  <c r="N29" i="17"/>
  <c r="N96" i="17" s="1"/>
  <c r="M29" i="17"/>
  <c r="M96" i="17" s="1"/>
  <c r="L96" i="17"/>
  <c r="J29" i="17"/>
  <c r="O29" i="17" s="1"/>
  <c r="I29" i="17"/>
  <c r="I96" i="17" s="1"/>
  <c r="H29" i="17"/>
  <c r="H96" i="17" s="1"/>
  <c r="G29" i="17"/>
  <c r="G96" i="17" s="1"/>
  <c r="F29" i="17"/>
  <c r="F96" i="17" s="1"/>
  <c r="E29" i="17"/>
  <c r="E96" i="17" s="1"/>
  <c r="D29" i="17"/>
  <c r="D96" i="17" s="1"/>
  <c r="C29" i="17"/>
  <c r="C96" i="17" s="1"/>
  <c r="N28" i="17"/>
  <c r="N95" i="17" s="1"/>
  <c r="M28" i="17"/>
  <c r="M95" i="17" s="1"/>
  <c r="L95" i="17"/>
  <c r="J28" i="17"/>
  <c r="O28" i="17" s="1"/>
  <c r="I28" i="17"/>
  <c r="I95" i="17" s="1"/>
  <c r="H28" i="17"/>
  <c r="H95" i="17" s="1"/>
  <c r="G28" i="17"/>
  <c r="G95" i="17" s="1"/>
  <c r="F28" i="17"/>
  <c r="F95" i="17" s="1"/>
  <c r="E28" i="17"/>
  <c r="E95" i="17" s="1"/>
  <c r="D28" i="17"/>
  <c r="D95" i="17" s="1"/>
  <c r="C28" i="17"/>
  <c r="C95" i="17" s="1"/>
  <c r="N27" i="17"/>
  <c r="N94" i="17" s="1"/>
  <c r="M27" i="17"/>
  <c r="M94" i="17" s="1"/>
  <c r="L94" i="17"/>
  <c r="J27" i="17"/>
  <c r="J94" i="17" s="1"/>
  <c r="I27" i="17"/>
  <c r="I94" i="17" s="1"/>
  <c r="H27" i="17"/>
  <c r="H94" i="17" s="1"/>
  <c r="G27" i="17"/>
  <c r="G94" i="17" s="1"/>
  <c r="F27" i="17"/>
  <c r="F94" i="17" s="1"/>
  <c r="E27" i="17"/>
  <c r="E94" i="17" s="1"/>
  <c r="D27" i="17"/>
  <c r="D94" i="17" s="1"/>
  <c r="C27" i="17"/>
  <c r="C94" i="17" s="1"/>
  <c r="N26" i="17"/>
  <c r="N93" i="17" s="1"/>
  <c r="M26" i="17"/>
  <c r="M93" i="17" s="1"/>
  <c r="L93" i="17"/>
  <c r="J26" i="17"/>
  <c r="J93" i="17" s="1"/>
  <c r="I26" i="17"/>
  <c r="I93" i="17" s="1"/>
  <c r="H26" i="17"/>
  <c r="H93" i="17" s="1"/>
  <c r="G26" i="17"/>
  <c r="G93" i="17" s="1"/>
  <c r="F26" i="17"/>
  <c r="F93" i="17" s="1"/>
  <c r="E26" i="17"/>
  <c r="E93" i="17" s="1"/>
  <c r="D26" i="17"/>
  <c r="D93" i="17" s="1"/>
  <c r="C26" i="17"/>
  <c r="C93" i="17" s="1"/>
  <c r="N25" i="17"/>
  <c r="N32" i="17" s="1"/>
  <c r="M25" i="17"/>
  <c r="M32" i="17" s="1"/>
  <c r="L92" i="17"/>
  <c r="J25" i="17"/>
  <c r="J92" i="17" s="1"/>
  <c r="I25" i="17"/>
  <c r="I92" i="17" s="1"/>
  <c r="H25" i="17"/>
  <c r="H92" i="17" s="1"/>
  <c r="G25" i="17"/>
  <c r="G92" i="17" s="1"/>
  <c r="F25" i="17"/>
  <c r="F92" i="17" s="1"/>
  <c r="E25" i="17"/>
  <c r="E92" i="17" s="1"/>
  <c r="D25" i="17"/>
  <c r="D92" i="17" s="1"/>
  <c r="C25" i="17"/>
  <c r="C32" i="17" s="1"/>
  <c r="N20" i="17"/>
  <c r="M20" i="17"/>
  <c r="L20" i="17"/>
  <c r="K20" i="17"/>
  <c r="J20" i="17"/>
  <c r="I20" i="17"/>
  <c r="H20" i="17"/>
  <c r="G20" i="17"/>
  <c r="F20" i="17"/>
  <c r="E20" i="17"/>
  <c r="D20" i="17"/>
  <c r="C20" i="17"/>
  <c r="N9" i="17"/>
  <c r="M9" i="17"/>
  <c r="L9" i="17"/>
  <c r="K9" i="17"/>
  <c r="J9" i="17"/>
  <c r="I9" i="17"/>
  <c r="H9" i="17"/>
  <c r="G9" i="17"/>
  <c r="F9" i="17"/>
  <c r="E9" i="17"/>
  <c r="D9" i="17"/>
  <c r="C9" i="17"/>
  <c r="O32" i="18" l="1"/>
  <c r="K181" i="17"/>
  <c r="K112" i="17"/>
  <c r="K98" i="17"/>
  <c r="K99" i="17" s="1"/>
  <c r="J177" i="17"/>
  <c r="J108" i="17"/>
  <c r="I107" i="17"/>
  <c r="I98" i="17"/>
  <c r="I176" i="17"/>
  <c r="N111" i="17"/>
  <c r="N180" i="17"/>
  <c r="M178" i="17"/>
  <c r="M109" i="17"/>
  <c r="L98" i="17"/>
  <c r="L176" i="17"/>
  <c r="L107" i="17"/>
  <c r="L178" i="17"/>
  <c r="L109" i="17"/>
  <c r="J107" i="17"/>
  <c r="J176" i="17"/>
  <c r="C111" i="17"/>
  <c r="C180" i="17"/>
  <c r="O96" i="17"/>
  <c r="D111" i="17"/>
  <c r="D180" i="17"/>
  <c r="K148" i="17"/>
  <c r="M179" i="17"/>
  <c r="M110" i="17"/>
  <c r="N110" i="17"/>
  <c r="N179" i="17"/>
  <c r="N178" i="17"/>
  <c r="N109" i="17"/>
  <c r="O94" i="17"/>
  <c r="C109" i="17"/>
  <c r="C178" i="17"/>
  <c r="E110" i="17"/>
  <c r="E179" i="17"/>
  <c r="E109" i="17"/>
  <c r="E178" i="17"/>
  <c r="E108" i="17"/>
  <c r="E177" i="17"/>
  <c r="G109" i="17"/>
  <c r="G178" i="17"/>
  <c r="F107" i="17"/>
  <c r="F98" i="17"/>
  <c r="F176" i="17"/>
  <c r="L112" i="17"/>
  <c r="L181" i="17"/>
  <c r="M177" i="17"/>
  <c r="M108" i="17"/>
  <c r="O95" i="17"/>
  <c r="C110" i="17"/>
  <c r="C179" i="17"/>
  <c r="E112" i="17"/>
  <c r="E181" i="17"/>
  <c r="E111" i="17"/>
  <c r="E180" i="17"/>
  <c r="C177" i="17"/>
  <c r="O93" i="17"/>
  <c r="C108" i="17"/>
  <c r="H181" i="17"/>
  <c r="H112" i="17"/>
  <c r="E107" i="17"/>
  <c r="E98" i="17"/>
  <c r="E176" i="17"/>
  <c r="H179" i="17"/>
  <c r="H110" i="17"/>
  <c r="L180" i="17"/>
  <c r="L111" i="17"/>
  <c r="M112" i="17"/>
  <c r="M181" i="17"/>
  <c r="M138" i="17"/>
  <c r="C136" i="17"/>
  <c r="E134" i="17"/>
  <c r="F133" i="17"/>
  <c r="M137" i="17"/>
  <c r="N136" i="17"/>
  <c r="C135" i="17"/>
  <c r="D134" i="17"/>
  <c r="E133" i="17"/>
  <c r="K138" i="17"/>
  <c r="K153" i="17" s="1"/>
  <c r="M136" i="17"/>
  <c r="D133" i="17"/>
  <c r="K137" i="17"/>
  <c r="K152" i="17" s="1"/>
  <c r="L136" i="17"/>
  <c r="M135" i="17"/>
  <c r="N134" i="17"/>
  <c r="I138" i="17"/>
  <c r="L135" i="17"/>
  <c r="M134" i="17"/>
  <c r="H138" i="17"/>
  <c r="I137" i="17"/>
  <c r="J136" i="17"/>
  <c r="J151" i="17" s="1"/>
  <c r="K135" i="17"/>
  <c r="K150" i="17" s="1"/>
  <c r="L134" i="17"/>
  <c r="G138" i="17"/>
  <c r="K134" i="17"/>
  <c r="K149" i="17" s="1"/>
  <c r="H136" i="17"/>
  <c r="I135" i="17"/>
  <c r="J134" i="17"/>
  <c r="K133" i="17"/>
  <c r="E138" i="17"/>
  <c r="J133" i="17"/>
  <c r="E137" i="17"/>
  <c r="G135" i="17"/>
  <c r="H134" i="17"/>
  <c r="I133" i="17"/>
  <c r="C138" i="17"/>
  <c r="N138" i="17"/>
  <c r="C137" i="17"/>
  <c r="E135" i="17"/>
  <c r="L177" i="17"/>
  <c r="L108" i="17"/>
  <c r="C112" i="17"/>
  <c r="C181" i="17"/>
  <c r="D112" i="17"/>
  <c r="D138" i="17" s="1"/>
  <c r="D181" i="17"/>
  <c r="N177" i="17"/>
  <c r="N108" i="17"/>
  <c r="D110" i="17"/>
  <c r="D136" i="17" s="1"/>
  <c r="D179" i="17"/>
  <c r="F181" i="17"/>
  <c r="F112" i="17"/>
  <c r="F138" i="17" s="1"/>
  <c r="D109" i="17"/>
  <c r="D135" i="17" s="1"/>
  <c r="D178" i="17"/>
  <c r="F111" i="17"/>
  <c r="F180" i="17"/>
  <c r="G181" i="17"/>
  <c r="G112" i="17"/>
  <c r="D108" i="17"/>
  <c r="D177" i="17"/>
  <c r="F110" i="17"/>
  <c r="F136" i="17" s="1"/>
  <c r="F179" i="17"/>
  <c r="G180" i="17"/>
  <c r="G111" i="17"/>
  <c r="D176" i="17"/>
  <c r="D107" i="17"/>
  <c r="D98" i="17"/>
  <c r="F109" i="17"/>
  <c r="F178" i="17"/>
  <c r="G110" i="17"/>
  <c r="G179" i="17"/>
  <c r="H180" i="17"/>
  <c r="H111" i="17"/>
  <c r="I181" i="17"/>
  <c r="I112" i="17"/>
  <c r="F108" i="17"/>
  <c r="F134" i="17" s="1"/>
  <c r="F177" i="17"/>
  <c r="I180" i="17"/>
  <c r="I111" i="17"/>
  <c r="G108" i="17"/>
  <c r="G134" i="17" s="1"/>
  <c r="G177" i="17"/>
  <c r="H109" i="17"/>
  <c r="H178" i="17"/>
  <c r="I179" i="17"/>
  <c r="I110" i="17"/>
  <c r="G107" i="17"/>
  <c r="G133" i="17" s="1"/>
  <c r="G98" i="17"/>
  <c r="G176" i="17"/>
  <c r="G183" i="17" s="1"/>
  <c r="H108" i="17"/>
  <c r="H177" i="17"/>
  <c r="I178" i="17"/>
  <c r="I109" i="17"/>
  <c r="H107" i="17"/>
  <c r="H133" i="17" s="1"/>
  <c r="H98" i="17"/>
  <c r="H99" i="17" s="1"/>
  <c r="H176" i="17"/>
  <c r="I108" i="17"/>
  <c r="I134" i="17" s="1"/>
  <c r="I177" i="17"/>
  <c r="J178" i="17"/>
  <c r="J109" i="17"/>
  <c r="L179" i="17"/>
  <c r="L110" i="17"/>
  <c r="M111" i="17"/>
  <c r="M180" i="17"/>
  <c r="N112" i="17"/>
  <c r="N181" i="17"/>
  <c r="D32" i="17"/>
  <c r="C92" i="17"/>
  <c r="O27" i="17"/>
  <c r="E32" i="17"/>
  <c r="F32" i="17"/>
  <c r="G32" i="17"/>
  <c r="K110" i="17"/>
  <c r="K136" i="17" s="1"/>
  <c r="O25" i="17"/>
  <c r="H32" i="17"/>
  <c r="J32" i="17"/>
  <c r="O26" i="17"/>
  <c r="I32" i="17"/>
  <c r="J96" i="17"/>
  <c r="L32" i="17"/>
  <c r="J97" i="17"/>
  <c r="M92" i="17"/>
  <c r="K179" i="17"/>
  <c r="K183" i="17" s="1"/>
  <c r="N92" i="17"/>
  <c r="L99" i="17" l="1"/>
  <c r="K164" i="17"/>
  <c r="K197" i="17"/>
  <c r="J165" i="17"/>
  <c r="J198" i="17"/>
  <c r="K199" i="17"/>
  <c r="K166" i="17"/>
  <c r="K140" i="17"/>
  <c r="O108" i="17"/>
  <c r="L183" i="17"/>
  <c r="N176" i="17"/>
  <c r="N183" i="17" s="1"/>
  <c r="N107" i="17"/>
  <c r="N98" i="17"/>
  <c r="N99" i="17" s="1"/>
  <c r="K162" i="17"/>
  <c r="K195" i="17"/>
  <c r="N149" i="17"/>
  <c r="F99" i="17"/>
  <c r="K200" i="17"/>
  <c r="K167" i="17"/>
  <c r="M176" i="17"/>
  <c r="M183" i="17" s="1"/>
  <c r="M107" i="17"/>
  <c r="M98" i="17"/>
  <c r="M99" i="17" s="1"/>
  <c r="O178" i="17"/>
  <c r="H152" i="17"/>
  <c r="J180" i="17"/>
  <c r="J183" i="17" s="1"/>
  <c r="J111" i="17"/>
  <c r="O92" i="17"/>
  <c r="C176" i="17"/>
  <c r="C107" i="17"/>
  <c r="C98" i="17"/>
  <c r="H183" i="17"/>
  <c r="D149" i="17"/>
  <c r="G137" i="17"/>
  <c r="G152" i="17" s="1"/>
  <c r="H151" i="17"/>
  <c r="E152" i="17"/>
  <c r="F148" i="17"/>
  <c r="F114" i="17"/>
  <c r="N150" i="17"/>
  <c r="C152" i="17"/>
  <c r="F149" i="17"/>
  <c r="L114" i="17"/>
  <c r="L148" i="17"/>
  <c r="L153" i="17"/>
  <c r="J181" i="17"/>
  <c r="J112" i="17"/>
  <c r="M150" i="17"/>
  <c r="K114" i="17"/>
  <c r="G151" i="17"/>
  <c r="G153" i="17"/>
  <c r="L138" i="17"/>
  <c r="M153" i="17"/>
  <c r="D151" i="17"/>
  <c r="O109" i="17"/>
  <c r="C150" i="17"/>
  <c r="D153" i="17"/>
  <c r="E183" i="17"/>
  <c r="E153" i="17"/>
  <c r="G150" i="17"/>
  <c r="J98" i="17"/>
  <c r="J99" i="17" s="1"/>
  <c r="I183" i="17"/>
  <c r="F153" i="17"/>
  <c r="I153" i="17"/>
  <c r="F183" i="17"/>
  <c r="N153" i="17"/>
  <c r="O97" i="17"/>
  <c r="K163" i="17"/>
  <c r="K196" i="17"/>
  <c r="C134" i="17"/>
  <c r="O134" i="17" s="1"/>
  <c r="E99" i="17"/>
  <c r="O179" i="17"/>
  <c r="N151" i="17"/>
  <c r="J148" i="17"/>
  <c r="J114" i="17"/>
  <c r="I99" i="17"/>
  <c r="G148" i="17"/>
  <c r="G114" i="17"/>
  <c r="F151" i="17"/>
  <c r="I150" i="17"/>
  <c r="I152" i="17"/>
  <c r="D99" i="17"/>
  <c r="O181" i="17"/>
  <c r="F135" i="17"/>
  <c r="F150" i="17" s="1"/>
  <c r="H135" i="17"/>
  <c r="H140" i="17" s="1"/>
  <c r="J135" i="17"/>
  <c r="N135" i="17"/>
  <c r="E148" i="17"/>
  <c r="E114" i="17"/>
  <c r="O110" i="17"/>
  <c r="C151" i="17"/>
  <c r="E149" i="17"/>
  <c r="M151" i="17"/>
  <c r="L150" i="17"/>
  <c r="I148" i="17"/>
  <c r="I114" i="17"/>
  <c r="G99" i="17"/>
  <c r="O177" i="17"/>
  <c r="G149" i="17"/>
  <c r="M152" i="17"/>
  <c r="D114" i="17"/>
  <c r="D148" i="17"/>
  <c r="C153" i="17"/>
  <c r="E136" i="17"/>
  <c r="E151" i="17" s="1"/>
  <c r="G136" i="17"/>
  <c r="G140" i="17" s="1"/>
  <c r="I136" i="17"/>
  <c r="O136" i="17" s="1"/>
  <c r="J149" i="17"/>
  <c r="K151" i="17"/>
  <c r="O135" i="17"/>
  <c r="I149" i="17"/>
  <c r="H148" i="17"/>
  <c r="H114" i="17"/>
  <c r="L133" i="17"/>
  <c r="L140" i="17" s="1"/>
  <c r="O32" i="17"/>
  <c r="L151" i="17"/>
  <c r="H149" i="17"/>
  <c r="D183" i="17"/>
  <c r="D150" i="17"/>
  <c r="L149" i="17"/>
  <c r="D137" i="17"/>
  <c r="D140" i="17" s="1"/>
  <c r="F137" i="17"/>
  <c r="F152" i="17" s="1"/>
  <c r="H137" i="17"/>
  <c r="L137" i="17"/>
  <c r="L152" i="17" s="1"/>
  <c r="N137" i="17"/>
  <c r="N152" i="17" s="1"/>
  <c r="H153" i="17"/>
  <c r="M149" i="17"/>
  <c r="E150" i="17"/>
  <c r="L199" i="17" l="1"/>
  <c r="L166" i="17"/>
  <c r="F197" i="17"/>
  <c r="F164" i="17"/>
  <c r="F166" i="17"/>
  <c r="F199" i="17"/>
  <c r="G166" i="17"/>
  <c r="G199" i="17"/>
  <c r="J140" i="17"/>
  <c r="E198" i="17"/>
  <c r="E165" i="17"/>
  <c r="N199" i="17"/>
  <c r="N166" i="17"/>
  <c r="F198" i="17"/>
  <c r="F165" i="17"/>
  <c r="E167" i="17"/>
  <c r="E200" i="17"/>
  <c r="G165" i="17"/>
  <c r="G198" i="17"/>
  <c r="N197" i="17"/>
  <c r="N164" i="17"/>
  <c r="O180" i="17"/>
  <c r="K198" i="17"/>
  <c r="K205" i="17" s="1"/>
  <c r="K165" i="17"/>
  <c r="H150" i="17"/>
  <c r="J137" i="17"/>
  <c r="O137" i="17" s="1"/>
  <c r="E140" i="17"/>
  <c r="F140" i="17"/>
  <c r="J138" i="17"/>
  <c r="O138" i="17" s="1"/>
  <c r="H165" i="17"/>
  <c r="H198" i="17"/>
  <c r="K154" i="17"/>
  <c r="K168" i="17" s="1"/>
  <c r="G196" i="17"/>
  <c r="G163" i="17"/>
  <c r="L163" i="17"/>
  <c r="L196" i="17"/>
  <c r="N200" i="17"/>
  <c r="N167" i="17"/>
  <c r="D197" i="17"/>
  <c r="D164" i="17"/>
  <c r="I195" i="17"/>
  <c r="I162" i="17"/>
  <c r="I154" i="17"/>
  <c r="I168" i="17" s="1"/>
  <c r="J162" i="17"/>
  <c r="J195" i="17"/>
  <c r="I151" i="17"/>
  <c r="E154" i="17"/>
  <c r="E168" i="17" s="1"/>
  <c r="E195" i="17"/>
  <c r="E162" i="17"/>
  <c r="L198" i="17"/>
  <c r="L165" i="17"/>
  <c r="D152" i="17"/>
  <c r="D198" i="17"/>
  <c r="D165" i="17"/>
  <c r="L200" i="17"/>
  <c r="L167" i="17"/>
  <c r="M114" i="17"/>
  <c r="M133" i="17"/>
  <c r="M140" i="17" s="1"/>
  <c r="M197" i="17"/>
  <c r="M164" i="17"/>
  <c r="E197" i="17"/>
  <c r="E164" i="17"/>
  <c r="C200" i="17"/>
  <c r="C167" i="17"/>
  <c r="M198" i="17"/>
  <c r="M165" i="17"/>
  <c r="I200" i="17"/>
  <c r="I167" i="17"/>
  <c r="M200" i="17"/>
  <c r="M167" i="17"/>
  <c r="L162" i="17"/>
  <c r="L154" i="17"/>
  <c r="L168" i="17" s="1"/>
  <c r="L195" i="17"/>
  <c r="D196" i="17"/>
  <c r="D163" i="17"/>
  <c r="N114" i="17"/>
  <c r="N148" i="17"/>
  <c r="N133" i="17"/>
  <c r="N140" i="17" s="1"/>
  <c r="N196" i="17"/>
  <c r="N163" i="17"/>
  <c r="D200" i="17"/>
  <c r="D167" i="17"/>
  <c r="I140" i="17"/>
  <c r="H196" i="17"/>
  <c r="H163" i="17"/>
  <c r="L197" i="17"/>
  <c r="L164" i="17"/>
  <c r="M196" i="17"/>
  <c r="M163" i="17"/>
  <c r="H167" i="17"/>
  <c r="H200" i="17"/>
  <c r="O112" i="17"/>
  <c r="E196" i="17"/>
  <c r="E163" i="17"/>
  <c r="I166" i="17"/>
  <c r="I199" i="17"/>
  <c r="F167" i="17"/>
  <c r="F200" i="17"/>
  <c r="J150" i="17"/>
  <c r="N198" i="17"/>
  <c r="N165" i="17"/>
  <c r="D195" i="17"/>
  <c r="D162" i="17"/>
  <c r="C198" i="17"/>
  <c r="O151" i="17"/>
  <c r="O165" i="17" s="1"/>
  <c r="C165" i="17"/>
  <c r="I164" i="17"/>
  <c r="I197" i="17"/>
  <c r="F196" i="17"/>
  <c r="F163" i="17"/>
  <c r="C99" i="17"/>
  <c r="O98" i="17"/>
  <c r="O99" i="17" s="1"/>
  <c r="O131" i="17" s="1"/>
  <c r="G195" i="17"/>
  <c r="G162" i="17"/>
  <c r="G154" i="17"/>
  <c r="G168" i="17" s="1"/>
  <c r="H166" i="17"/>
  <c r="H199" i="17"/>
  <c r="C197" i="17"/>
  <c r="C164" i="17"/>
  <c r="H195" i="17"/>
  <c r="H162" i="17"/>
  <c r="H154" i="17"/>
  <c r="H168" i="17" s="1"/>
  <c r="C199" i="17"/>
  <c r="C166" i="17"/>
  <c r="C114" i="17"/>
  <c r="O107" i="17"/>
  <c r="C133" i="17"/>
  <c r="J163" i="17"/>
  <c r="J196" i="17"/>
  <c r="F195" i="17"/>
  <c r="F205" i="17" s="1"/>
  <c r="F162" i="17"/>
  <c r="F154" i="17"/>
  <c r="F168" i="17" s="1"/>
  <c r="E199" i="17"/>
  <c r="E166" i="17"/>
  <c r="I163" i="17"/>
  <c r="I196" i="17"/>
  <c r="M199" i="17"/>
  <c r="M166" i="17"/>
  <c r="G197" i="17"/>
  <c r="G164" i="17"/>
  <c r="G167" i="17"/>
  <c r="G200" i="17"/>
  <c r="O111" i="17"/>
  <c r="O176" i="17"/>
  <c r="C183" i="17"/>
  <c r="O183" i="17" s="1"/>
  <c r="C149" i="17"/>
  <c r="Q47" i="18" l="1"/>
  <c r="N154" i="17"/>
  <c r="N168" i="17" s="1"/>
  <c r="N195" i="17"/>
  <c r="N205" i="17" s="1"/>
  <c r="N162" i="17"/>
  <c r="J164" i="17"/>
  <c r="J197" i="17"/>
  <c r="O150" i="17"/>
  <c r="O164" i="17" s="1"/>
  <c r="J153" i="17"/>
  <c r="E205" i="17"/>
  <c r="L205" i="17"/>
  <c r="O133" i="17"/>
  <c r="C140" i="17"/>
  <c r="O140" i="17" s="1"/>
  <c r="M148" i="17"/>
  <c r="D199" i="17"/>
  <c r="D166" i="17"/>
  <c r="C148" i="17"/>
  <c r="O114" i="17"/>
  <c r="D205" i="17"/>
  <c r="I165" i="17"/>
  <c r="I198" i="17"/>
  <c r="I205" i="17" s="1"/>
  <c r="J152" i="17"/>
  <c r="C196" i="17"/>
  <c r="O196" i="17" s="1"/>
  <c r="O149" i="17"/>
  <c r="O163" i="17" s="1"/>
  <c r="C163" i="17"/>
  <c r="O152" i="17"/>
  <c r="O166" i="17" s="1"/>
  <c r="G205" i="17"/>
  <c r="D154" i="17"/>
  <c r="D168" i="17" s="1"/>
  <c r="H164" i="17"/>
  <c r="H197" i="17"/>
  <c r="H205" i="17" s="1"/>
  <c r="O198" i="17" l="1"/>
  <c r="C154" i="17"/>
  <c r="C195" i="17"/>
  <c r="O148" i="17"/>
  <c r="O162" i="17" s="1"/>
  <c r="C162" i="17"/>
  <c r="O197" i="17"/>
  <c r="M162" i="17"/>
  <c r="M154" i="17"/>
  <c r="M168" i="17" s="1"/>
  <c r="M195" i="17"/>
  <c r="M205" i="17" s="1"/>
  <c r="J200" i="17"/>
  <c r="O200" i="17" s="1"/>
  <c r="J167" i="17"/>
  <c r="O153" i="17"/>
  <c r="O167" i="17" s="1"/>
  <c r="J199" i="17"/>
  <c r="J166" i="17"/>
  <c r="J154" i="17"/>
  <c r="J168" i="17" s="1"/>
  <c r="O154" i="17" l="1"/>
  <c r="C168" i="17"/>
  <c r="C205" i="17"/>
  <c r="O195" i="17"/>
  <c r="O199" i="17"/>
  <c r="J205" i="17"/>
  <c r="O205" i="17" l="1"/>
  <c r="O155" i="17"/>
  <c r="Q155" i="17" s="1"/>
  <c r="Q157" i="17" s="1"/>
  <c r="O168" i="17"/>
  <c r="O171" i="17" s="1"/>
  <c r="P171" i="17" s="1"/>
  <c r="C43" i="11" l="1"/>
  <c r="D43" i="11"/>
  <c r="E43" i="11"/>
  <c r="F43" i="11"/>
  <c r="G43" i="11"/>
  <c r="H43" i="11"/>
  <c r="I43" i="11"/>
  <c r="J43" i="11"/>
  <c r="K43" i="11"/>
  <c r="L43" i="11"/>
  <c r="M43" i="11"/>
  <c r="N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B44" i="11"/>
  <c r="B43" i="11"/>
  <c r="I104" i="16"/>
  <c r="N50" i="8"/>
  <c r="N49" i="8"/>
  <c r="C49" i="8"/>
  <c r="D49" i="8"/>
  <c r="E49" i="8"/>
  <c r="F49" i="8"/>
  <c r="G49" i="8"/>
  <c r="H49" i="8"/>
  <c r="I49" i="8"/>
  <c r="J49" i="8"/>
  <c r="L49" i="8"/>
  <c r="M49" i="8"/>
  <c r="C50" i="8"/>
  <c r="D50" i="8"/>
  <c r="E50" i="8"/>
  <c r="F50" i="8"/>
  <c r="G50" i="8"/>
  <c r="H50" i="8"/>
  <c r="I50" i="8"/>
  <c r="J50" i="8"/>
  <c r="L50" i="8"/>
  <c r="M50" i="8"/>
  <c r="B50" i="8"/>
  <c r="B49" i="8"/>
  <c r="C42" i="8"/>
  <c r="D42" i="8"/>
  <c r="E42" i="8"/>
  <c r="F42" i="8"/>
  <c r="G42" i="8"/>
  <c r="H42" i="8"/>
  <c r="I42" i="8"/>
  <c r="J42" i="8"/>
  <c r="K42" i="8"/>
  <c r="L42" i="8"/>
  <c r="M42" i="8"/>
  <c r="N42" i="8"/>
  <c r="C43" i="8"/>
  <c r="D43" i="8"/>
  <c r="E43" i="8"/>
  <c r="F43" i="8"/>
  <c r="G43" i="8"/>
  <c r="H43" i="8"/>
  <c r="I43" i="8"/>
  <c r="J43" i="8"/>
  <c r="K43" i="8"/>
  <c r="L43" i="8"/>
  <c r="M43" i="8"/>
  <c r="N43" i="8"/>
  <c r="B43" i="8"/>
  <c r="B42" i="8"/>
  <c r="D96" i="16"/>
  <c r="E96" i="16" s="1"/>
  <c r="C94" i="16"/>
  <c r="D94" i="16" s="1"/>
  <c r="E94" i="16" s="1"/>
  <c r="C90" i="16"/>
  <c r="D90" i="16" s="1"/>
  <c r="E90" i="16" s="1"/>
  <c r="C82" i="2"/>
  <c r="C195" i="2" s="1"/>
  <c r="L81" i="16"/>
  <c r="J82" i="16"/>
  <c r="L82" i="16" s="1"/>
  <c r="J80" i="16"/>
  <c r="L80" i="16" s="1"/>
  <c r="N80" i="16" s="1"/>
  <c r="J79" i="16"/>
  <c r="L79" i="16" s="1"/>
  <c r="N79" i="16" s="1"/>
  <c r="C80" i="16"/>
  <c r="G80" i="16" s="1"/>
  <c r="C79" i="16"/>
  <c r="G79" i="16" s="1"/>
  <c r="C78" i="16"/>
  <c r="E77" i="16"/>
  <c r="F77" i="16" s="1"/>
  <c r="J78" i="16"/>
  <c r="C93" i="16" l="1"/>
  <c r="D93" i="16" s="1"/>
  <c r="E93" i="16" s="1"/>
  <c r="C91" i="16"/>
  <c r="C92" i="16"/>
  <c r="D92" i="16" s="1"/>
  <c r="E92" i="16" s="1"/>
  <c r="C84" i="16"/>
  <c r="C95" i="16"/>
  <c r="D95" i="16" s="1"/>
  <c r="E95" i="16" s="1"/>
  <c r="Q80" i="16"/>
  <c r="N78" i="16"/>
  <c r="J84" i="16"/>
  <c r="Q77" i="16"/>
  <c r="M77" i="16"/>
  <c r="Q79" i="16"/>
  <c r="L84" i="16" l="1"/>
  <c r="M80" i="16"/>
  <c r="C98" i="16"/>
  <c r="D91" i="16"/>
  <c r="E91" i="16" s="1"/>
  <c r="E98" i="16" s="1"/>
  <c r="M84" i="16"/>
  <c r="N84" i="16"/>
  <c r="G78" i="16" l="1"/>
  <c r="F80" i="16"/>
  <c r="Q78" i="16" l="1"/>
  <c r="H67" i="16" l="1"/>
  <c r="H66" i="16"/>
  <c r="H65" i="16"/>
  <c r="G67" i="16"/>
  <c r="G66" i="16"/>
  <c r="G65" i="16"/>
  <c r="H64" i="16"/>
  <c r="G64" i="16"/>
  <c r="I55" i="16"/>
  <c r="I56" i="16"/>
  <c r="I57" i="16"/>
  <c r="S102" i="2"/>
  <c r="R102" i="2"/>
  <c r="Q102" i="2"/>
  <c r="S101" i="2"/>
  <c r="S100" i="2"/>
  <c r="S99" i="2"/>
  <c r="S98" i="2"/>
  <c r="S97" i="2"/>
  <c r="R101" i="2"/>
  <c r="R100" i="2"/>
  <c r="R99" i="2"/>
  <c r="R98" i="2"/>
  <c r="R97" i="2"/>
  <c r="Q101" i="2"/>
  <c r="Q100" i="2"/>
  <c r="Q99" i="2"/>
  <c r="Q98" i="2"/>
  <c r="Q97" i="2"/>
  <c r="Q103" i="2" s="1"/>
  <c r="Y38" i="16"/>
  <c r="Y39" i="16"/>
  <c r="Y40" i="16"/>
  <c r="X41" i="16"/>
  <c r="Y41" i="16"/>
  <c r="X42" i="16"/>
  <c r="Y42" i="16"/>
  <c r="X43" i="16"/>
  <c r="Y43" i="16"/>
  <c r="Y44" i="16"/>
  <c r="J37" i="16"/>
  <c r="I37" i="16"/>
  <c r="G10" i="16"/>
  <c r="F10" i="16"/>
  <c r="G7" i="16"/>
  <c r="F7" i="16"/>
  <c r="G3" i="16"/>
  <c r="F3" i="16"/>
  <c r="G2" i="16"/>
  <c r="F2" i="16"/>
  <c r="T98" i="2" l="1"/>
  <c r="T99" i="2"/>
  <c r="T100" i="2"/>
  <c r="T101" i="2"/>
  <c r="T102" i="2"/>
  <c r="S103" i="2"/>
  <c r="R103" i="2"/>
  <c r="T97" i="2"/>
  <c r="T103" i="2" s="1"/>
  <c r="H69" i="16"/>
  <c r="H70" i="16" s="1"/>
  <c r="G69" i="16"/>
  <c r="G70" i="16" s="1"/>
  <c r="G4" i="16"/>
  <c r="F4" i="16"/>
  <c r="F14" i="16"/>
  <c r="G11" i="16"/>
  <c r="G8" i="16"/>
  <c r="F8" i="16"/>
  <c r="G14" i="16"/>
  <c r="K87" i="1"/>
  <c r="K84" i="1"/>
  <c r="K83" i="1"/>
  <c r="K82" i="1"/>
  <c r="M49" i="5"/>
  <c r="L49" i="5"/>
  <c r="K49" i="5"/>
  <c r="J49" i="5"/>
  <c r="I49" i="5"/>
  <c r="H49" i="5"/>
  <c r="G49" i="5"/>
  <c r="F49" i="5"/>
  <c r="E49" i="5"/>
  <c r="D49" i="5"/>
  <c r="C49" i="5"/>
  <c r="M48" i="5"/>
  <c r="L48" i="5"/>
  <c r="K48" i="5"/>
  <c r="J48" i="5"/>
  <c r="I48" i="5"/>
  <c r="H48" i="5"/>
  <c r="G48" i="5"/>
  <c r="F48" i="5"/>
  <c r="E48" i="5"/>
  <c r="D48" i="5"/>
  <c r="C48" i="5"/>
  <c r="B49" i="5"/>
  <c r="B48" i="5"/>
  <c r="D304" i="2"/>
  <c r="E304" i="2"/>
  <c r="F304" i="2"/>
  <c r="G304" i="2"/>
  <c r="H304" i="2"/>
  <c r="I304" i="2"/>
  <c r="J304" i="2"/>
  <c r="K304" i="2"/>
  <c r="M304" i="2"/>
  <c r="N304" i="2"/>
  <c r="N37" i="7"/>
  <c r="B45" i="5"/>
  <c r="C45" i="5"/>
  <c r="D45" i="5"/>
  <c r="E45" i="5"/>
  <c r="F45" i="5"/>
  <c r="G45" i="5"/>
  <c r="H45" i="5"/>
  <c r="I45" i="5"/>
  <c r="J45" i="5"/>
  <c r="N45" i="5"/>
  <c r="M45" i="5"/>
  <c r="L45" i="5"/>
  <c r="K45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41" i="5"/>
  <c r="B40" i="5"/>
  <c r="N104" i="1"/>
  <c r="N48" i="1"/>
  <c r="N47" i="1"/>
  <c r="N46" i="1"/>
  <c r="N50" i="1"/>
  <c r="M49" i="10"/>
  <c r="L49" i="10"/>
  <c r="K49" i="10"/>
  <c r="J49" i="10"/>
  <c r="I49" i="10"/>
  <c r="H49" i="10"/>
  <c r="G49" i="10"/>
  <c r="F49" i="10"/>
  <c r="E49" i="10"/>
  <c r="D49" i="10"/>
  <c r="C49" i="10"/>
  <c r="B49" i="10"/>
  <c r="C181" i="2"/>
  <c r="Q22" i="3"/>
  <c r="Q15" i="3"/>
  <c r="C112" i="2"/>
  <c r="C87" i="2"/>
  <c r="C86" i="2"/>
  <c r="C72" i="2"/>
  <c r="C85" i="2" s="1"/>
  <c r="C198" i="2" s="1"/>
  <c r="C71" i="2"/>
  <c r="C84" i="2" s="1"/>
  <c r="C197" i="2" s="1"/>
  <c r="C70" i="2"/>
  <c r="C83" i="2" s="1"/>
  <c r="C196" i="2" s="1"/>
  <c r="L23" i="3"/>
  <c r="L24" i="3"/>
  <c r="M24" i="3"/>
  <c r="N24" i="3"/>
  <c r="K24" i="3"/>
  <c r="J24" i="3"/>
  <c r="I24" i="3"/>
  <c r="H24" i="3"/>
  <c r="G24" i="3"/>
  <c r="F24" i="3"/>
  <c r="E24" i="3"/>
  <c r="D24" i="3"/>
  <c r="C24" i="3"/>
  <c r="O304" i="2" l="1"/>
  <c r="C89" i="2"/>
  <c r="G5" i="16"/>
  <c r="G15" i="16"/>
  <c r="B106" i="1"/>
  <c r="C76" i="2" l="1"/>
  <c r="D74" i="2"/>
  <c r="E74" i="2" s="1"/>
  <c r="F74" i="2" s="1"/>
  <c r="G74" i="2" s="1"/>
  <c r="H74" i="2" s="1"/>
  <c r="I74" i="2" s="1"/>
  <c r="J74" i="2" s="1"/>
  <c r="K74" i="2" s="1"/>
  <c r="L74" i="2" s="1"/>
  <c r="M74" i="2" s="1"/>
  <c r="N74" i="2" s="1"/>
  <c r="D73" i="2"/>
  <c r="E73" i="2" s="1"/>
  <c r="F73" i="2" s="1"/>
  <c r="G73" i="2" s="1"/>
  <c r="H73" i="2" s="1"/>
  <c r="I73" i="2" s="1"/>
  <c r="J73" i="2" s="1"/>
  <c r="K73" i="2" s="1"/>
  <c r="L73" i="2" s="1"/>
  <c r="M73" i="2" s="1"/>
  <c r="N73" i="2" s="1"/>
  <c r="D72" i="2"/>
  <c r="E72" i="2" s="1"/>
  <c r="F72" i="2" s="1"/>
  <c r="G72" i="2" s="1"/>
  <c r="H72" i="2" s="1"/>
  <c r="I72" i="2" s="1"/>
  <c r="J72" i="2" s="1"/>
  <c r="K72" i="2" s="1"/>
  <c r="L72" i="2" s="1"/>
  <c r="M72" i="2" s="1"/>
  <c r="N72" i="2" s="1"/>
  <c r="D71" i="2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D70" i="2"/>
  <c r="E70" i="2" s="1"/>
  <c r="F70" i="2" s="1"/>
  <c r="G70" i="2" s="1"/>
  <c r="H70" i="2" s="1"/>
  <c r="I70" i="2" s="1"/>
  <c r="J70" i="2" s="1"/>
  <c r="K70" i="2" s="1"/>
  <c r="L70" i="2" s="1"/>
  <c r="M70" i="2" s="1"/>
  <c r="N70" i="2" s="1"/>
  <c r="D69" i="2"/>
  <c r="E69" i="2" s="1"/>
  <c r="F69" i="2" s="1"/>
  <c r="G69" i="2" s="1"/>
  <c r="H69" i="2" s="1"/>
  <c r="I69" i="2" s="1"/>
  <c r="J69" i="2" s="1"/>
  <c r="K69" i="2" s="1"/>
  <c r="L69" i="2" s="1"/>
  <c r="M69" i="2" s="1"/>
  <c r="N69" i="2" s="1"/>
  <c r="D17" i="3" l="1"/>
  <c r="E17" i="3"/>
  <c r="F17" i="3"/>
  <c r="G17" i="3"/>
  <c r="H17" i="3"/>
  <c r="I17" i="3"/>
  <c r="J17" i="3"/>
  <c r="K17" i="3"/>
  <c r="M17" i="3"/>
  <c r="N17" i="3"/>
  <c r="C17" i="3"/>
  <c r="O14" i="3"/>
  <c r="E104" i="15" l="1"/>
  <c r="C56" i="15"/>
  <c r="E106" i="15"/>
  <c r="D106" i="15"/>
  <c r="E105" i="15"/>
  <c r="D105" i="15"/>
  <c r="D104" i="15"/>
  <c r="D110" i="15" s="1" a="1"/>
  <c r="D110" i="15" s="1"/>
  <c r="N89" i="15"/>
  <c r="N115" i="15" s="1"/>
  <c r="M89" i="15"/>
  <c r="M115" i="15" s="1"/>
  <c r="L89" i="15"/>
  <c r="L115" i="15" s="1"/>
  <c r="K89" i="15"/>
  <c r="K115" i="15" s="1"/>
  <c r="J89" i="15"/>
  <c r="J115" i="15" s="1"/>
  <c r="I89" i="15"/>
  <c r="I115" i="15" s="1"/>
  <c r="H89" i="15"/>
  <c r="H115" i="15" s="1"/>
  <c r="G89" i="15"/>
  <c r="G115" i="15" s="1"/>
  <c r="F89" i="15"/>
  <c r="F115" i="15" s="1"/>
  <c r="E89" i="15"/>
  <c r="E115" i="15" s="1"/>
  <c r="D89" i="15"/>
  <c r="D115" i="15" s="1"/>
  <c r="C89" i="15"/>
  <c r="C115" i="15" s="1"/>
  <c r="C61" i="15"/>
  <c r="M56" i="15"/>
  <c r="L56" i="15"/>
  <c r="K56" i="15"/>
  <c r="J56" i="15"/>
  <c r="I56" i="15"/>
  <c r="H56" i="15"/>
  <c r="G56" i="15"/>
  <c r="F56" i="15"/>
  <c r="E56" i="15"/>
  <c r="D56" i="15"/>
  <c r="M49" i="15"/>
  <c r="L49" i="15"/>
  <c r="K49" i="15"/>
  <c r="J49" i="15"/>
  <c r="I49" i="15"/>
  <c r="H49" i="15"/>
  <c r="G49" i="15"/>
  <c r="F49" i="15"/>
  <c r="E49" i="15"/>
  <c r="D49" i="15"/>
  <c r="C49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N30" i="15"/>
  <c r="N81" i="15" s="1"/>
  <c r="M30" i="15"/>
  <c r="M81" i="15" s="1"/>
  <c r="L30" i="15"/>
  <c r="L81" i="15" s="1"/>
  <c r="K30" i="15"/>
  <c r="K81" i="15" s="1"/>
  <c r="K165" i="15" s="1"/>
  <c r="J30" i="15"/>
  <c r="J81" i="15" s="1"/>
  <c r="J165" i="15" s="1"/>
  <c r="I30" i="15"/>
  <c r="I81" i="15" s="1"/>
  <c r="H30" i="15"/>
  <c r="H81" i="15" s="1"/>
  <c r="G30" i="15"/>
  <c r="G81" i="15" s="1"/>
  <c r="F30" i="15"/>
  <c r="F81" i="15" s="1"/>
  <c r="F165" i="15" s="1"/>
  <c r="E30" i="15"/>
  <c r="E81" i="15" s="1"/>
  <c r="D30" i="15"/>
  <c r="D81" i="15" s="1"/>
  <c r="C30" i="15"/>
  <c r="N29" i="15"/>
  <c r="N80" i="15" s="1"/>
  <c r="M29" i="15"/>
  <c r="L29" i="15"/>
  <c r="L80" i="15" s="1"/>
  <c r="L164" i="15" s="1"/>
  <c r="K29" i="15"/>
  <c r="K80" i="15" s="1"/>
  <c r="K164" i="15" s="1"/>
  <c r="J29" i="15"/>
  <c r="J80" i="15" s="1"/>
  <c r="I29" i="15"/>
  <c r="I80" i="15" s="1"/>
  <c r="H29" i="15"/>
  <c r="H80" i="15" s="1"/>
  <c r="G29" i="15"/>
  <c r="G80" i="15" s="1"/>
  <c r="G164" i="15" s="1"/>
  <c r="F29" i="15"/>
  <c r="F80" i="15" s="1"/>
  <c r="E29" i="15"/>
  <c r="E80" i="15" s="1"/>
  <c r="D29" i="15"/>
  <c r="D80" i="15" s="1"/>
  <c r="C29" i="15"/>
  <c r="N28" i="15"/>
  <c r="N79" i="15" s="1"/>
  <c r="M28" i="15"/>
  <c r="M79" i="15" s="1"/>
  <c r="M163" i="15" s="1"/>
  <c r="L28" i="15"/>
  <c r="L79" i="15" s="1"/>
  <c r="L163" i="15" s="1"/>
  <c r="K28" i="15"/>
  <c r="K79" i="15" s="1"/>
  <c r="J28" i="15"/>
  <c r="J79" i="15" s="1"/>
  <c r="I28" i="15"/>
  <c r="I79" i="15" s="1"/>
  <c r="H28" i="15"/>
  <c r="H79" i="15" s="1"/>
  <c r="H163" i="15" s="1"/>
  <c r="G28" i="15"/>
  <c r="G79" i="15" s="1"/>
  <c r="F28" i="15"/>
  <c r="F79" i="15" s="1"/>
  <c r="E28" i="15"/>
  <c r="E79" i="15" s="1"/>
  <c r="D28" i="15"/>
  <c r="D79" i="15" s="1"/>
  <c r="C28" i="15"/>
  <c r="N27" i="15"/>
  <c r="N78" i="15" s="1"/>
  <c r="N162" i="15" s="1"/>
  <c r="M27" i="15"/>
  <c r="M78" i="15" s="1"/>
  <c r="M162" i="15" s="1"/>
  <c r="L27" i="15"/>
  <c r="L78" i="15" s="1"/>
  <c r="K27" i="15"/>
  <c r="K78" i="15" s="1"/>
  <c r="J27" i="15"/>
  <c r="J78" i="15" s="1"/>
  <c r="I27" i="15"/>
  <c r="I78" i="15" s="1"/>
  <c r="I162" i="15" s="1"/>
  <c r="H27" i="15"/>
  <c r="H78" i="15" s="1"/>
  <c r="G27" i="15"/>
  <c r="G78" i="15" s="1"/>
  <c r="F27" i="15"/>
  <c r="F78" i="15" s="1"/>
  <c r="E27" i="15"/>
  <c r="E78" i="15" s="1"/>
  <c r="D27" i="15"/>
  <c r="D78" i="15" s="1"/>
  <c r="C27" i="15"/>
  <c r="C78" i="15" s="1"/>
  <c r="N26" i="15"/>
  <c r="N77" i="15" s="1"/>
  <c r="N161" i="15" s="1"/>
  <c r="M26" i="15"/>
  <c r="M77" i="15" s="1"/>
  <c r="L26" i="15"/>
  <c r="L77" i="15" s="1"/>
  <c r="L161" i="15" s="1"/>
  <c r="K26" i="15"/>
  <c r="K77" i="15" s="1"/>
  <c r="J26" i="15"/>
  <c r="J77" i="15" s="1"/>
  <c r="J161" i="15" s="1"/>
  <c r="I26" i="15"/>
  <c r="I77" i="15" s="1"/>
  <c r="H26" i="15"/>
  <c r="H77" i="15" s="1"/>
  <c r="G26" i="15"/>
  <c r="G77" i="15" s="1"/>
  <c r="F26" i="15"/>
  <c r="F77" i="15" s="1"/>
  <c r="E26" i="15"/>
  <c r="E77" i="15" s="1"/>
  <c r="D26" i="15"/>
  <c r="D77" i="15" s="1"/>
  <c r="C26" i="15"/>
  <c r="N25" i="15"/>
  <c r="N76" i="15" s="1"/>
  <c r="M25" i="15"/>
  <c r="M76" i="15" s="1"/>
  <c r="L25" i="15"/>
  <c r="L76" i="15" s="1"/>
  <c r="K25" i="15"/>
  <c r="K76" i="15" s="1"/>
  <c r="J25" i="15"/>
  <c r="I25" i="15"/>
  <c r="I76" i="15" s="1"/>
  <c r="H25" i="15"/>
  <c r="G25" i="15"/>
  <c r="G32" i="15" s="1"/>
  <c r="F25" i="15"/>
  <c r="E25" i="15"/>
  <c r="D25" i="15"/>
  <c r="D76" i="15" s="1"/>
  <c r="D160" i="15" s="1"/>
  <c r="C25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9" i="15"/>
  <c r="M9" i="15"/>
  <c r="L9" i="15"/>
  <c r="K9" i="15"/>
  <c r="J9" i="15"/>
  <c r="I9" i="15"/>
  <c r="H9" i="15"/>
  <c r="G9" i="15"/>
  <c r="F9" i="15"/>
  <c r="E9" i="15"/>
  <c r="D9" i="15"/>
  <c r="C9" i="15"/>
  <c r="O37" i="3"/>
  <c r="O36" i="3"/>
  <c r="F119" i="14"/>
  <c r="O119" i="14" s="1"/>
  <c r="D119" i="14"/>
  <c r="M119" i="14" s="1"/>
  <c r="O118" i="14"/>
  <c r="M118" i="14"/>
  <c r="F118" i="14"/>
  <c r="D118" i="14"/>
  <c r="T117" i="14"/>
  <c r="S117" i="14"/>
  <c r="Q117" i="14"/>
  <c r="O117" i="14"/>
  <c r="K117" i="14"/>
  <c r="J117" i="14"/>
  <c r="H117" i="14"/>
  <c r="F117" i="14"/>
  <c r="D117" i="14"/>
  <c r="M117" i="14" s="1"/>
  <c r="S116" i="14"/>
  <c r="R116" i="14"/>
  <c r="Q116" i="14"/>
  <c r="K116" i="14"/>
  <c r="T116" i="14" s="1"/>
  <c r="J116" i="14"/>
  <c r="H116" i="14"/>
  <c r="G116" i="14"/>
  <c r="P116" i="14" s="1"/>
  <c r="F116" i="14"/>
  <c r="O116" i="14" s="1"/>
  <c r="E116" i="14"/>
  <c r="N116" i="14" s="1"/>
  <c r="D116" i="14"/>
  <c r="M116" i="14" s="1"/>
  <c r="G115" i="14"/>
  <c r="P115" i="14" s="1"/>
  <c r="F115" i="14"/>
  <c r="O115" i="14" s="1"/>
  <c r="E115" i="14"/>
  <c r="N115" i="14" s="1"/>
  <c r="D115" i="14"/>
  <c r="M115" i="14" s="1"/>
  <c r="O114" i="14"/>
  <c r="N114" i="14"/>
  <c r="M114" i="14"/>
  <c r="F114" i="14"/>
  <c r="D114" i="14"/>
  <c r="P113" i="14"/>
  <c r="G113" i="14"/>
  <c r="F113" i="14"/>
  <c r="O113" i="14" s="1"/>
  <c r="E113" i="14"/>
  <c r="N113" i="14" s="1"/>
  <c r="D113" i="14"/>
  <c r="M113" i="14" s="1"/>
  <c r="G112" i="14"/>
  <c r="P112" i="14" s="1"/>
  <c r="F112" i="14"/>
  <c r="O112" i="14" s="1"/>
  <c r="D112" i="14"/>
  <c r="M112" i="14" s="1"/>
  <c r="O111" i="14"/>
  <c r="M111" i="14"/>
  <c r="F111" i="14"/>
  <c r="D111" i="14"/>
  <c r="G107" i="14"/>
  <c r="G119" i="14" s="1"/>
  <c r="P119" i="14" s="1"/>
  <c r="E107" i="14"/>
  <c r="E119" i="14" s="1"/>
  <c r="N119" i="14" s="1"/>
  <c r="G106" i="14"/>
  <c r="G118" i="14" s="1"/>
  <c r="P118" i="14" s="1"/>
  <c r="E106" i="14"/>
  <c r="E118" i="14" s="1"/>
  <c r="N118" i="14" s="1"/>
  <c r="I105" i="14"/>
  <c r="I117" i="14" s="1"/>
  <c r="R117" i="14" s="1"/>
  <c r="G105" i="14"/>
  <c r="G117" i="14" s="1"/>
  <c r="P117" i="14" s="1"/>
  <c r="E105" i="14"/>
  <c r="E117" i="14" s="1"/>
  <c r="N117" i="14" s="1"/>
  <c r="I104" i="14"/>
  <c r="I116" i="14" s="1"/>
  <c r="G104" i="14"/>
  <c r="E104" i="14"/>
  <c r="G103" i="14"/>
  <c r="E103" i="14"/>
  <c r="G102" i="14"/>
  <c r="G114" i="14" s="1"/>
  <c r="P114" i="14" s="1"/>
  <c r="E102" i="14"/>
  <c r="E114" i="14" s="1"/>
  <c r="G101" i="14"/>
  <c r="E101" i="14"/>
  <c r="G100" i="14"/>
  <c r="E100" i="14"/>
  <c r="E112" i="14" s="1"/>
  <c r="N112" i="14" s="1"/>
  <c r="G99" i="14"/>
  <c r="G111" i="14" s="1"/>
  <c r="P111" i="14" s="1"/>
  <c r="E99" i="14"/>
  <c r="E111" i="14" s="1"/>
  <c r="N111" i="14" s="1"/>
  <c r="F89" i="14"/>
  <c r="O89" i="14" s="1"/>
  <c r="D89" i="14"/>
  <c r="M89" i="14" s="1"/>
  <c r="O88" i="14"/>
  <c r="N88" i="14"/>
  <c r="M88" i="14"/>
  <c r="F88" i="14"/>
  <c r="D88" i="14"/>
  <c r="T87" i="14"/>
  <c r="S87" i="14"/>
  <c r="Q87" i="14"/>
  <c r="O87" i="14"/>
  <c r="K87" i="14"/>
  <c r="J87" i="14"/>
  <c r="H87" i="14"/>
  <c r="G87" i="14"/>
  <c r="P87" i="14" s="1"/>
  <c r="F87" i="14"/>
  <c r="D87" i="14"/>
  <c r="M87" i="14" s="1"/>
  <c r="S86" i="14"/>
  <c r="R86" i="14"/>
  <c r="Q86" i="14"/>
  <c r="K86" i="14"/>
  <c r="T86" i="14" s="1"/>
  <c r="J86" i="14"/>
  <c r="H86" i="14"/>
  <c r="F86" i="14"/>
  <c r="O86" i="14" s="1"/>
  <c r="D85" i="14"/>
  <c r="M85" i="14" s="1"/>
  <c r="O84" i="14"/>
  <c r="N84" i="14"/>
  <c r="M84" i="14"/>
  <c r="P83" i="14"/>
  <c r="F83" i="14"/>
  <c r="O83" i="14" s="1"/>
  <c r="D82" i="14"/>
  <c r="M82" i="14" s="1"/>
  <c r="G77" i="14"/>
  <c r="G89" i="14" s="1"/>
  <c r="P89" i="14" s="1"/>
  <c r="E77" i="14"/>
  <c r="E89" i="14" s="1"/>
  <c r="N89" i="14" s="1"/>
  <c r="G76" i="14"/>
  <c r="G88" i="14" s="1"/>
  <c r="P88" i="14" s="1"/>
  <c r="E76" i="14"/>
  <c r="E88" i="14" s="1"/>
  <c r="I75" i="14"/>
  <c r="I87" i="14" s="1"/>
  <c r="R87" i="14" s="1"/>
  <c r="G75" i="14"/>
  <c r="E75" i="14"/>
  <c r="E87" i="14" s="1"/>
  <c r="N87" i="14" s="1"/>
  <c r="I74" i="14"/>
  <c r="I86" i="14" s="1"/>
  <c r="H74" i="14"/>
  <c r="F74" i="14"/>
  <c r="G74" i="14" s="1"/>
  <c r="G86" i="14" s="1"/>
  <c r="P86" i="14" s="1"/>
  <c r="D74" i="14"/>
  <c r="F73" i="14"/>
  <c r="F85" i="14" s="1"/>
  <c r="O85" i="14" s="1"/>
  <c r="E73" i="14"/>
  <c r="E85" i="14" s="1"/>
  <c r="N85" i="14" s="1"/>
  <c r="D73" i="14"/>
  <c r="G72" i="14"/>
  <c r="G84" i="14" s="1"/>
  <c r="P84" i="14" s="1"/>
  <c r="F72" i="14"/>
  <c r="F84" i="14" s="1"/>
  <c r="E72" i="14"/>
  <c r="E84" i="14" s="1"/>
  <c r="D72" i="14"/>
  <c r="D84" i="14" s="1"/>
  <c r="F71" i="14"/>
  <c r="G71" i="14" s="1"/>
  <c r="G83" i="14" s="1"/>
  <c r="D71" i="14"/>
  <c r="E71" i="14" s="1"/>
  <c r="E83" i="14" s="1"/>
  <c r="N83" i="14" s="1"/>
  <c r="F70" i="14"/>
  <c r="D70" i="14"/>
  <c r="E70" i="14" s="1"/>
  <c r="E82" i="14" s="1"/>
  <c r="N82" i="14" s="1"/>
  <c r="V69" i="14"/>
  <c r="V70" i="14" s="1"/>
  <c r="G69" i="14"/>
  <c r="G81" i="14" s="1"/>
  <c r="P81" i="14" s="1"/>
  <c r="F69" i="14"/>
  <c r="F81" i="14" s="1"/>
  <c r="O81" i="14" s="1"/>
  <c r="D69" i="14"/>
  <c r="E69" i="14" s="1"/>
  <c r="E81" i="14" s="1"/>
  <c r="N81" i="14" s="1"/>
  <c r="O58" i="14"/>
  <c r="F58" i="14"/>
  <c r="E58" i="14"/>
  <c r="N58" i="14" s="1"/>
  <c r="D58" i="14"/>
  <c r="M58" i="14" s="1"/>
  <c r="F57" i="14"/>
  <c r="O57" i="14" s="1"/>
  <c r="D57" i="14"/>
  <c r="M57" i="14" s="1"/>
  <c r="T56" i="14"/>
  <c r="Q56" i="14"/>
  <c r="P56" i="14"/>
  <c r="K56" i="14"/>
  <c r="J56" i="14"/>
  <c r="S56" i="14" s="1"/>
  <c r="H56" i="14"/>
  <c r="G56" i="14"/>
  <c r="F56" i="14"/>
  <c r="O56" i="14" s="1"/>
  <c r="E56" i="14"/>
  <c r="N56" i="14" s="1"/>
  <c r="D56" i="14"/>
  <c r="M56" i="14" s="1"/>
  <c r="O55" i="14"/>
  <c r="K55" i="14"/>
  <c r="T55" i="14" s="1"/>
  <c r="J55" i="14"/>
  <c r="S55" i="14" s="1"/>
  <c r="I55" i="14"/>
  <c r="R55" i="14" s="1"/>
  <c r="H55" i="14"/>
  <c r="Q55" i="14" s="1"/>
  <c r="D54" i="14"/>
  <c r="M54" i="14" s="1"/>
  <c r="F53" i="14"/>
  <c r="O53" i="14" s="1"/>
  <c r="G52" i="14"/>
  <c r="P52" i="14" s="1"/>
  <c r="F50" i="14"/>
  <c r="O50" i="14" s="1"/>
  <c r="G46" i="14"/>
  <c r="G58" i="14" s="1"/>
  <c r="P58" i="14" s="1"/>
  <c r="E46" i="14"/>
  <c r="G45" i="14"/>
  <c r="G57" i="14" s="1"/>
  <c r="P57" i="14" s="1"/>
  <c r="E45" i="14"/>
  <c r="E57" i="14" s="1"/>
  <c r="N57" i="14" s="1"/>
  <c r="I44" i="14"/>
  <c r="I56" i="14" s="1"/>
  <c r="R56" i="14" s="1"/>
  <c r="G44" i="14"/>
  <c r="E44" i="14"/>
  <c r="H43" i="14"/>
  <c r="I43" i="14" s="1"/>
  <c r="G43" i="14"/>
  <c r="G55" i="14" s="1"/>
  <c r="P55" i="14" s="1"/>
  <c r="F43" i="14"/>
  <c r="F55" i="14" s="1"/>
  <c r="D43" i="14"/>
  <c r="F42" i="14"/>
  <c r="E42" i="14"/>
  <c r="E54" i="14" s="1"/>
  <c r="N54" i="14" s="1"/>
  <c r="D42" i="14"/>
  <c r="F41" i="14"/>
  <c r="G41" i="14" s="1"/>
  <c r="G53" i="14" s="1"/>
  <c r="P53" i="14" s="1"/>
  <c r="D41" i="14"/>
  <c r="E41" i="14" s="1"/>
  <c r="E53" i="14" s="1"/>
  <c r="N53" i="14" s="1"/>
  <c r="G40" i="14"/>
  <c r="F40" i="14"/>
  <c r="F52" i="14" s="1"/>
  <c r="O52" i="14" s="1"/>
  <c r="D40" i="14"/>
  <c r="F39" i="14"/>
  <c r="D39" i="14"/>
  <c r="E39" i="14" s="1"/>
  <c r="E51" i="14" s="1"/>
  <c r="N51" i="14" s="1"/>
  <c r="F38" i="14"/>
  <c r="G38" i="14" s="1"/>
  <c r="G50" i="14" s="1"/>
  <c r="P50" i="14" s="1"/>
  <c r="D38" i="14"/>
  <c r="E38" i="14" s="1"/>
  <c r="E50" i="14" s="1"/>
  <c r="N50" i="14" s="1"/>
  <c r="M28" i="14"/>
  <c r="G28" i="14"/>
  <c r="P28" i="14" s="1"/>
  <c r="F28" i="14"/>
  <c r="O28" i="14" s="1"/>
  <c r="E28" i="14"/>
  <c r="N28" i="14" s="1"/>
  <c r="D28" i="14"/>
  <c r="O27" i="14"/>
  <c r="M27" i="14"/>
  <c r="F27" i="14"/>
  <c r="D27" i="14"/>
  <c r="T26" i="14"/>
  <c r="S26" i="14"/>
  <c r="M26" i="14"/>
  <c r="K26" i="14"/>
  <c r="J26" i="14"/>
  <c r="I26" i="14"/>
  <c r="R26" i="14" s="1"/>
  <c r="H26" i="14"/>
  <c r="Q26" i="14" s="1"/>
  <c r="G26" i="14"/>
  <c r="P26" i="14" s="1"/>
  <c r="F26" i="14"/>
  <c r="O26" i="14" s="1"/>
  <c r="D26" i="14"/>
  <c r="Q25" i="14"/>
  <c r="K25" i="14"/>
  <c r="T25" i="14" s="1"/>
  <c r="J25" i="14"/>
  <c r="S25" i="14" s="1"/>
  <c r="I25" i="14"/>
  <c r="R25" i="14" s="1"/>
  <c r="D25" i="14"/>
  <c r="M25" i="14" s="1"/>
  <c r="F24" i="14"/>
  <c r="O24" i="14" s="1"/>
  <c r="N22" i="14"/>
  <c r="D22" i="14"/>
  <c r="M22" i="14" s="1"/>
  <c r="G21" i="14"/>
  <c r="P21" i="14" s="1"/>
  <c r="F21" i="14"/>
  <c r="O21" i="14" s="1"/>
  <c r="G16" i="14"/>
  <c r="E16" i="14"/>
  <c r="G15" i="14"/>
  <c r="G27" i="14" s="1"/>
  <c r="P27" i="14" s="1"/>
  <c r="E15" i="14"/>
  <c r="E27" i="14" s="1"/>
  <c r="N27" i="14" s="1"/>
  <c r="I14" i="14"/>
  <c r="G14" i="14"/>
  <c r="E14" i="14"/>
  <c r="E26" i="14" s="1"/>
  <c r="N26" i="14" s="1"/>
  <c r="I13" i="14"/>
  <c r="H13" i="14"/>
  <c r="H25" i="14" s="1"/>
  <c r="F13" i="14"/>
  <c r="G13" i="14" s="1"/>
  <c r="G25" i="14" s="1"/>
  <c r="P25" i="14" s="1"/>
  <c r="D13" i="14"/>
  <c r="E13" i="14" s="1"/>
  <c r="E25" i="14" s="1"/>
  <c r="N25" i="14" s="1"/>
  <c r="G12" i="14"/>
  <c r="G24" i="14" s="1"/>
  <c r="P24" i="14" s="1"/>
  <c r="F12" i="14"/>
  <c r="D12" i="14"/>
  <c r="F11" i="14"/>
  <c r="D11" i="14"/>
  <c r="F10" i="14"/>
  <c r="G10" i="14" s="1"/>
  <c r="G22" i="14" s="1"/>
  <c r="P22" i="14" s="1"/>
  <c r="D10" i="14"/>
  <c r="E10" i="14" s="1"/>
  <c r="E22" i="14" s="1"/>
  <c r="F9" i="14"/>
  <c r="G9" i="14" s="1"/>
  <c r="D9" i="14"/>
  <c r="Y8" i="14"/>
  <c r="X8" i="14"/>
  <c r="X9" i="14" s="1"/>
  <c r="X13" i="14" s="1"/>
  <c r="X15" i="14" s="1"/>
  <c r="X17" i="14" s="1"/>
  <c r="W8" i="14"/>
  <c r="W9" i="14" s="1"/>
  <c r="W13" i="14" s="1"/>
  <c r="W15" i="14" s="1"/>
  <c r="W17" i="14" s="1"/>
  <c r="F8" i="14"/>
  <c r="G8" i="14" s="1"/>
  <c r="G20" i="14" s="1"/>
  <c r="P20" i="14" s="1"/>
  <c r="D8" i="14"/>
  <c r="K44" i="13"/>
  <c r="M38" i="13"/>
  <c r="L38" i="13"/>
  <c r="K38" i="13"/>
  <c r="J38" i="13"/>
  <c r="J28" i="1" s="1"/>
  <c r="I38" i="13"/>
  <c r="I28" i="1" s="1"/>
  <c r="H38" i="13"/>
  <c r="H28" i="1" s="1"/>
  <c r="G38" i="13"/>
  <c r="G28" i="1" s="1"/>
  <c r="F38" i="13"/>
  <c r="E38" i="13"/>
  <c r="D38" i="13"/>
  <c r="C38" i="13"/>
  <c r="B38" i="13"/>
  <c r="N37" i="13"/>
  <c r="N36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M21" i="13"/>
  <c r="M41" i="13" s="1"/>
  <c r="L21" i="13"/>
  <c r="L41" i="13" s="1"/>
  <c r="K21" i="13"/>
  <c r="K41" i="13" s="1"/>
  <c r="J21" i="13"/>
  <c r="J41" i="13" s="1"/>
  <c r="I21" i="13"/>
  <c r="I41" i="13" s="1"/>
  <c r="H21" i="13"/>
  <c r="H41" i="13" s="1"/>
  <c r="G21" i="13"/>
  <c r="G41" i="13" s="1"/>
  <c r="F21" i="13"/>
  <c r="F41" i="13" s="1"/>
  <c r="E21" i="13"/>
  <c r="E41" i="13" s="1"/>
  <c r="D21" i="13"/>
  <c r="D41" i="13" s="1"/>
  <c r="C21" i="13"/>
  <c r="C41" i="13" s="1"/>
  <c r="B21" i="13"/>
  <c r="B41" i="13" s="1"/>
  <c r="M20" i="13"/>
  <c r="L20" i="13"/>
  <c r="K20" i="13"/>
  <c r="J20" i="13"/>
  <c r="I20" i="13"/>
  <c r="H20" i="13"/>
  <c r="G20" i="13"/>
  <c r="F20" i="13"/>
  <c r="E20" i="13"/>
  <c r="D20" i="13"/>
  <c r="C20" i="13"/>
  <c r="B20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M15" i="13"/>
  <c r="M44" i="13" s="1"/>
  <c r="L15" i="13"/>
  <c r="L44" i="13" s="1"/>
  <c r="K15" i="13"/>
  <c r="J15" i="13"/>
  <c r="J44" i="13" s="1"/>
  <c r="I15" i="13"/>
  <c r="I44" i="13" s="1"/>
  <c r="H15" i="13"/>
  <c r="H44" i="13" s="1"/>
  <c r="G15" i="13"/>
  <c r="G44" i="13" s="1"/>
  <c r="F15" i="13"/>
  <c r="F44" i="13" s="1"/>
  <c r="E15" i="13"/>
  <c r="E44" i="13" s="1"/>
  <c r="D15" i="13"/>
  <c r="D44" i="13" s="1"/>
  <c r="C15" i="13"/>
  <c r="C44" i="13" s="1"/>
  <c r="B15" i="13"/>
  <c r="B44" i="13" s="1"/>
  <c r="M14" i="13"/>
  <c r="M40" i="13" s="1"/>
  <c r="L14" i="13"/>
  <c r="L40" i="13" s="1"/>
  <c r="K14" i="13"/>
  <c r="K40" i="13" s="1"/>
  <c r="J14" i="13"/>
  <c r="J40" i="13" s="1"/>
  <c r="I14" i="13"/>
  <c r="I40" i="13" s="1"/>
  <c r="H14" i="13"/>
  <c r="H40" i="13" s="1"/>
  <c r="G14" i="13"/>
  <c r="G40" i="13" s="1"/>
  <c r="F14" i="13"/>
  <c r="F40" i="13" s="1"/>
  <c r="E14" i="13"/>
  <c r="E40" i="13" s="1"/>
  <c r="D14" i="13"/>
  <c r="D40" i="13" s="1"/>
  <c r="C14" i="13"/>
  <c r="C40" i="13" s="1"/>
  <c r="B14" i="13"/>
  <c r="B40" i="13" s="1"/>
  <c r="M13" i="13"/>
  <c r="L13" i="13"/>
  <c r="K13" i="13"/>
  <c r="J13" i="13"/>
  <c r="I13" i="13"/>
  <c r="H13" i="13"/>
  <c r="G13" i="13"/>
  <c r="F13" i="13"/>
  <c r="E13" i="13"/>
  <c r="D13" i="13"/>
  <c r="C13" i="13"/>
  <c r="B13" i="13"/>
  <c r="J44" i="12"/>
  <c r="B44" i="12"/>
  <c r="N37" i="12"/>
  <c r="N36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M21" i="12"/>
  <c r="M41" i="12" s="1"/>
  <c r="L21" i="12"/>
  <c r="L41" i="12" s="1"/>
  <c r="K21" i="12"/>
  <c r="K41" i="12" s="1"/>
  <c r="J21" i="12"/>
  <c r="J41" i="12" s="1"/>
  <c r="I21" i="12"/>
  <c r="I41" i="12" s="1"/>
  <c r="H21" i="12"/>
  <c r="H41" i="12" s="1"/>
  <c r="G21" i="12"/>
  <c r="G41" i="12" s="1"/>
  <c r="F21" i="12"/>
  <c r="F41" i="12" s="1"/>
  <c r="E21" i="12"/>
  <c r="E41" i="12" s="1"/>
  <c r="D21" i="12"/>
  <c r="D41" i="12" s="1"/>
  <c r="C21" i="12"/>
  <c r="C41" i="12" s="1"/>
  <c r="B21" i="12"/>
  <c r="B41" i="12" s="1"/>
  <c r="M20" i="12"/>
  <c r="L20" i="12"/>
  <c r="K20" i="12"/>
  <c r="J20" i="12"/>
  <c r="I20" i="12"/>
  <c r="H20" i="12"/>
  <c r="G20" i="12"/>
  <c r="F20" i="12"/>
  <c r="E20" i="12"/>
  <c r="D20" i="12"/>
  <c r="C20" i="12"/>
  <c r="B20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M15" i="12"/>
  <c r="M44" i="12" s="1"/>
  <c r="L15" i="12"/>
  <c r="L44" i="12" s="1"/>
  <c r="K15" i="12"/>
  <c r="K44" i="12" s="1"/>
  <c r="J15" i="12"/>
  <c r="I15" i="12"/>
  <c r="I44" i="12" s="1"/>
  <c r="H15" i="12"/>
  <c r="H44" i="12" s="1"/>
  <c r="G15" i="12"/>
  <c r="G44" i="12" s="1"/>
  <c r="F15" i="12"/>
  <c r="F44" i="12" s="1"/>
  <c r="E15" i="12"/>
  <c r="E44" i="12" s="1"/>
  <c r="D15" i="12"/>
  <c r="D44" i="12" s="1"/>
  <c r="C15" i="12"/>
  <c r="C44" i="12" s="1"/>
  <c r="B15" i="12"/>
  <c r="M14" i="12"/>
  <c r="M40" i="12" s="1"/>
  <c r="L14" i="12"/>
  <c r="L40" i="12" s="1"/>
  <c r="K14" i="12"/>
  <c r="K40" i="12" s="1"/>
  <c r="J14" i="12"/>
  <c r="J40" i="12" s="1"/>
  <c r="I14" i="12"/>
  <c r="I40" i="12" s="1"/>
  <c r="H14" i="12"/>
  <c r="H40" i="12" s="1"/>
  <c r="G14" i="12"/>
  <c r="G40" i="12" s="1"/>
  <c r="F14" i="12"/>
  <c r="F40" i="12" s="1"/>
  <c r="E14" i="12"/>
  <c r="E40" i="12" s="1"/>
  <c r="D14" i="12"/>
  <c r="D40" i="12" s="1"/>
  <c r="C14" i="12"/>
  <c r="C40" i="12" s="1"/>
  <c r="B14" i="12"/>
  <c r="B40" i="12" s="1"/>
  <c r="M13" i="12"/>
  <c r="L13" i="12"/>
  <c r="K13" i="12"/>
  <c r="J13" i="12"/>
  <c r="I13" i="12"/>
  <c r="H13" i="12"/>
  <c r="G13" i="12"/>
  <c r="F13" i="12"/>
  <c r="E13" i="12"/>
  <c r="D13" i="12"/>
  <c r="C13" i="12"/>
  <c r="B13" i="12"/>
  <c r="N37" i="11"/>
  <c r="O37" i="9" s="1"/>
  <c r="P37" i="9" s="1"/>
  <c r="N36" i="11"/>
  <c r="O36" i="9" s="1"/>
  <c r="P36" i="9" s="1"/>
  <c r="M22" i="11"/>
  <c r="L22" i="11"/>
  <c r="K22" i="11"/>
  <c r="J22" i="11"/>
  <c r="I22" i="11"/>
  <c r="H22" i="11"/>
  <c r="G22" i="11"/>
  <c r="F22" i="11"/>
  <c r="E22" i="11"/>
  <c r="D22" i="11"/>
  <c r="C22" i="11"/>
  <c r="B22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B40" i="10"/>
  <c r="N37" i="10"/>
  <c r="N36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M41" i="10" s="1"/>
  <c r="L21" i="10"/>
  <c r="L41" i="10" s="1"/>
  <c r="K21" i="10"/>
  <c r="K41" i="10" s="1"/>
  <c r="J21" i="10"/>
  <c r="J41" i="10" s="1"/>
  <c r="I21" i="10"/>
  <c r="I41" i="10" s="1"/>
  <c r="H21" i="10"/>
  <c r="H41" i="10" s="1"/>
  <c r="G21" i="10"/>
  <c r="G41" i="10" s="1"/>
  <c r="F21" i="10"/>
  <c r="F41" i="10" s="1"/>
  <c r="E21" i="10"/>
  <c r="E41" i="10" s="1"/>
  <c r="D21" i="10"/>
  <c r="D41" i="10" s="1"/>
  <c r="C21" i="10"/>
  <c r="C41" i="10" s="1"/>
  <c r="B21" i="10"/>
  <c r="B41" i="10" s="1"/>
  <c r="M20" i="10"/>
  <c r="L20" i="10"/>
  <c r="K20" i="10"/>
  <c r="J20" i="10"/>
  <c r="I20" i="10"/>
  <c r="H20" i="10"/>
  <c r="G20" i="10"/>
  <c r="F20" i="10"/>
  <c r="E20" i="10"/>
  <c r="D20" i="10"/>
  <c r="C20" i="10"/>
  <c r="B20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M15" i="10"/>
  <c r="M44" i="10" s="1"/>
  <c r="L15" i="10"/>
  <c r="L44" i="10" s="1"/>
  <c r="K15" i="10"/>
  <c r="K44" i="10" s="1"/>
  <c r="J15" i="10"/>
  <c r="J44" i="10" s="1"/>
  <c r="I15" i="10"/>
  <c r="I44" i="10" s="1"/>
  <c r="H15" i="10"/>
  <c r="H44" i="10" s="1"/>
  <c r="G15" i="10"/>
  <c r="G44" i="10" s="1"/>
  <c r="F15" i="10"/>
  <c r="F44" i="10" s="1"/>
  <c r="E15" i="10"/>
  <c r="E44" i="10" s="1"/>
  <c r="D15" i="10"/>
  <c r="D44" i="10" s="1"/>
  <c r="C15" i="10"/>
  <c r="C44" i="10" s="1"/>
  <c r="B15" i="10"/>
  <c r="B44" i="10" s="1"/>
  <c r="M14" i="10"/>
  <c r="M40" i="10" s="1"/>
  <c r="L14" i="10"/>
  <c r="L40" i="10" s="1"/>
  <c r="K14" i="10"/>
  <c r="K40" i="10" s="1"/>
  <c r="J14" i="10"/>
  <c r="J40" i="10" s="1"/>
  <c r="I14" i="10"/>
  <c r="I40" i="10" s="1"/>
  <c r="H14" i="10"/>
  <c r="H40" i="10" s="1"/>
  <c r="G14" i="10"/>
  <c r="G40" i="10" s="1"/>
  <c r="F14" i="10"/>
  <c r="F40" i="10" s="1"/>
  <c r="E14" i="10"/>
  <c r="E40" i="10" s="1"/>
  <c r="D14" i="10"/>
  <c r="D40" i="10" s="1"/>
  <c r="C14" i="10"/>
  <c r="C40" i="10" s="1"/>
  <c r="B14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L44" i="9"/>
  <c r="J40" i="9"/>
  <c r="G40" i="9"/>
  <c r="N37" i="9"/>
  <c r="N36" i="9"/>
  <c r="M22" i="9"/>
  <c r="L22" i="9"/>
  <c r="K22" i="9"/>
  <c r="J22" i="9"/>
  <c r="I22" i="9"/>
  <c r="H22" i="9"/>
  <c r="G22" i="9"/>
  <c r="F22" i="9"/>
  <c r="E22" i="9"/>
  <c r="D22" i="9"/>
  <c r="C22" i="9"/>
  <c r="B22" i="9"/>
  <c r="M21" i="9"/>
  <c r="M41" i="9" s="1"/>
  <c r="L21" i="9"/>
  <c r="L41" i="9" s="1"/>
  <c r="K21" i="9"/>
  <c r="K41" i="9" s="1"/>
  <c r="J21" i="9"/>
  <c r="J41" i="9" s="1"/>
  <c r="I21" i="9"/>
  <c r="I41" i="9" s="1"/>
  <c r="H21" i="9"/>
  <c r="H41" i="9" s="1"/>
  <c r="G21" i="9"/>
  <c r="G41" i="9" s="1"/>
  <c r="F21" i="9"/>
  <c r="F41" i="9" s="1"/>
  <c r="E21" i="9"/>
  <c r="E41" i="9" s="1"/>
  <c r="D21" i="9"/>
  <c r="D41" i="9" s="1"/>
  <c r="C21" i="9"/>
  <c r="C41" i="9" s="1"/>
  <c r="B21" i="9"/>
  <c r="B41" i="9" s="1"/>
  <c r="M20" i="9"/>
  <c r="L20" i="9"/>
  <c r="K20" i="9"/>
  <c r="J20" i="9"/>
  <c r="I20" i="9"/>
  <c r="H20" i="9"/>
  <c r="G20" i="9"/>
  <c r="F20" i="9"/>
  <c r="E20" i="9"/>
  <c r="D20" i="9"/>
  <c r="C20" i="9"/>
  <c r="B20" i="9"/>
  <c r="M16" i="9"/>
  <c r="L16" i="9"/>
  <c r="K16" i="9"/>
  <c r="J16" i="9"/>
  <c r="I16" i="9"/>
  <c r="H16" i="9"/>
  <c r="G16" i="9"/>
  <c r="F16" i="9"/>
  <c r="E16" i="9"/>
  <c r="D16" i="9"/>
  <c r="C16" i="9"/>
  <c r="B16" i="9"/>
  <c r="M15" i="9"/>
  <c r="M44" i="9" s="1"/>
  <c r="L15" i="9"/>
  <c r="K15" i="9"/>
  <c r="K44" i="9" s="1"/>
  <c r="J15" i="9"/>
  <c r="J44" i="9" s="1"/>
  <c r="I15" i="9"/>
  <c r="I44" i="9" s="1"/>
  <c r="H15" i="9"/>
  <c r="H44" i="9" s="1"/>
  <c r="G15" i="9"/>
  <c r="G44" i="9" s="1"/>
  <c r="F15" i="9"/>
  <c r="F44" i="9" s="1"/>
  <c r="E15" i="9"/>
  <c r="E44" i="9" s="1"/>
  <c r="D15" i="9"/>
  <c r="D44" i="9" s="1"/>
  <c r="C15" i="9"/>
  <c r="C44" i="9" s="1"/>
  <c r="B15" i="9"/>
  <c r="B44" i="9" s="1"/>
  <c r="N14" i="9"/>
  <c r="M14" i="9"/>
  <c r="M40" i="9" s="1"/>
  <c r="L14" i="9"/>
  <c r="L40" i="9" s="1"/>
  <c r="K14" i="9"/>
  <c r="K40" i="9" s="1"/>
  <c r="J14" i="9"/>
  <c r="I14" i="9"/>
  <c r="I40" i="9" s="1"/>
  <c r="H14" i="9"/>
  <c r="H40" i="9" s="1"/>
  <c r="G14" i="9"/>
  <c r="F14" i="9"/>
  <c r="F40" i="9" s="1"/>
  <c r="E14" i="9"/>
  <c r="E40" i="9" s="1"/>
  <c r="D14" i="9"/>
  <c r="D40" i="9" s="1"/>
  <c r="C14" i="9"/>
  <c r="C40" i="9" s="1"/>
  <c r="B14" i="9"/>
  <c r="B40" i="9" s="1"/>
  <c r="M13" i="9"/>
  <c r="L13" i="9"/>
  <c r="K13" i="9"/>
  <c r="J13" i="9"/>
  <c r="I13" i="9"/>
  <c r="H13" i="9"/>
  <c r="G13" i="9"/>
  <c r="F13" i="9"/>
  <c r="E13" i="9"/>
  <c r="D13" i="9"/>
  <c r="C13" i="9"/>
  <c r="B13" i="9"/>
  <c r="N37" i="8"/>
  <c r="N36" i="8"/>
  <c r="M22" i="8"/>
  <c r="L22" i="8"/>
  <c r="K22" i="8"/>
  <c r="J22" i="8"/>
  <c r="I22" i="8"/>
  <c r="H22" i="8"/>
  <c r="G22" i="8"/>
  <c r="F22" i="8"/>
  <c r="E22" i="8"/>
  <c r="D22" i="8"/>
  <c r="C22" i="8"/>
  <c r="B22" i="8"/>
  <c r="M21" i="8"/>
  <c r="L21" i="8"/>
  <c r="K21" i="8"/>
  <c r="J21" i="8"/>
  <c r="I21" i="8"/>
  <c r="H21" i="8"/>
  <c r="G21" i="8"/>
  <c r="F21" i="8"/>
  <c r="E21" i="8"/>
  <c r="D21" i="8"/>
  <c r="C21" i="8"/>
  <c r="B21" i="8"/>
  <c r="M20" i="8"/>
  <c r="L20" i="8"/>
  <c r="K20" i="8"/>
  <c r="J20" i="8"/>
  <c r="I20" i="8"/>
  <c r="H20" i="8"/>
  <c r="G20" i="8"/>
  <c r="F20" i="8"/>
  <c r="E20" i="8"/>
  <c r="D20" i="8"/>
  <c r="C20" i="8"/>
  <c r="B20" i="8"/>
  <c r="M16" i="8"/>
  <c r="L16" i="8"/>
  <c r="K16" i="8"/>
  <c r="J16" i="8"/>
  <c r="I16" i="8"/>
  <c r="H16" i="8"/>
  <c r="G16" i="8"/>
  <c r="F16" i="8"/>
  <c r="E16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M14" i="8"/>
  <c r="L14" i="8"/>
  <c r="K14" i="8"/>
  <c r="J14" i="8"/>
  <c r="I14" i="8"/>
  <c r="H14" i="8"/>
  <c r="G14" i="8"/>
  <c r="F14" i="8"/>
  <c r="E14" i="8"/>
  <c r="D14" i="8"/>
  <c r="C14" i="8"/>
  <c r="B14" i="8"/>
  <c r="M13" i="8"/>
  <c r="L13" i="8"/>
  <c r="K13" i="8"/>
  <c r="J13" i="8"/>
  <c r="I13" i="8"/>
  <c r="H13" i="8"/>
  <c r="G13" i="8"/>
  <c r="F13" i="8"/>
  <c r="E13" i="8"/>
  <c r="D13" i="8"/>
  <c r="C13" i="8"/>
  <c r="B13" i="8"/>
  <c r="G44" i="7"/>
  <c r="N36" i="7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M41" i="7" s="1"/>
  <c r="L21" i="7"/>
  <c r="L41" i="7" s="1"/>
  <c r="K21" i="7"/>
  <c r="K41" i="7" s="1"/>
  <c r="J21" i="7"/>
  <c r="J41" i="7" s="1"/>
  <c r="I21" i="7"/>
  <c r="I41" i="7" s="1"/>
  <c r="H21" i="7"/>
  <c r="H41" i="7" s="1"/>
  <c r="G21" i="7"/>
  <c r="G41" i="7" s="1"/>
  <c r="F21" i="7"/>
  <c r="F41" i="7" s="1"/>
  <c r="E21" i="7"/>
  <c r="E41" i="7" s="1"/>
  <c r="D21" i="7"/>
  <c r="D41" i="7" s="1"/>
  <c r="C21" i="7"/>
  <c r="C41" i="7" s="1"/>
  <c r="B21" i="7"/>
  <c r="B41" i="7" s="1"/>
  <c r="M20" i="7"/>
  <c r="L20" i="7"/>
  <c r="K20" i="7"/>
  <c r="J20" i="7"/>
  <c r="I20" i="7"/>
  <c r="H20" i="7"/>
  <c r="G20" i="7"/>
  <c r="F20" i="7"/>
  <c r="E20" i="7"/>
  <c r="D20" i="7"/>
  <c r="C20" i="7"/>
  <c r="B20" i="7"/>
  <c r="M16" i="7"/>
  <c r="L16" i="7"/>
  <c r="K16" i="7"/>
  <c r="J16" i="7"/>
  <c r="I16" i="7"/>
  <c r="H16" i="7"/>
  <c r="G16" i="7"/>
  <c r="F16" i="7"/>
  <c r="E16" i="7"/>
  <c r="D16" i="7"/>
  <c r="C16" i="7"/>
  <c r="B16" i="7"/>
  <c r="M15" i="7"/>
  <c r="M44" i="7" s="1"/>
  <c r="L15" i="7"/>
  <c r="L44" i="7" s="1"/>
  <c r="K15" i="7"/>
  <c r="K44" i="7" s="1"/>
  <c r="J15" i="7"/>
  <c r="J44" i="7" s="1"/>
  <c r="I15" i="7"/>
  <c r="I44" i="7" s="1"/>
  <c r="H15" i="7"/>
  <c r="H44" i="7" s="1"/>
  <c r="G15" i="7"/>
  <c r="F15" i="7"/>
  <c r="F44" i="7" s="1"/>
  <c r="E15" i="7"/>
  <c r="E44" i="7" s="1"/>
  <c r="D15" i="7"/>
  <c r="D44" i="7" s="1"/>
  <c r="C15" i="7"/>
  <c r="C44" i="7" s="1"/>
  <c r="B15" i="7"/>
  <c r="B44" i="7" s="1"/>
  <c r="N14" i="7"/>
  <c r="M14" i="7"/>
  <c r="M40" i="7" s="1"/>
  <c r="L14" i="7"/>
  <c r="L40" i="7" s="1"/>
  <c r="K14" i="7"/>
  <c r="K40" i="7" s="1"/>
  <c r="J14" i="7"/>
  <c r="J40" i="7" s="1"/>
  <c r="I14" i="7"/>
  <c r="I40" i="7" s="1"/>
  <c r="H14" i="7"/>
  <c r="H40" i="7" s="1"/>
  <c r="G14" i="7"/>
  <c r="G40" i="7" s="1"/>
  <c r="F14" i="7"/>
  <c r="F40" i="7" s="1"/>
  <c r="E14" i="7"/>
  <c r="E40" i="7" s="1"/>
  <c r="D14" i="7"/>
  <c r="D40" i="7" s="1"/>
  <c r="C14" i="7"/>
  <c r="C40" i="7" s="1"/>
  <c r="B14" i="7"/>
  <c r="B40" i="7" s="1"/>
  <c r="M13" i="7"/>
  <c r="L13" i="7"/>
  <c r="K13" i="7"/>
  <c r="J13" i="7"/>
  <c r="I13" i="7"/>
  <c r="H13" i="7"/>
  <c r="G13" i="7"/>
  <c r="F13" i="7"/>
  <c r="E13" i="7"/>
  <c r="D13" i="7"/>
  <c r="C13" i="7"/>
  <c r="B13" i="7"/>
  <c r="N38" i="6"/>
  <c r="N37" i="6"/>
  <c r="N36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6" i="6"/>
  <c r="L16" i="6"/>
  <c r="K16" i="6"/>
  <c r="J16" i="6"/>
  <c r="I16" i="6"/>
  <c r="H16" i="6"/>
  <c r="G16" i="6"/>
  <c r="F16" i="6"/>
  <c r="E16" i="6"/>
  <c r="D16" i="6"/>
  <c r="C16" i="6"/>
  <c r="B16" i="6"/>
  <c r="M15" i="6"/>
  <c r="L15" i="6"/>
  <c r="K15" i="6"/>
  <c r="J15" i="6"/>
  <c r="I15" i="6"/>
  <c r="H15" i="6"/>
  <c r="G15" i="6"/>
  <c r="F15" i="6"/>
  <c r="E15" i="6"/>
  <c r="D15" i="6"/>
  <c r="C15" i="6"/>
  <c r="B15" i="6"/>
  <c r="M14" i="6"/>
  <c r="L14" i="6"/>
  <c r="K14" i="6"/>
  <c r="J14" i="6"/>
  <c r="I14" i="6"/>
  <c r="H14" i="6"/>
  <c r="G14" i="6"/>
  <c r="F14" i="6"/>
  <c r="E14" i="6"/>
  <c r="D14" i="6"/>
  <c r="C14" i="6"/>
  <c r="B14" i="6"/>
  <c r="M13" i="6"/>
  <c r="L13" i="6"/>
  <c r="K13" i="6"/>
  <c r="J13" i="6"/>
  <c r="I13" i="6"/>
  <c r="H13" i="6"/>
  <c r="G13" i="6"/>
  <c r="F13" i="6"/>
  <c r="E13" i="6"/>
  <c r="D13" i="6"/>
  <c r="C13" i="6"/>
  <c r="B13" i="6"/>
  <c r="N37" i="5"/>
  <c r="N36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M41" i="5" s="1"/>
  <c r="L21" i="5"/>
  <c r="L41" i="5" s="1"/>
  <c r="K21" i="5"/>
  <c r="K41" i="5" s="1"/>
  <c r="J21" i="5"/>
  <c r="J41" i="5" s="1"/>
  <c r="I21" i="5"/>
  <c r="I41" i="5" s="1"/>
  <c r="H21" i="5"/>
  <c r="H41" i="5" s="1"/>
  <c r="G21" i="5"/>
  <c r="G41" i="5" s="1"/>
  <c r="F21" i="5"/>
  <c r="F41" i="5" s="1"/>
  <c r="E21" i="5"/>
  <c r="E41" i="5" s="1"/>
  <c r="D21" i="5"/>
  <c r="D41" i="5" s="1"/>
  <c r="C21" i="5"/>
  <c r="C41" i="5" s="1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6" i="5"/>
  <c r="L16" i="5"/>
  <c r="K16" i="5"/>
  <c r="J16" i="5"/>
  <c r="I16" i="5"/>
  <c r="H16" i="5"/>
  <c r="G16" i="5"/>
  <c r="F16" i="5"/>
  <c r="E16" i="5"/>
  <c r="D16" i="5"/>
  <c r="C16" i="5"/>
  <c r="B16" i="5"/>
  <c r="M15" i="5"/>
  <c r="L15" i="5"/>
  <c r="K15" i="5"/>
  <c r="J15" i="5"/>
  <c r="I15" i="5"/>
  <c r="H15" i="5"/>
  <c r="G15" i="5"/>
  <c r="F15" i="5"/>
  <c r="E15" i="5"/>
  <c r="D15" i="5"/>
  <c r="C15" i="5"/>
  <c r="B15" i="5"/>
  <c r="M14" i="5"/>
  <c r="M40" i="5" s="1"/>
  <c r="L14" i="5"/>
  <c r="L40" i="5" s="1"/>
  <c r="K14" i="5"/>
  <c r="K40" i="5" s="1"/>
  <c r="J14" i="5"/>
  <c r="J40" i="5" s="1"/>
  <c r="I14" i="5"/>
  <c r="I40" i="5" s="1"/>
  <c r="H14" i="5"/>
  <c r="H40" i="5" s="1"/>
  <c r="G14" i="5"/>
  <c r="G40" i="5" s="1"/>
  <c r="F14" i="5"/>
  <c r="F40" i="5" s="1"/>
  <c r="E14" i="5"/>
  <c r="E40" i="5" s="1"/>
  <c r="D14" i="5"/>
  <c r="D40" i="5" s="1"/>
  <c r="C14" i="5"/>
  <c r="C40" i="5" s="1"/>
  <c r="B14" i="5"/>
  <c r="M13" i="5"/>
  <c r="L13" i="5"/>
  <c r="K13" i="5"/>
  <c r="J13" i="5"/>
  <c r="I13" i="5"/>
  <c r="H13" i="5"/>
  <c r="G13" i="5"/>
  <c r="F13" i="5"/>
  <c r="E13" i="5"/>
  <c r="D13" i="5"/>
  <c r="C13" i="5"/>
  <c r="B13" i="5"/>
  <c r="O37" i="4"/>
  <c r="N49" i="5" s="1"/>
  <c r="O36" i="4"/>
  <c r="N48" i="5" s="1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N41" i="4" s="1"/>
  <c r="M21" i="4"/>
  <c r="M41" i="4" s="1"/>
  <c r="L21" i="4"/>
  <c r="L41" i="4" s="1"/>
  <c r="K21" i="4"/>
  <c r="K41" i="4" s="1"/>
  <c r="J21" i="4"/>
  <c r="J41" i="4" s="1"/>
  <c r="I21" i="4"/>
  <c r="I41" i="4" s="1"/>
  <c r="H21" i="4"/>
  <c r="H41" i="4" s="1"/>
  <c r="G21" i="4"/>
  <c r="G41" i="4" s="1"/>
  <c r="F21" i="4"/>
  <c r="F41" i="4" s="1"/>
  <c r="E21" i="4"/>
  <c r="E41" i="4" s="1"/>
  <c r="D21" i="4"/>
  <c r="D41" i="4" s="1"/>
  <c r="C21" i="4"/>
  <c r="C41" i="4" s="1"/>
  <c r="N20" i="4"/>
  <c r="M20" i="4"/>
  <c r="L20" i="4"/>
  <c r="K20" i="4"/>
  <c r="J20" i="4"/>
  <c r="I20" i="4"/>
  <c r="H20" i="4"/>
  <c r="G20" i="4"/>
  <c r="F20" i="4"/>
  <c r="E20" i="4"/>
  <c r="D20" i="4"/>
  <c r="C20" i="4"/>
  <c r="D17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N44" i="4" s="1"/>
  <c r="M15" i="4"/>
  <c r="M44" i="4" s="1"/>
  <c r="L15" i="4"/>
  <c r="L44" i="4" s="1"/>
  <c r="K15" i="4"/>
  <c r="K44" i="4" s="1"/>
  <c r="J15" i="4"/>
  <c r="J44" i="4" s="1"/>
  <c r="I15" i="4"/>
  <c r="I44" i="4" s="1"/>
  <c r="H15" i="4"/>
  <c r="H44" i="4" s="1"/>
  <c r="G15" i="4"/>
  <c r="G44" i="4" s="1"/>
  <c r="F15" i="4"/>
  <c r="F44" i="4" s="1"/>
  <c r="E15" i="4"/>
  <c r="E44" i="4" s="1"/>
  <c r="D15" i="4"/>
  <c r="D44" i="4" s="1"/>
  <c r="C15" i="4"/>
  <c r="C44" i="4" s="1"/>
  <c r="N14" i="4"/>
  <c r="N40" i="4" s="1"/>
  <c r="M14" i="4"/>
  <c r="M40" i="4" s="1"/>
  <c r="L14" i="4"/>
  <c r="L40" i="4" s="1"/>
  <c r="K14" i="4"/>
  <c r="K40" i="4" s="1"/>
  <c r="J14" i="4"/>
  <c r="J40" i="4" s="1"/>
  <c r="I14" i="4"/>
  <c r="I40" i="4" s="1"/>
  <c r="H14" i="4"/>
  <c r="H40" i="4" s="1"/>
  <c r="G14" i="4"/>
  <c r="G40" i="4" s="1"/>
  <c r="F14" i="4"/>
  <c r="F40" i="4" s="1"/>
  <c r="E14" i="4"/>
  <c r="E40" i="4" s="1"/>
  <c r="D14" i="4"/>
  <c r="D40" i="4" s="1"/>
  <c r="C14" i="4"/>
  <c r="C40" i="4" s="1"/>
  <c r="N13" i="4"/>
  <c r="M13" i="4"/>
  <c r="L13" i="4"/>
  <c r="K13" i="4"/>
  <c r="J13" i="4"/>
  <c r="I13" i="4"/>
  <c r="H13" i="4"/>
  <c r="G13" i="4"/>
  <c r="F13" i="4"/>
  <c r="E13" i="4"/>
  <c r="D13" i="4"/>
  <c r="C13" i="4"/>
  <c r="M24" i="6"/>
  <c r="L24" i="6"/>
  <c r="K24" i="10"/>
  <c r="J24" i="13"/>
  <c r="I24" i="7"/>
  <c r="H24" i="5"/>
  <c r="G24" i="5"/>
  <c r="G24" i="4"/>
  <c r="F24" i="4"/>
  <c r="B24" i="6"/>
  <c r="N23" i="3"/>
  <c r="M23" i="5" s="1"/>
  <c r="M23" i="3"/>
  <c r="L23" i="6" s="1"/>
  <c r="K23" i="10"/>
  <c r="K23" i="3"/>
  <c r="J23" i="7" s="1"/>
  <c r="J23" i="3"/>
  <c r="I23" i="8" s="1"/>
  <c r="I23" i="3"/>
  <c r="H23" i="9" s="1"/>
  <c r="H23" i="3"/>
  <c r="H23" i="4" s="1"/>
  <c r="G23" i="3"/>
  <c r="G23" i="4" s="1"/>
  <c r="F23" i="3"/>
  <c r="E23" i="3"/>
  <c r="D23" i="3"/>
  <c r="C23" i="12" s="1"/>
  <c r="C23" i="3"/>
  <c r="O22" i="3"/>
  <c r="O14" i="1" s="1"/>
  <c r="O21" i="3"/>
  <c r="O13" i="1" s="1"/>
  <c r="O20" i="3"/>
  <c r="N20" i="5" s="1"/>
  <c r="M17" i="5"/>
  <c r="L17" i="5"/>
  <c r="K17" i="8"/>
  <c r="J17" i="8"/>
  <c r="G17" i="13"/>
  <c r="F17" i="6"/>
  <c r="E17" i="6"/>
  <c r="D17" i="10"/>
  <c r="C17" i="9"/>
  <c r="B17" i="7"/>
  <c r="O15" i="3"/>
  <c r="N15" i="9" s="1"/>
  <c r="O14" i="4"/>
  <c r="O13" i="3"/>
  <c r="O13" i="4" s="1"/>
  <c r="O337" i="2"/>
  <c r="L331" i="2"/>
  <c r="K38" i="7" s="1"/>
  <c r="K22" i="1" s="1"/>
  <c r="G331" i="2"/>
  <c r="F38" i="7" s="1"/>
  <c r="F22" i="1" s="1"/>
  <c r="E331" i="2"/>
  <c r="D38" i="7" s="1"/>
  <c r="D22" i="1" s="1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N331" i="2"/>
  <c r="M38" i="7" s="1"/>
  <c r="M331" i="2"/>
  <c r="L38" i="7" s="1"/>
  <c r="L22" i="1" s="1"/>
  <c r="K331" i="2"/>
  <c r="J38" i="7" s="1"/>
  <c r="J22" i="1" s="1"/>
  <c r="J331" i="2"/>
  <c r="I38" i="7" s="1"/>
  <c r="I22" i="1" s="1"/>
  <c r="I331" i="2"/>
  <c r="H38" i="7" s="1"/>
  <c r="H22" i="1" s="1"/>
  <c r="H331" i="2"/>
  <c r="G38" i="7" s="1"/>
  <c r="F331" i="2"/>
  <c r="E38" i="7" s="1"/>
  <c r="E22" i="1" s="1"/>
  <c r="D331" i="2"/>
  <c r="C38" i="7" s="1"/>
  <c r="C22" i="1" s="1"/>
  <c r="D268" i="2"/>
  <c r="D267" i="2"/>
  <c r="D263" i="2"/>
  <c r="O216" i="2"/>
  <c r="K186" i="2"/>
  <c r="N185" i="2"/>
  <c r="L185" i="2"/>
  <c r="E184" i="2"/>
  <c r="N183" i="2"/>
  <c r="G183" i="2"/>
  <c r="F183" i="2"/>
  <c r="E183" i="2"/>
  <c r="D181" i="2"/>
  <c r="E127" i="2"/>
  <c r="E126" i="2"/>
  <c r="D126" i="2"/>
  <c r="D129" i="2" s="1"/>
  <c r="E125" i="2"/>
  <c r="N117" i="2"/>
  <c r="M117" i="2"/>
  <c r="K117" i="2"/>
  <c r="I116" i="2"/>
  <c r="C115" i="2"/>
  <c r="N114" i="2"/>
  <c r="M113" i="2"/>
  <c r="D112" i="2"/>
  <c r="J186" i="2"/>
  <c r="G185" i="2"/>
  <c r="E116" i="2"/>
  <c r="M183" i="2"/>
  <c r="J182" i="2"/>
  <c r="D103" i="2"/>
  <c r="N87" i="2"/>
  <c r="N200" i="2" s="1"/>
  <c r="M87" i="2"/>
  <c r="M200" i="2" s="1"/>
  <c r="L87" i="2"/>
  <c r="L200" i="2" s="1"/>
  <c r="K87" i="2"/>
  <c r="K200" i="2" s="1"/>
  <c r="J87" i="2"/>
  <c r="J200" i="2" s="1"/>
  <c r="I87" i="2"/>
  <c r="I200" i="2" s="1"/>
  <c r="H87" i="2"/>
  <c r="H200" i="2" s="1"/>
  <c r="G87" i="2"/>
  <c r="G200" i="2" s="1"/>
  <c r="F87" i="2"/>
  <c r="F200" i="2" s="1"/>
  <c r="E87" i="2"/>
  <c r="E200" i="2" s="1"/>
  <c r="D87" i="2"/>
  <c r="D200" i="2" s="1"/>
  <c r="C200" i="2"/>
  <c r="N86" i="2"/>
  <c r="N199" i="2" s="1"/>
  <c r="M86" i="2"/>
  <c r="M199" i="2" s="1"/>
  <c r="L86" i="2"/>
  <c r="L199" i="2" s="1"/>
  <c r="K86" i="2"/>
  <c r="K199" i="2" s="1"/>
  <c r="J86" i="2"/>
  <c r="J199" i="2" s="1"/>
  <c r="I86" i="2"/>
  <c r="I199" i="2" s="1"/>
  <c r="H86" i="2"/>
  <c r="H199" i="2" s="1"/>
  <c r="G86" i="2"/>
  <c r="G199" i="2" s="1"/>
  <c r="F86" i="2"/>
  <c r="F199" i="2" s="1"/>
  <c r="E86" i="2"/>
  <c r="E199" i="2" s="1"/>
  <c r="D86" i="2"/>
  <c r="D199" i="2" s="1"/>
  <c r="C199" i="2"/>
  <c r="C202" i="2" s="1"/>
  <c r="N85" i="2"/>
  <c r="N198" i="2" s="1"/>
  <c r="M85" i="2"/>
  <c r="M198" i="2" s="1"/>
  <c r="L85" i="2"/>
  <c r="L198" i="2" s="1"/>
  <c r="K85" i="2"/>
  <c r="K198" i="2" s="1"/>
  <c r="J85" i="2"/>
  <c r="J198" i="2" s="1"/>
  <c r="N84" i="2"/>
  <c r="N197" i="2" s="1"/>
  <c r="M84" i="2"/>
  <c r="M197" i="2" s="1"/>
  <c r="L84" i="2"/>
  <c r="L197" i="2" s="1"/>
  <c r="K84" i="2"/>
  <c r="K197" i="2" s="1"/>
  <c r="J84" i="2"/>
  <c r="J197" i="2" s="1"/>
  <c r="D84" i="2"/>
  <c r="D197" i="2" s="1"/>
  <c r="M83" i="2"/>
  <c r="M196" i="2" s="1"/>
  <c r="L83" i="2"/>
  <c r="L196" i="2" s="1"/>
  <c r="K83" i="2"/>
  <c r="K196" i="2" s="1"/>
  <c r="J83" i="2"/>
  <c r="J196" i="2" s="1"/>
  <c r="E83" i="2"/>
  <c r="E196" i="2" s="1"/>
  <c r="D83" i="2"/>
  <c r="D196" i="2" s="1"/>
  <c r="N82" i="2"/>
  <c r="N195" i="2" s="1"/>
  <c r="M82" i="2"/>
  <c r="M195" i="2" s="1"/>
  <c r="L82" i="2"/>
  <c r="L195" i="2" s="1"/>
  <c r="K82" i="2"/>
  <c r="K195" i="2" s="1"/>
  <c r="J82" i="2"/>
  <c r="J195" i="2" s="1"/>
  <c r="I82" i="2"/>
  <c r="I195" i="2" s="1"/>
  <c r="H82" i="2"/>
  <c r="H195" i="2" s="1"/>
  <c r="G82" i="2"/>
  <c r="G195" i="2" s="1"/>
  <c r="F82" i="2"/>
  <c r="F195" i="2" s="1"/>
  <c r="E82" i="2"/>
  <c r="E195" i="2" s="1"/>
  <c r="D82" i="2"/>
  <c r="D195" i="2" s="1"/>
  <c r="M76" i="2"/>
  <c r="L76" i="2"/>
  <c r="J76" i="2"/>
  <c r="T74" i="2"/>
  <c r="T73" i="2"/>
  <c r="I85" i="2"/>
  <c r="I198" i="2" s="1"/>
  <c r="H85" i="2"/>
  <c r="H198" i="2" s="1"/>
  <c r="G85" i="2"/>
  <c r="G198" i="2" s="1"/>
  <c r="F85" i="2"/>
  <c r="F198" i="2" s="1"/>
  <c r="E85" i="2"/>
  <c r="E198" i="2" s="1"/>
  <c r="D266" i="2"/>
  <c r="I84" i="2"/>
  <c r="I197" i="2" s="1"/>
  <c r="H84" i="2"/>
  <c r="H197" i="2" s="1"/>
  <c r="G84" i="2"/>
  <c r="G197" i="2" s="1"/>
  <c r="F84" i="2"/>
  <c r="F197" i="2" s="1"/>
  <c r="D265" i="2"/>
  <c r="K76" i="2"/>
  <c r="G83" i="2"/>
  <c r="G196" i="2" s="1"/>
  <c r="F83" i="2"/>
  <c r="F196" i="2" s="1"/>
  <c r="D264" i="2"/>
  <c r="Q69" i="2"/>
  <c r="T69" i="2"/>
  <c r="U69" i="2" s="1"/>
  <c r="N60" i="2"/>
  <c r="M60" i="2"/>
  <c r="L60" i="2"/>
  <c r="K60" i="2"/>
  <c r="J60" i="2"/>
  <c r="I60" i="2"/>
  <c r="H60" i="2"/>
  <c r="G60" i="2"/>
  <c r="F60" i="2"/>
  <c r="E60" i="2"/>
  <c r="D60" i="2"/>
  <c r="C60" i="2"/>
  <c r="S59" i="2"/>
  <c r="R59" i="2"/>
  <c r="S58" i="2"/>
  <c r="S57" i="2"/>
  <c r="M55" i="2"/>
  <c r="L55" i="2"/>
  <c r="K55" i="2"/>
  <c r="J55" i="2"/>
  <c r="I55" i="2"/>
  <c r="H55" i="2"/>
  <c r="G55" i="2"/>
  <c r="F55" i="2"/>
  <c r="E55" i="2"/>
  <c r="D55" i="2"/>
  <c r="C55" i="2"/>
  <c r="S52" i="2"/>
  <c r="S51" i="2"/>
  <c r="S50" i="2"/>
  <c r="M49" i="2"/>
  <c r="L49" i="2"/>
  <c r="K49" i="2"/>
  <c r="J49" i="2"/>
  <c r="I49" i="2"/>
  <c r="H49" i="2"/>
  <c r="G49" i="2"/>
  <c r="F49" i="2"/>
  <c r="E49" i="2"/>
  <c r="D49" i="2"/>
  <c r="C49" i="2"/>
  <c r="G116" i="2"/>
  <c r="N30" i="2"/>
  <c r="N186" i="2" s="1"/>
  <c r="M30" i="2"/>
  <c r="M186" i="2" s="1"/>
  <c r="K30" i="2"/>
  <c r="J30" i="2"/>
  <c r="I30" i="2"/>
  <c r="H30" i="2"/>
  <c r="G30" i="2"/>
  <c r="F30" i="2"/>
  <c r="E30" i="2"/>
  <c r="D30" i="2"/>
  <c r="C30" i="2"/>
  <c r="N29" i="2"/>
  <c r="N116" i="2" s="1"/>
  <c r="M29" i="2"/>
  <c r="L116" i="2"/>
  <c r="K29" i="2"/>
  <c r="J29" i="2"/>
  <c r="J185" i="2" s="1"/>
  <c r="I29" i="2"/>
  <c r="I185" i="2" s="1"/>
  <c r="H29" i="2"/>
  <c r="H185" i="2" s="1"/>
  <c r="G29" i="2"/>
  <c r="F29" i="2"/>
  <c r="E29" i="2"/>
  <c r="D29" i="2"/>
  <c r="C29" i="2"/>
  <c r="N28" i="2"/>
  <c r="M28" i="2"/>
  <c r="M115" i="2" s="1"/>
  <c r="K28" i="2"/>
  <c r="J28" i="2"/>
  <c r="I28" i="2"/>
  <c r="H28" i="2"/>
  <c r="G28" i="2"/>
  <c r="F28" i="2"/>
  <c r="E28" i="2"/>
  <c r="D28" i="2"/>
  <c r="D184" i="2" s="1"/>
  <c r="C28" i="2"/>
  <c r="C184" i="2" s="1"/>
  <c r="N27" i="2"/>
  <c r="M27" i="2"/>
  <c r="K27" i="2"/>
  <c r="J27" i="2"/>
  <c r="I27" i="2"/>
  <c r="H27" i="2"/>
  <c r="G27" i="2"/>
  <c r="F27" i="2"/>
  <c r="F114" i="2" s="1"/>
  <c r="E27" i="2"/>
  <c r="E114" i="2" s="1"/>
  <c r="D27" i="2"/>
  <c r="D183" i="2" s="1"/>
  <c r="C27" i="2"/>
  <c r="N26" i="2"/>
  <c r="M26" i="2"/>
  <c r="M182" i="2" s="1"/>
  <c r="K26" i="2"/>
  <c r="J26" i="2"/>
  <c r="I26" i="2"/>
  <c r="H26" i="2"/>
  <c r="G26" i="2"/>
  <c r="F26" i="2"/>
  <c r="E26" i="2"/>
  <c r="D26" i="2"/>
  <c r="C26" i="2"/>
  <c r="N25" i="2"/>
  <c r="M25" i="2"/>
  <c r="L32" i="2"/>
  <c r="K25" i="2"/>
  <c r="J25" i="2"/>
  <c r="I25" i="2"/>
  <c r="I32" i="2" s="1"/>
  <c r="H25" i="2"/>
  <c r="G25" i="2"/>
  <c r="G32" i="2" s="1"/>
  <c r="F25" i="2"/>
  <c r="F32" i="2" s="1"/>
  <c r="E25" i="2"/>
  <c r="D25" i="2"/>
  <c r="C25" i="2"/>
  <c r="N20" i="2"/>
  <c r="M20" i="2"/>
  <c r="L20" i="2"/>
  <c r="K20" i="2"/>
  <c r="J20" i="2"/>
  <c r="I20" i="2"/>
  <c r="H20" i="2"/>
  <c r="G20" i="2"/>
  <c r="F20" i="2"/>
  <c r="E20" i="2"/>
  <c r="D20" i="2"/>
  <c r="C20" i="2"/>
  <c r="N9" i="2"/>
  <c r="N318" i="2" s="1"/>
  <c r="N27" i="3" s="1"/>
  <c r="M9" i="2"/>
  <c r="M318" i="2" s="1"/>
  <c r="M27" i="3" s="1"/>
  <c r="L9" i="2"/>
  <c r="L27" i="3" s="1"/>
  <c r="K9" i="2"/>
  <c r="K318" i="2" s="1"/>
  <c r="K27" i="3" s="1"/>
  <c r="J27" i="10" s="1"/>
  <c r="J9" i="2"/>
  <c r="J318" i="2" s="1"/>
  <c r="J27" i="3" s="1"/>
  <c r="I12" i="1" s="1"/>
  <c r="I9" i="2"/>
  <c r="I318" i="2" s="1"/>
  <c r="I27" i="3" s="1"/>
  <c r="H9" i="2"/>
  <c r="H318" i="2" s="1"/>
  <c r="H27" i="3" s="1"/>
  <c r="G12" i="1" s="1"/>
  <c r="G9" i="2"/>
  <c r="G318" i="2" s="1"/>
  <c r="G27" i="3" s="1"/>
  <c r="F12" i="1" s="1"/>
  <c r="F9" i="2"/>
  <c r="F318" i="2" s="1"/>
  <c r="F27" i="3" s="1"/>
  <c r="E12" i="1" s="1"/>
  <c r="E9" i="2"/>
  <c r="E318" i="2" s="1"/>
  <c r="E27" i="3" s="1"/>
  <c r="D12" i="1" s="1"/>
  <c r="D9" i="2"/>
  <c r="D318" i="2" s="1"/>
  <c r="D27" i="3" s="1"/>
  <c r="C12" i="1" s="1"/>
  <c r="C9" i="2"/>
  <c r="C318" i="2" s="1"/>
  <c r="I106" i="1"/>
  <c r="D106" i="1"/>
  <c r="C106" i="1"/>
  <c r="J106" i="1"/>
  <c r="F106" i="1"/>
  <c r="M106" i="1"/>
  <c r="L106" i="1"/>
  <c r="K106" i="1"/>
  <c r="H106" i="1"/>
  <c r="G106" i="1"/>
  <c r="N102" i="1"/>
  <c r="M102" i="1"/>
  <c r="L102" i="1"/>
  <c r="K102" i="1"/>
  <c r="J102" i="1"/>
  <c r="I102" i="1"/>
  <c r="H102" i="1"/>
  <c r="G102" i="1"/>
  <c r="F102" i="1"/>
  <c r="D102" i="1"/>
  <c r="C102" i="1"/>
  <c r="B102" i="1"/>
  <c r="N101" i="1"/>
  <c r="M101" i="1"/>
  <c r="L101" i="1"/>
  <c r="K101" i="1"/>
  <c r="J101" i="1"/>
  <c r="I101" i="1"/>
  <c r="H101" i="1"/>
  <c r="G101" i="1"/>
  <c r="F101" i="1"/>
  <c r="E101" i="1"/>
  <c r="M98" i="1"/>
  <c r="L98" i="1"/>
  <c r="K98" i="1"/>
  <c r="J98" i="1"/>
  <c r="I98" i="1"/>
  <c r="H98" i="1"/>
  <c r="G98" i="1"/>
  <c r="F98" i="1"/>
  <c r="E98" i="1"/>
  <c r="D98" i="1"/>
  <c r="D101" i="1" s="1"/>
  <c r="C98" i="1"/>
  <c r="C101" i="1" s="1"/>
  <c r="B98" i="1"/>
  <c r="B101" i="1" s="1"/>
  <c r="N97" i="1"/>
  <c r="N96" i="1"/>
  <c r="M87" i="1"/>
  <c r="L87" i="1"/>
  <c r="J87" i="1"/>
  <c r="I87" i="1"/>
  <c r="H87" i="1"/>
  <c r="G87" i="1"/>
  <c r="F87" i="1"/>
  <c r="E87" i="1"/>
  <c r="D87" i="1"/>
  <c r="C87" i="1"/>
  <c r="B87" i="1"/>
  <c r="M86" i="1"/>
  <c r="L86" i="1"/>
  <c r="K86" i="1"/>
  <c r="J86" i="1"/>
  <c r="I86" i="1"/>
  <c r="H86" i="1"/>
  <c r="G86" i="1"/>
  <c r="F86" i="1"/>
  <c r="E86" i="1"/>
  <c r="D86" i="1"/>
  <c r="C86" i="1"/>
  <c r="B86" i="1"/>
  <c r="M85" i="1"/>
  <c r="L85" i="1"/>
  <c r="K85" i="1"/>
  <c r="J85" i="1"/>
  <c r="I85" i="1"/>
  <c r="H85" i="1"/>
  <c r="G85" i="1"/>
  <c r="F85" i="1"/>
  <c r="E85" i="1"/>
  <c r="D85" i="1"/>
  <c r="C85" i="1"/>
  <c r="B85" i="1"/>
  <c r="M84" i="1"/>
  <c r="L84" i="1"/>
  <c r="J84" i="1"/>
  <c r="I84" i="1"/>
  <c r="H84" i="1"/>
  <c r="G84" i="1"/>
  <c r="F84" i="1"/>
  <c r="E84" i="1"/>
  <c r="D84" i="1"/>
  <c r="C84" i="1"/>
  <c r="B84" i="1"/>
  <c r="M83" i="1"/>
  <c r="L83" i="1"/>
  <c r="J83" i="1"/>
  <c r="I83" i="1"/>
  <c r="H83" i="1"/>
  <c r="G83" i="1"/>
  <c r="F83" i="1"/>
  <c r="E83" i="1"/>
  <c r="D83" i="1"/>
  <c r="C83" i="1"/>
  <c r="B83" i="1"/>
  <c r="M82" i="1"/>
  <c r="L82" i="1"/>
  <c r="J82" i="1"/>
  <c r="I82" i="1"/>
  <c r="H82" i="1"/>
  <c r="G82" i="1"/>
  <c r="F82" i="1"/>
  <c r="E82" i="1"/>
  <c r="D82" i="1"/>
  <c r="C82" i="1"/>
  <c r="B82" i="1"/>
  <c r="M81" i="1"/>
  <c r="L81" i="1"/>
  <c r="K81" i="1"/>
  <c r="J81" i="1"/>
  <c r="I81" i="1"/>
  <c r="H81" i="1"/>
  <c r="G81" i="1"/>
  <c r="F81" i="1"/>
  <c r="E81" i="1"/>
  <c r="D81" i="1"/>
  <c r="C81" i="1"/>
  <c r="B81" i="1"/>
  <c r="L80" i="1"/>
  <c r="K80" i="1"/>
  <c r="J80" i="1"/>
  <c r="I80" i="1"/>
  <c r="H80" i="1"/>
  <c r="G80" i="1"/>
  <c r="F80" i="1"/>
  <c r="E80" i="1"/>
  <c r="D80" i="1"/>
  <c r="C80" i="1"/>
  <c r="B80" i="1"/>
  <c r="M79" i="1"/>
  <c r="L79" i="1"/>
  <c r="K79" i="1"/>
  <c r="J79" i="1"/>
  <c r="I79" i="1"/>
  <c r="H79" i="1"/>
  <c r="G79" i="1"/>
  <c r="F79" i="1"/>
  <c r="E79" i="1"/>
  <c r="D79" i="1"/>
  <c r="C79" i="1"/>
  <c r="B79" i="1"/>
  <c r="M78" i="1"/>
  <c r="L78" i="1"/>
  <c r="K78" i="1"/>
  <c r="J78" i="1"/>
  <c r="I78" i="1"/>
  <c r="H78" i="1"/>
  <c r="G78" i="1"/>
  <c r="F78" i="1"/>
  <c r="E78" i="1"/>
  <c r="D78" i="1"/>
  <c r="C78" i="1"/>
  <c r="B78" i="1"/>
  <c r="M77" i="1"/>
  <c r="L77" i="1"/>
  <c r="K77" i="1"/>
  <c r="J77" i="1"/>
  <c r="I77" i="1"/>
  <c r="H77" i="1"/>
  <c r="G77" i="1"/>
  <c r="F77" i="1"/>
  <c r="E77" i="1"/>
  <c r="D77" i="1"/>
  <c r="C77" i="1"/>
  <c r="B77" i="1"/>
  <c r="M75" i="1"/>
  <c r="L75" i="1"/>
  <c r="J75" i="1"/>
  <c r="I75" i="1"/>
  <c r="H75" i="1"/>
  <c r="G75" i="1"/>
  <c r="F75" i="1"/>
  <c r="E75" i="1"/>
  <c r="D75" i="1"/>
  <c r="C75" i="1"/>
  <c r="B75" i="1"/>
  <c r="M74" i="1"/>
  <c r="L74" i="1"/>
  <c r="J74" i="1"/>
  <c r="I74" i="1"/>
  <c r="H74" i="1"/>
  <c r="G74" i="1"/>
  <c r="F74" i="1"/>
  <c r="E74" i="1"/>
  <c r="D74" i="1"/>
  <c r="C74" i="1"/>
  <c r="B74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N71" i="1"/>
  <c r="M71" i="1"/>
  <c r="L71" i="1"/>
  <c r="J71" i="1"/>
  <c r="I71" i="1"/>
  <c r="H71" i="1"/>
  <c r="G71" i="1"/>
  <c r="F71" i="1"/>
  <c r="E71" i="1"/>
  <c r="D71" i="1"/>
  <c r="C71" i="1"/>
  <c r="B71" i="1"/>
  <c r="M62" i="1"/>
  <c r="L62" i="1"/>
  <c r="K62" i="1"/>
  <c r="J62" i="1"/>
  <c r="I62" i="1"/>
  <c r="H62" i="1"/>
  <c r="G62" i="1"/>
  <c r="F62" i="1"/>
  <c r="E62" i="1"/>
  <c r="D62" i="1"/>
  <c r="C62" i="1"/>
  <c r="B62" i="1"/>
  <c r="M61" i="1"/>
  <c r="L61" i="1"/>
  <c r="K61" i="1"/>
  <c r="J61" i="1"/>
  <c r="I61" i="1"/>
  <c r="H61" i="1"/>
  <c r="G61" i="1"/>
  <c r="F61" i="1"/>
  <c r="E61" i="1"/>
  <c r="D61" i="1"/>
  <c r="C61" i="1"/>
  <c r="B61" i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G57" i="1"/>
  <c r="F57" i="1"/>
  <c r="E57" i="1"/>
  <c r="D57" i="1"/>
  <c r="C57" i="1"/>
  <c r="B57" i="1"/>
  <c r="M56" i="1"/>
  <c r="L56" i="1"/>
  <c r="K56" i="1"/>
  <c r="J56" i="1"/>
  <c r="I56" i="1"/>
  <c r="H56" i="1"/>
  <c r="G56" i="1"/>
  <c r="F56" i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I53" i="1"/>
  <c r="H53" i="1"/>
  <c r="G53" i="1"/>
  <c r="F53" i="1"/>
  <c r="E53" i="1"/>
  <c r="D53" i="1"/>
  <c r="C53" i="1"/>
  <c r="B53" i="1"/>
  <c r="M52" i="1"/>
  <c r="L52" i="1"/>
  <c r="L63" i="1" s="1"/>
  <c r="K52" i="1"/>
  <c r="K63" i="1" s="1"/>
  <c r="J52" i="1"/>
  <c r="I52" i="1"/>
  <c r="H52" i="1"/>
  <c r="G52" i="1"/>
  <c r="G63" i="1" s="1"/>
  <c r="F52" i="1"/>
  <c r="E52" i="1"/>
  <c r="E63" i="1" s="1"/>
  <c r="D52" i="1"/>
  <c r="C52" i="1"/>
  <c r="B52" i="1"/>
  <c r="F50" i="1"/>
  <c r="E50" i="1"/>
  <c r="D50" i="1"/>
  <c r="C50" i="1"/>
  <c r="B50" i="1"/>
  <c r="M49" i="1"/>
  <c r="F49" i="1"/>
  <c r="E49" i="1"/>
  <c r="D49" i="1"/>
  <c r="C49" i="1"/>
  <c r="B49" i="1"/>
  <c r="M48" i="1"/>
  <c r="L48" i="1"/>
  <c r="J48" i="1"/>
  <c r="I48" i="1"/>
  <c r="H48" i="1"/>
  <c r="G48" i="1"/>
  <c r="F48" i="1"/>
  <c r="E48" i="1"/>
  <c r="D48" i="1"/>
  <c r="C48" i="1"/>
  <c r="B48" i="1"/>
  <c r="M47" i="1"/>
  <c r="L47" i="1"/>
  <c r="J47" i="1"/>
  <c r="I47" i="1"/>
  <c r="H47" i="1"/>
  <c r="G47" i="1"/>
  <c r="F47" i="1"/>
  <c r="E47" i="1"/>
  <c r="D47" i="1"/>
  <c r="C47" i="1"/>
  <c r="B47" i="1"/>
  <c r="M46" i="1"/>
  <c r="L46" i="1"/>
  <c r="J46" i="1"/>
  <c r="I46" i="1"/>
  <c r="H46" i="1"/>
  <c r="G46" i="1"/>
  <c r="F46" i="1"/>
  <c r="E46" i="1"/>
  <c r="D46" i="1"/>
  <c r="C46" i="1"/>
  <c r="B46" i="1"/>
  <c r="M28" i="1"/>
  <c r="L28" i="1"/>
  <c r="K28" i="1"/>
  <c r="F28" i="1"/>
  <c r="E28" i="1"/>
  <c r="D28" i="1"/>
  <c r="C28" i="1"/>
  <c r="B28" i="1"/>
  <c r="M22" i="1"/>
  <c r="G22" i="1"/>
  <c r="M21" i="1"/>
  <c r="L21" i="1"/>
  <c r="K21" i="1"/>
  <c r="J21" i="1"/>
  <c r="I21" i="1"/>
  <c r="H21" i="1"/>
  <c r="G21" i="1"/>
  <c r="F21" i="1"/>
  <c r="E21" i="1"/>
  <c r="D21" i="1"/>
  <c r="C21" i="1"/>
  <c r="B21" i="1"/>
  <c r="M88" i="1" l="1"/>
  <c r="N21" i="1"/>
  <c r="N59" i="1"/>
  <c r="O25" i="1" s="1"/>
  <c r="N54" i="1"/>
  <c r="O20" i="1" s="1"/>
  <c r="N55" i="1"/>
  <c r="O21" i="1" s="1"/>
  <c r="N56" i="1"/>
  <c r="O22" i="1" s="1"/>
  <c r="G88" i="1"/>
  <c r="B63" i="1"/>
  <c r="N52" i="1"/>
  <c r="O18" i="1" s="1"/>
  <c r="N58" i="1"/>
  <c r="O24" i="1" s="1"/>
  <c r="N87" i="1"/>
  <c r="K88" i="1"/>
  <c r="D131" i="2" a="1"/>
  <c r="C27" i="3"/>
  <c r="O318" i="2"/>
  <c r="D32" i="2"/>
  <c r="M32" i="2"/>
  <c r="E32" i="2"/>
  <c r="J32" i="2"/>
  <c r="K32" i="2"/>
  <c r="D104" i="2"/>
  <c r="D95" i="2" s="1"/>
  <c r="D110" i="2" s="1"/>
  <c r="D136" i="2" s="1"/>
  <c r="N53" i="1"/>
  <c r="O19" i="1" s="1"/>
  <c r="D131" i="2"/>
  <c r="K143" i="2" s="1"/>
  <c r="K158" i="2" s="1"/>
  <c r="E88" i="1"/>
  <c r="J88" i="1"/>
  <c r="I88" i="1"/>
  <c r="N57" i="1"/>
  <c r="O23" i="1" s="1"/>
  <c r="B88" i="1"/>
  <c r="C88" i="1"/>
  <c r="G27" i="8"/>
  <c r="F88" i="1"/>
  <c r="N13" i="12"/>
  <c r="O24" i="3"/>
  <c r="N24" i="6" s="1"/>
  <c r="O15" i="4"/>
  <c r="N13" i="7"/>
  <c r="N15" i="7"/>
  <c r="D88" i="1"/>
  <c r="N77" i="1"/>
  <c r="O17" i="3"/>
  <c r="N22" i="5"/>
  <c r="N22" i="6"/>
  <c r="G50" i="1"/>
  <c r="H50" i="1"/>
  <c r="I50" i="1"/>
  <c r="N21" i="5"/>
  <c r="G49" i="1"/>
  <c r="M50" i="1"/>
  <c r="J50" i="1"/>
  <c r="L50" i="1"/>
  <c r="O23" i="3"/>
  <c r="N49" i="1" s="1"/>
  <c r="O15" i="1" s="1"/>
  <c r="H49" i="1"/>
  <c r="I49" i="1"/>
  <c r="O20" i="4"/>
  <c r="J49" i="1"/>
  <c r="N20" i="9"/>
  <c r="O12" i="1"/>
  <c r="L49" i="1"/>
  <c r="T70" i="2"/>
  <c r="U70" i="2" s="1"/>
  <c r="U73" i="2"/>
  <c r="N24" i="11"/>
  <c r="M23" i="6"/>
  <c r="J23" i="5"/>
  <c r="I23" i="4"/>
  <c r="K23" i="5"/>
  <c r="J23" i="4"/>
  <c r="L23" i="5"/>
  <c r="K23" i="4"/>
  <c r="L23" i="4"/>
  <c r="H24" i="4"/>
  <c r="F23" i="7"/>
  <c r="J24" i="4"/>
  <c r="N21" i="6"/>
  <c r="G23" i="7"/>
  <c r="F23" i="8"/>
  <c r="H23" i="7"/>
  <c r="G23" i="8"/>
  <c r="I23" i="7"/>
  <c r="C17" i="4"/>
  <c r="K24" i="4"/>
  <c r="H24" i="7"/>
  <c r="J17" i="7"/>
  <c r="M17" i="4"/>
  <c r="I24" i="5"/>
  <c r="K17" i="7"/>
  <c r="N17" i="4"/>
  <c r="B17" i="5"/>
  <c r="J24" i="5"/>
  <c r="L17" i="7"/>
  <c r="F24" i="9"/>
  <c r="D17" i="12"/>
  <c r="H63" i="1"/>
  <c r="C17" i="5"/>
  <c r="K24" i="5"/>
  <c r="M17" i="7"/>
  <c r="G24" i="9"/>
  <c r="I63" i="1"/>
  <c r="D17" i="5"/>
  <c r="L24" i="5"/>
  <c r="K24" i="6"/>
  <c r="J24" i="9"/>
  <c r="J63" i="1"/>
  <c r="E17" i="5"/>
  <c r="C17" i="10"/>
  <c r="D17" i="6"/>
  <c r="E17" i="13"/>
  <c r="M63" i="1"/>
  <c r="H120" i="16" s="1"/>
  <c r="E24" i="7"/>
  <c r="I24" i="4"/>
  <c r="G17" i="6"/>
  <c r="F24" i="7"/>
  <c r="M17" i="8"/>
  <c r="G24" i="7"/>
  <c r="F32" i="15"/>
  <c r="K117" i="15"/>
  <c r="E32" i="15"/>
  <c r="J32" i="15"/>
  <c r="O25" i="15"/>
  <c r="O26" i="15"/>
  <c r="O28" i="15"/>
  <c r="O29" i="15"/>
  <c r="O30" i="15"/>
  <c r="K32" i="15"/>
  <c r="H32" i="15"/>
  <c r="K91" i="15"/>
  <c r="K160" i="15"/>
  <c r="C76" i="15"/>
  <c r="C160" i="15" s="1"/>
  <c r="M32" i="15"/>
  <c r="C77" i="15"/>
  <c r="C161" i="15" s="1"/>
  <c r="E164" i="15"/>
  <c r="E95" i="15"/>
  <c r="F161" i="15"/>
  <c r="F92" i="15"/>
  <c r="F164" i="15"/>
  <c r="F95" i="15"/>
  <c r="K162" i="15"/>
  <c r="K93" i="15"/>
  <c r="C162" i="15"/>
  <c r="C93" i="15"/>
  <c r="O78" i="15"/>
  <c r="D161" i="15"/>
  <c r="D92" i="15"/>
  <c r="D162" i="15"/>
  <c r="D93" i="15"/>
  <c r="D163" i="15"/>
  <c r="D94" i="15"/>
  <c r="D164" i="15"/>
  <c r="D95" i="15"/>
  <c r="D165" i="15"/>
  <c r="D96" i="15"/>
  <c r="E162" i="15"/>
  <c r="E93" i="15"/>
  <c r="H161" i="15"/>
  <c r="H92" i="15"/>
  <c r="H162" i="15"/>
  <c r="H93" i="15"/>
  <c r="H164" i="15"/>
  <c r="H95" i="15"/>
  <c r="H165" i="15"/>
  <c r="H96" i="15"/>
  <c r="E161" i="15"/>
  <c r="E92" i="15"/>
  <c r="E163" i="15"/>
  <c r="E94" i="15"/>
  <c r="F162" i="15"/>
  <c r="F93" i="15"/>
  <c r="G161" i="15"/>
  <c r="G92" i="15"/>
  <c r="G162" i="15"/>
  <c r="G93" i="15"/>
  <c r="G163" i="15"/>
  <c r="G94" i="15"/>
  <c r="G165" i="15"/>
  <c r="G96" i="15"/>
  <c r="I160" i="15"/>
  <c r="I91" i="15"/>
  <c r="I82" i="15"/>
  <c r="I161" i="15"/>
  <c r="I92" i="15"/>
  <c r="I163" i="15"/>
  <c r="I94" i="15"/>
  <c r="I164" i="15"/>
  <c r="I95" i="15"/>
  <c r="I165" i="15"/>
  <c r="I96" i="15"/>
  <c r="J162" i="15"/>
  <c r="J93" i="15"/>
  <c r="J163" i="15"/>
  <c r="J94" i="15"/>
  <c r="J164" i="15"/>
  <c r="J95" i="15"/>
  <c r="E165" i="15"/>
  <c r="E96" i="15"/>
  <c r="F163" i="15"/>
  <c r="F94" i="15"/>
  <c r="K161" i="15"/>
  <c r="K82" i="15"/>
  <c r="K92" i="15"/>
  <c r="K163" i="15"/>
  <c r="K94" i="15"/>
  <c r="L160" i="15"/>
  <c r="L91" i="15"/>
  <c r="L82" i="15"/>
  <c r="L162" i="15"/>
  <c r="L93" i="15"/>
  <c r="L165" i="15"/>
  <c r="L96" i="15"/>
  <c r="M160" i="15"/>
  <c r="M91" i="15"/>
  <c r="M161" i="15"/>
  <c r="M92" i="15"/>
  <c r="M165" i="15"/>
  <c r="M96" i="15"/>
  <c r="N160" i="15"/>
  <c r="N91" i="15"/>
  <c r="N82" i="15"/>
  <c r="N163" i="15"/>
  <c r="N94" i="15"/>
  <c r="N164" i="15"/>
  <c r="N95" i="15"/>
  <c r="N165" i="15"/>
  <c r="N96" i="15"/>
  <c r="O27" i="15"/>
  <c r="N32" i="15"/>
  <c r="C79" i="15"/>
  <c r="C32" i="15"/>
  <c r="G76" i="15"/>
  <c r="C80" i="15"/>
  <c r="J92" i="15"/>
  <c r="I93" i="15"/>
  <c r="H94" i="15"/>
  <c r="G95" i="15"/>
  <c r="F96" i="15"/>
  <c r="L32" i="15"/>
  <c r="E76" i="15"/>
  <c r="M80" i="15"/>
  <c r="M82" i="15" s="1"/>
  <c r="F76" i="15"/>
  <c r="D32" i="15"/>
  <c r="H76" i="15"/>
  <c r="C81" i="15"/>
  <c r="L92" i="15"/>
  <c r="J76" i="15"/>
  <c r="D82" i="15"/>
  <c r="C91" i="15"/>
  <c r="C117" i="15" s="1"/>
  <c r="N92" i="15"/>
  <c r="M93" i="15"/>
  <c r="L94" i="15"/>
  <c r="K95" i="15"/>
  <c r="J96" i="15"/>
  <c r="D91" i="15"/>
  <c r="N93" i="15"/>
  <c r="M94" i="15"/>
  <c r="L95" i="15"/>
  <c r="K96" i="15"/>
  <c r="I32" i="15"/>
  <c r="G186" i="2"/>
  <c r="G117" i="2"/>
  <c r="K183" i="2"/>
  <c r="K114" i="2"/>
  <c r="K27" i="8"/>
  <c r="K27" i="9"/>
  <c r="K27" i="12"/>
  <c r="K27" i="10"/>
  <c r="K27" i="13"/>
  <c r="K27" i="7"/>
  <c r="L27" i="4"/>
  <c r="K27" i="11"/>
  <c r="K27" i="6"/>
  <c r="K27" i="5"/>
  <c r="K12" i="1"/>
  <c r="L182" i="2"/>
  <c r="L113" i="2"/>
  <c r="K184" i="2"/>
  <c r="K115" i="2"/>
  <c r="L183" i="2"/>
  <c r="L114" i="2"/>
  <c r="M27" i="11"/>
  <c r="M27" i="8"/>
  <c r="M27" i="9"/>
  <c r="M27" i="12"/>
  <c r="M27" i="13"/>
  <c r="M27" i="7"/>
  <c r="N27" i="4"/>
  <c r="M27" i="5"/>
  <c r="M27" i="10"/>
  <c r="M27" i="6"/>
  <c r="K181" i="2"/>
  <c r="K112" i="2"/>
  <c r="N28" i="1"/>
  <c r="C32" i="2"/>
  <c r="C63" i="1"/>
  <c r="L88" i="1"/>
  <c r="O26" i="2"/>
  <c r="O29" i="2"/>
  <c r="C117" i="2"/>
  <c r="C186" i="2"/>
  <c r="D76" i="2"/>
  <c r="D85" i="2"/>
  <c r="D198" i="2" s="1"/>
  <c r="D202" i="2" s="1"/>
  <c r="N32" i="2"/>
  <c r="D113" i="2"/>
  <c r="D182" i="2"/>
  <c r="D117" i="2"/>
  <c r="D186" i="2"/>
  <c r="E84" i="2"/>
  <c r="E197" i="2" s="1"/>
  <c r="E76" i="2"/>
  <c r="C116" i="2"/>
  <c r="C185" i="2"/>
  <c r="D115" i="2"/>
  <c r="E185" i="2"/>
  <c r="D63" i="1"/>
  <c r="N81" i="1"/>
  <c r="N82" i="1"/>
  <c r="N83" i="1"/>
  <c r="N84" i="1"/>
  <c r="N85" i="1"/>
  <c r="N86" i="1"/>
  <c r="F103" i="2"/>
  <c r="F104" i="2" s="1"/>
  <c r="F95" i="2" s="1"/>
  <c r="F110" i="2" s="1"/>
  <c r="F136" i="2" s="1"/>
  <c r="E113" i="2"/>
  <c r="E182" i="2"/>
  <c r="E117" i="2"/>
  <c r="E186" i="2"/>
  <c r="H32" i="2"/>
  <c r="I113" i="2"/>
  <c r="I182" i="2"/>
  <c r="D116" i="2"/>
  <c r="D185" i="2"/>
  <c r="K185" i="2"/>
  <c r="K116" i="2"/>
  <c r="I186" i="2"/>
  <c r="I117" i="2"/>
  <c r="L27" i="11"/>
  <c r="L27" i="13"/>
  <c r="L27" i="12"/>
  <c r="L27" i="8"/>
  <c r="L27" i="9"/>
  <c r="L27" i="10"/>
  <c r="L27" i="7"/>
  <c r="M27" i="4"/>
  <c r="L27" i="5"/>
  <c r="L27" i="6"/>
  <c r="L184" i="2"/>
  <c r="L115" i="2"/>
  <c r="N98" i="1"/>
  <c r="J27" i="11"/>
  <c r="J27" i="13"/>
  <c r="J27" i="8"/>
  <c r="J27" i="9"/>
  <c r="J27" i="12"/>
  <c r="J27" i="7"/>
  <c r="K27" i="4"/>
  <c r="J27" i="6"/>
  <c r="J27" i="5"/>
  <c r="J12" i="1"/>
  <c r="N60" i="1"/>
  <c r="O26" i="1" s="1"/>
  <c r="P24" i="1" s="1"/>
  <c r="N78" i="1"/>
  <c r="N79" i="1"/>
  <c r="N80" i="1"/>
  <c r="G103" i="2"/>
  <c r="G104" i="2" s="1"/>
  <c r="G95" i="2" s="1"/>
  <c r="G110" i="2" s="1"/>
  <c r="G136" i="2" s="1"/>
  <c r="F113" i="2"/>
  <c r="F182" i="2"/>
  <c r="J202" i="2"/>
  <c r="H116" i="2"/>
  <c r="M114" i="2"/>
  <c r="H112" i="2"/>
  <c r="H103" i="2"/>
  <c r="H181" i="2"/>
  <c r="G113" i="2"/>
  <c r="G182" i="2"/>
  <c r="G114" i="2"/>
  <c r="H83" i="2"/>
  <c r="H196" i="2" s="1"/>
  <c r="H76" i="2"/>
  <c r="K202" i="2"/>
  <c r="J89" i="2"/>
  <c r="F116" i="2"/>
  <c r="F185" i="2"/>
  <c r="F112" i="2"/>
  <c r="D319" i="2"/>
  <c r="D321" i="2" s="1"/>
  <c r="H27" i="10"/>
  <c r="H27" i="11"/>
  <c r="H27" i="13"/>
  <c r="H27" i="8"/>
  <c r="H27" i="9"/>
  <c r="H27" i="12"/>
  <c r="H27" i="7"/>
  <c r="H27" i="6"/>
  <c r="I27" i="4"/>
  <c r="H27" i="5"/>
  <c r="H12" i="1"/>
  <c r="O25" i="2"/>
  <c r="F63" i="1"/>
  <c r="H118" i="16" s="1"/>
  <c r="N62" i="1"/>
  <c r="O28" i="1" s="1"/>
  <c r="M12" i="1"/>
  <c r="N105" i="1"/>
  <c r="E106" i="1"/>
  <c r="I112" i="2"/>
  <c r="I181" i="2"/>
  <c r="H113" i="2"/>
  <c r="H182" i="2"/>
  <c r="H114" i="2"/>
  <c r="H183" i="2"/>
  <c r="H184" i="2"/>
  <c r="H115" i="2"/>
  <c r="H186" i="2"/>
  <c r="H117" i="2"/>
  <c r="I83" i="2"/>
  <c r="I196" i="2" s="1"/>
  <c r="I202" i="2" s="1"/>
  <c r="I76" i="2"/>
  <c r="L202" i="2"/>
  <c r="K89" i="2"/>
  <c r="G112" i="2"/>
  <c r="J116" i="2"/>
  <c r="J112" i="2"/>
  <c r="J181" i="2"/>
  <c r="N182" i="2"/>
  <c r="N113" i="2"/>
  <c r="N61" i="1"/>
  <c r="O27" i="1" s="1"/>
  <c r="L12" i="1"/>
  <c r="I183" i="2"/>
  <c r="I114" i="2"/>
  <c r="O28" i="2"/>
  <c r="M202" i="2"/>
  <c r="L89" i="2"/>
  <c r="F186" i="2"/>
  <c r="F117" i="2"/>
  <c r="J113" i="2"/>
  <c r="J117" i="2"/>
  <c r="F181" i="2"/>
  <c r="H88" i="1"/>
  <c r="J184" i="2"/>
  <c r="J115" i="2"/>
  <c r="M89" i="2"/>
  <c r="G181" i="2"/>
  <c r="O44" i="4"/>
  <c r="O40" i="4"/>
  <c r="C27" i="11"/>
  <c r="C27" i="13"/>
  <c r="C27" i="12"/>
  <c r="C27" i="9"/>
  <c r="C27" i="10"/>
  <c r="C27" i="8"/>
  <c r="D27" i="4"/>
  <c r="C27" i="5"/>
  <c r="C27" i="6"/>
  <c r="C27" i="7"/>
  <c r="N76" i="2"/>
  <c r="N83" i="2"/>
  <c r="N196" i="2" s="1"/>
  <c r="N202" i="2" s="1"/>
  <c r="D27" i="11"/>
  <c r="D27" i="9"/>
  <c r="D27" i="13"/>
  <c r="D27" i="10"/>
  <c r="D27" i="5"/>
  <c r="D27" i="12"/>
  <c r="D27" i="6"/>
  <c r="D27" i="8"/>
  <c r="E27" i="4"/>
  <c r="D27" i="7"/>
  <c r="C114" i="2"/>
  <c r="C183" i="2"/>
  <c r="O27" i="2"/>
  <c r="N115" i="2"/>
  <c r="N184" i="2"/>
  <c r="M116" i="2"/>
  <c r="M185" i="2"/>
  <c r="L117" i="2"/>
  <c r="L186" i="2"/>
  <c r="E115" i="2"/>
  <c r="C182" i="2"/>
  <c r="E27" i="11"/>
  <c r="E27" i="13"/>
  <c r="E27" i="12"/>
  <c r="E27" i="10"/>
  <c r="E27" i="5"/>
  <c r="E27" i="6"/>
  <c r="E27" i="8"/>
  <c r="F27" i="4"/>
  <c r="E27" i="9"/>
  <c r="E27" i="7"/>
  <c r="F115" i="2"/>
  <c r="D114" i="2"/>
  <c r="F27" i="13"/>
  <c r="F27" i="12"/>
  <c r="F27" i="10"/>
  <c r="F27" i="11"/>
  <c r="F27" i="8"/>
  <c r="F27" i="6"/>
  <c r="F27" i="9"/>
  <c r="F27" i="5"/>
  <c r="G27" i="4"/>
  <c r="F27" i="7"/>
  <c r="E202" i="2"/>
  <c r="G115" i="2"/>
  <c r="G184" i="2"/>
  <c r="F184" i="2"/>
  <c r="G27" i="13"/>
  <c r="G27" i="12"/>
  <c r="G27" i="10"/>
  <c r="G27" i="11"/>
  <c r="G27" i="9"/>
  <c r="G27" i="6"/>
  <c r="G27" i="5"/>
  <c r="H27" i="4"/>
  <c r="G27" i="7"/>
  <c r="O30" i="2"/>
  <c r="F76" i="2"/>
  <c r="F202" i="2"/>
  <c r="F89" i="2"/>
  <c r="M184" i="2"/>
  <c r="G76" i="2"/>
  <c r="G202" i="2"/>
  <c r="G89" i="2"/>
  <c r="C113" i="2"/>
  <c r="I27" i="11"/>
  <c r="I27" i="13"/>
  <c r="I27" i="8"/>
  <c r="I27" i="12"/>
  <c r="I27" i="9"/>
  <c r="I27" i="7"/>
  <c r="I27" i="6"/>
  <c r="J27" i="4"/>
  <c r="I27" i="5"/>
  <c r="I27" i="10"/>
  <c r="N41" i="5"/>
  <c r="B38" i="7"/>
  <c r="N38" i="7" s="1"/>
  <c r="O331" i="2"/>
  <c r="H17" i="13"/>
  <c r="H17" i="12"/>
  <c r="H17" i="8"/>
  <c r="H17" i="9"/>
  <c r="H17" i="10"/>
  <c r="I17" i="4"/>
  <c r="H17" i="5"/>
  <c r="H17" i="11"/>
  <c r="H17" i="6"/>
  <c r="H17" i="7"/>
  <c r="E23" i="11"/>
  <c r="E23" i="13"/>
  <c r="E23" i="12"/>
  <c r="E23" i="9"/>
  <c r="E23" i="10"/>
  <c r="F23" i="4"/>
  <c r="E23" i="5"/>
  <c r="E23" i="6"/>
  <c r="E23" i="7"/>
  <c r="D24" i="11"/>
  <c r="D24" i="13"/>
  <c r="D24" i="12"/>
  <c r="D24" i="9"/>
  <c r="D24" i="10"/>
  <c r="E24" i="4"/>
  <c r="D24" i="5"/>
  <c r="D24" i="8"/>
  <c r="D24" i="6"/>
  <c r="D24" i="7"/>
  <c r="C23" i="6"/>
  <c r="I17" i="11"/>
  <c r="I17" i="13"/>
  <c r="I17" i="12"/>
  <c r="I17" i="9"/>
  <c r="I17" i="10"/>
  <c r="I17" i="8"/>
  <c r="J17" i="4"/>
  <c r="I17" i="5"/>
  <c r="I17" i="6"/>
  <c r="I17" i="7"/>
  <c r="E23" i="8"/>
  <c r="B23" i="11"/>
  <c r="B23" i="13"/>
  <c r="B23" i="12"/>
  <c r="B23" i="8"/>
  <c r="B23" i="9"/>
  <c r="B23" i="10"/>
  <c r="B23" i="7"/>
  <c r="C23" i="4"/>
  <c r="B23" i="5"/>
  <c r="N23" i="11"/>
  <c r="N23" i="13"/>
  <c r="M24" i="11"/>
  <c r="M24" i="13"/>
  <c r="M24" i="12"/>
  <c r="M24" i="8"/>
  <c r="M24" i="9"/>
  <c r="M24" i="10"/>
  <c r="M24" i="7"/>
  <c r="N24" i="4"/>
  <c r="M24" i="5"/>
  <c r="F17" i="11"/>
  <c r="F17" i="13"/>
  <c r="F17" i="12"/>
  <c r="F17" i="8"/>
  <c r="F17" i="9"/>
  <c r="F17" i="10"/>
  <c r="F17" i="7"/>
  <c r="G17" i="4"/>
  <c r="F17" i="5"/>
  <c r="C23" i="11"/>
  <c r="C23" i="8"/>
  <c r="C23" i="9"/>
  <c r="C23" i="13"/>
  <c r="C23" i="7"/>
  <c r="C23" i="10"/>
  <c r="D23" i="4"/>
  <c r="C23" i="5"/>
  <c r="B24" i="11"/>
  <c r="B24" i="8"/>
  <c r="B24" i="9"/>
  <c r="B24" i="12"/>
  <c r="B24" i="7"/>
  <c r="C24" i="4"/>
  <c r="B24" i="13"/>
  <c r="B24" i="5"/>
  <c r="B24" i="10"/>
  <c r="N24" i="9"/>
  <c r="G17" i="11"/>
  <c r="G17" i="8"/>
  <c r="G17" i="9"/>
  <c r="G17" i="12"/>
  <c r="G17" i="7"/>
  <c r="H17" i="4"/>
  <c r="G17" i="5"/>
  <c r="G17" i="10"/>
  <c r="D23" i="13"/>
  <c r="D23" i="12"/>
  <c r="D23" i="8"/>
  <c r="D23" i="9"/>
  <c r="D23" i="11"/>
  <c r="D23" i="10"/>
  <c r="E23" i="4"/>
  <c r="D23" i="5"/>
  <c r="D23" i="6"/>
  <c r="D23" i="7"/>
  <c r="C24" i="13"/>
  <c r="C24" i="12"/>
  <c r="C24" i="8"/>
  <c r="C24" i="9"/>
  <c r="C24" i="10"/>
  <c r="C24" i="11"/>
  <c r="D24" i="4"/>
  <c r="C24" i="5"/>
  <c r="C24" i="6"/>
  <c r="C24" i="7"/>
  <c r="B23" i="6"/>
  <c r="N44" i="7"/>
  <c r="D17" i="11"/>
  <c r="D17" i="13"/>
  <c r="D17" i="8"/>
  <c r="D17" i="9"/>
  <c r="N21" i="11"/>
  <c r="N21" i="12"/>
  <c r="N41" i="12" s="1"/>
  <c r="N21" i="8"/>
  <c r="N21" i="13"/>
  <c r="N41" i="13" s="1"/>
  <c r="N21" i="9"/>
  <c r="N41" i="9" s="1"/>
  <c r="L23" i="11"/>
  <c r="L23" i="13"/>
  <c r="L23" i="8"/>
  <c r="L23" i="9"/>
  <c r="K24" i="11"/>
  <c r="K24" i="12"/>
  <c r="K24" i="8"/>
  <c r="K24" i="13"/>
  <c r="K24" i="9"/>
  <c r="K17" i="4"/>
  <c r="N15" i="5"/>
  <c r="H23" i="5"/>
  <c r="B17" i="6"/>
  <c r="J23" i="6"/>
  <c r="I24" i="6"/>
  <c r="E17" i="8"/>
  <c r="E17" i="9"/>
  <c r="E17" i="12"/>
  <c r="E17" i="10"/>
  <c r="N22" i="12"/>
  <c r="N22" i="8"/>
  <c r="N22" i="13"/>
  <c r="N22" i="11"/>
  <c r="N22" i="9"/>
  <c r="N22" i="10"/>
  <c r="M23" i="8"/>
  <c r="M23" i="9"/>
  <c r="M23" i="12"/>
  <c r="M23" i="10"/>
  <c r="L24" i="12"/>
  <c r="L24" i="8"/>
  <c r="L24" i="13"/>
  <c r="L24" i="11"/>
  <c r="L24" i="9"/>
  <c r="L24" i="10"/>
  <c r="L17" i="4"/>
  <c r="I23" i="5"/>
  <c r="C17" i="6"/>
  <c r="N20" i="6"/>
  <c r="K23" i="6"/>
  <c r="J24" i="6"/>
  <c r="K23" i="9"/>
  <c r="J24" i="10"/>
  <c r="N13" i="11"/>
  <c r="N13" i="9"/>
  <c r="N13" i="13"/>
  <c r="N13" i="10"/>
  <c r="J17" i="11"/>
  <c r="J17" i="9"/>
  <c r="J17" i="12"/>
  <c r="J17" i="10"/>
  <c r="J17" i="13"/>
  <c r="F23" i="11"/>
  <c r="F23" i="9"/>
  <c r="F23" i="13"/>
  <c r="F23" i="10"/>
  <c r="E24" i="11"/>
  <c r="E24" i="9"/>
  <c r="E24" i="12"/>
  <c r="E24" i="10"/>
  <c r="E24" i="13"/>
  <c r="E17" i="4"/>
  <c r="O21" i="4"/>
  <c r="O41" i="4" s="1"/>
  <c r="M23" i="4"/>
  <c r="L24" i="4"/>
  <c r="E17" i="11"/>
  <c r="F23" i="12"/>
  <c r="N20" i="13"/>
  <c r="N14" i="11"/>
  <c r="N14" i="13"/>
  <c r="N40" i="13" s="1"/>
  <c r="N14" i="12"/>
  <c r="N40" i="12" s="1"/>
  <c r="N14" i="10"/>
  <c r="N40" i="10" s="1"/>
  <c r="K17" i="11"/>
  <c r="K17" i="13"/>
  <c r="K17" i="12"/>
  <c r="K17" i="10"/>
  <c r="G23" i="11"/>
  <c r="G23" i="13"/>
  <c r="G23" i="12"/>
  <c r="G23" i="10"/>
  <c r="F24" i="11"/>
  <c r="F24" i="13"/>
  <c r="F24" i="12"/>
  <c r="F24" i="10"/>
  <c r="F17" i="4"/>
  <c r="O22" i="4"/>
  <c r="N23" i="4"/>
  <c r="M24" i="4"/>
  <c r="C17" i="7"/>
  <c r="N20" i="7"/>
  <c r="K23" i="7"/>
  <c r="J24" i="7"/>
  <c r="N20" i="10"/>
  <c r="L23" i="12"/>
  <c r="M23" i="13"/>
  <c r="D23" i="14"/>
  <c r="M23" i="14" s="1"/>
  <c r="E11" i="14"/>
  <c r="E23" i="14" s="1"/>
  <c r="N23" i="14" s="1"/>
  <c r="N15" i="13"/>
  <c r="N44" i="13" s="1"/>
  <c r="N15" i="12"/>
  <c r="N44" i="12" s="1"/>
  <c r="N15" i="10"/>
  <c r="N44" i="10" s="1"/>
  <c r="N15" i="11"/>
  <c r="N15" i="8"/>
  <c r="L17" i="13"/>
  <c r="L17" i="12"/>
  <c r="L17" i="10"/>
  <c r="L17" i="8"/>
  <c r="L17" i="11"/>
  <c r="H23" i="13"/>
  <c r="H23" i="12"/>
  <c r="H23" i="10"/>
  <c r="H23" i="11"/>
  <c r="H23" i="8"/>
  <c r="G24" i="13"/>
  <c r="G24" i="12"/>
  <c r="G24" i="10"/>
  <c r="G24" i="8"/>
  <c r="G24" i="11"/>
  <c r="N13" i="6"/>
  <c r="J17" i="6"/>
  <c r="F23" i="6"/>
  <c r="E24" i="6"/>
  <c r="D17" i="7"/>
  <c r="N21" i="7"/>
  <c r="N41" i="7" s="1"/>
  <c r="L23" i="7"/>
  <c r="K24" i="7"/>
  <c r="N13" i="8"/>
  <c r="E24" i="8"/>
  <c r="K17" i="9"/>
  <c r="N21" i="10"/>
  <c r="N41" i="10" s="1"/>
  <c r="O16" i="3"/>
  <c r="M17" i="13"/>
  <c r="M17" i="12"/>
  <c r="M17" i="10"/>
  <c r="M17" i="11"/>
  <c r="M17" i="9"/>
  <c r="I23" i="13"/>
  <c r="I23" i="12"/>
  <c r="I23" i="10"/>
  <c r="I23" i="11"/>
  <c r="I23" i="9"/>
  <c r="H24" i="13"/>
  <c r="H24" i="12"/>
  <c r="H24" i="10"/>
  <c r="H24" i="11"/>
  <c r="H24" i="9"/>
  <c r="N14" i="6"/>
  <c r="K17" i="6"/>
  <c r="G23" i="6"/>
  <c r="F24" i="6"/>
  <c r="E17" i="7"/>
  <c r="N22" i="7"/>
  <c r="M23" i="7"/>
  <c r="L24" i="7"/>
  <c r="N14" i="8"/>
  <c r="F24" i="8"/>
  <c r="L17" i="9"/>
  <c r="M23" i="11"/>
  <c r="D24" i="14"/>
  <c r="M24" i="14" s="1"/>
  <c r="E12" i="14"/>
  <c r="E24" i="14" s="1"/>
  <c r="N24" i="14" s="1"/>
  <c r="B17" i="10"/>
  <c r="B17" i="11"/>
  <c r="B17" i="13"/>
  <c r="B17" i="8"/>
  <c r="B17" i="9"/>
  <c r="B17" i="12"/>
  <c r="J23" i="10"/>
  <c r="J23" i="11"/>
  <c r="J23" i="13"/>
  <c r="J23" i="8"/>
  <c r="J23" i="9"/>
  <c r="J23" i="12"/>
  <c r="I24" i="10"/>
  <c r="I24" i="12"/>
  <c r="I24" i="8"/>
  <c r="I24" i="13"/>
  <c r="I24" i="9"/>
  <c r="N13" i="5"/>
  <c r="J17" i="5"/>
  <c r="F23" i="5"/>
  <c r="E24" i="5"/>
  <c r="N15" i="6"/>
  <c r="L17" i="6"/>
  <c r="H23" i="6"/>
  <c r="G24" i="6"/>
  <c r="H24" i="8"/>
  <c r="N40" i="9"/>
  <c r="D52" i="14"/>
  <c r="M52" i="14" s="1"/>
  <c r="E40" i="14"/>
  <c r="E52" i="14" s="1"/>
  <c r="N52" i="14" s="1"/>
  <c r="C17" i="11"/>
  <c r="C17" i="13"/>
  <c r="C17" i="8"/>
  <c r="C17" i="12"/>
  <c r="N20" i="12"/>
  <c r="N20" i="8"/>
  <c r="N20" i="11"/>
  <c r="K23" i="11"/>
  <c r="K23" i="13"/>
  <c r="K23" i="8"/>
  <c r="K23" i="12"/>
  <c r="J24" i="12"/>
  <c r="J24" i="8"/>
  <c r="J24" i="11"/>
  <c r="N14" i="5"/>
  <c r="N40" i="5" s="1"/>
  <c r="K17" i="5"/>
  <c r="G23" i="5"/>
  <c r="F24" i="5"/>
  <c r="M17" i="6"/>
  <c r="I23" i="6"/>
  <c r="H24" i="6"/>
  <c r="G23" i="9"/>
  <c r="L23" i="10"/>
  <c r="I24" i="11"/>
  <c r="E74" i="14"/>
  <c r="E86" i="14" s="1"/>
  <c r="N86" i="14" s="1"/>
  <c r="D86" i="14"/>
  <c r="M86" i="14" s="1"/>
  <c r="N44" i="9"/>
  <c r="E8" i="14"/>
  <c r="E20" i="14" s="1"/>
  <c r="N20" i="14" s="1"/>
  <c r="D20" i="14"/>
  <c r="M20" i="14" s="1"/>
  <c r="F23" i="14"/>
  <c r="O23" i="14" s="1"/>
  <c r="G11" i="14"/>
  <c r="G23" i="14" s="1"/>
  <c r="P23" i="14" s="1"/>
  <c r="N38" i="13"/>
  <c r="F82" i="14"/>
  <c r="O82" i="14" s="1"/>
  <c r="G70" i="14"/>
  <c r="G82" i="14" s="1"/>
  <c r="P82" i="14" s="1"/>
  <c r="F54" i="14"/>
  <c r="O54" i="14" s="1"/>
  <c r="G42" i="14"/>
  <c r="G54" i="14" s="1"/>
  <c r="P54" i="14" s="1"/>
  <c r="D21" i="14"/>
  <c r="M21" i="14" s="1"/>
  <c r="E9" i="14"/>
  <c r="E21" i="14" s="1"/>
  <c r="N21" i="14" s="1"/>
  <c r="D55" i="14"/>
  <c r="M55" i="14" s="1"/>
  <c r="E43" i="14"/>
  <c r="E55" i="14" s="1"/>
  <c r="N55" i="14" s="1"/>
  <c r="D83" i="14"/>
  <c r="M83" i="14" s="1"/>
  <c r="N40" i="7"/>
  <c r="D51" i="14"/>
  <c r="M51" i="14" s="1"/>
  <c r="F51" i="14"/>
  <c r="O51" i="14" s="1"/>
  <c r="G39" i="14"/>
  <c r="G51" i="14" s="1"/>
  <c r="P51" i="14" s="1"/>
  <c r="F20" i="14"/>
  <c r="O20" i="14" s="1"/>
  <c r="D50" i="14"/>
  <c r="M50" i="14" s="1"/>
  <c r="D53" i="14"/>
  <c r="M53" i="14" s="1"/>
  <c r="G73" i="14"/>
  <c r="G85" i="14" s="1"/>
  <c r="P85" i="14" s="1"/>
  <c r="D81" i="14"/>
  <c r="M81" i="14" s="1"/>
  <c r="F22" i="14"/>
  <c r="O22" i="14" s="1"/>
  <c r="F25" i="14"/>
  <c r="O25" i="14" s="1"/>
  <c r="Q24" i="1" l="1"/>
  <c r="H117" i="16"/>
  <c r="G119" i="16"/>
  <c r="G120" i="16"/>
  <c r="F140" i="2"/>
  <c r="F155" i="2" s="1"/>
  <c r="H89" i="2"/>
  <c r="N89" i="2"/>
  <c r="D142" i="2"/>
  <c r="G141" i="2"/>
  <c r="I142" i="2"/>
  <c r="I157" i="2" s="1"/>
  <c r="I281" i="2" s="1"/>
  <c r="M142" i="2"/>
  <c r="M157" i="2" s="1"/>
  <c r="D141" i="2"/>
  <c r="D156" i="2" s="1"/>
  <c r="N141" i="2"/>
  <c r="N156" i="2" s="1"/>
  <c r="D119" i="2"/>
  <c r="L143" i="2"/>
  <c r="L158" i="2" s="1"/>
  <c r="X102" i="2" s="1"/>
  <c r="D138" i="2"/>
  <c r="D153" i="2" s="1"/>
  <c r="D277" i="2" s="1"/>
  <c r="C139" i="2"/>
  <c r="C119" i="2"/>
  <c r="J141" i="2"/>
  <c r="J156" i="2" s="1"/>
  <c r="I139" i="2"/>
  <c r="N140" i="2"/>
  <c r="N155" i="2" s="1"/>
  <c r="N279" i="2" s="1"/>
  <c r="G140" i="2"/>
  <c r="G155" i="2" s="1"/>
  <c r="G139" i="2"/>
  <c r="G154" i="2" s="1"/>
  <c r="G142" i="2"/>
  <c r="G157" i="2" s="1"/>
  <c r="G171" i="2" s="1"/>
  <c r="T42" i="16" s="1"/>
  <c r="K141" i="2"/>
  <c r="K156" i="2" s="1"/>
  <c r="E142" i="2"/>
  <c r="E157" i="2" s="1"/>
  <c r="E171" i="2" s="1"/>
  <c r="H141" i="2"/>
  <c r="H156" i="2" s="1"/>
  <c r="C141" i="2"/>
  <c r="C156" i="2" s="1"/>
  <c r="E139" i="2"/>
  <c r="N142" i="2"/>
  <c r="N157" i="2" s="1"/>
  <c r="N171" i="2" s="1"/>
  <c r="AA42" i="16" s="1"/>
  <c r="C140" i="2"/>
  <c r="C155" i="2" s="1"/>
  <c r="F119" i="2"/>
  <c r="H119" i="2"/>
  <c r="M143" i="2"/>
  <c r="M158" i="2" s="1"/>
  <c r="M282" i="2" s="1"/>
  <c r="K140" i="2"/>
  <c r="K155" i="2" s="1"/>
  <c r="F143" i="2"/>
  <c r="F158" i="2" s="1"/>
  <c r="J138" i="2"/>
  <c r="J153" i="2" s="1"/>
  <c r="M140" i="2"/>
  <c r="M155" i="2" s="1"/>
  <c r="E140" i="2"/>
  <c r="E155" i="2" s="1"/>
  <c r="E279" i="2" s="1"/>
  <c r="J142" i="2"/>
  <c r="J157" i="2" s="1"/>
  <c r="M139" i="2"/>
  <c r="M154" i="2" s="1"/>
  <c r="M278" i="2" s="1"/>
  <c r="C142" i="2"/>
  <c r="C157" i="2" s="1"/>
  <c r="G143" i="2"/>
  <c r="G158" i="2" s="1"/>
  <c r="F141" i="2"/>
  <c r="F156" i="2" s="1"/>
  <c r="E141" i="2"/>
  <c r="E156" i="2" s="1"/>
  <c r="G119" i="2"/>
  <c r="H139" i="2"/>
  <c r="H154" i="2" s="1"/>
  <c r="N143" i="2"/>
  <c r="N158" i="2" s="1"/>
  <c r="N172" i="2" s="1"/>
  <c r="AA43" i="16" s="1"/>
  <c r="H104" i="2"/>
  <c r="H95" i="2" s="1"/>
  <c r="H110" i="2" s="1"/>
  <c r="H136" i="2" s="1"/>
  <c r="G117" i="16"/>
  <c r="G118" i="16"/>
  <c r="H119" i="16"/>
  <c r="H122" i="16" s="1"/>
  <c r="M141" i="2"/>
  <c r="M156" i="2" s="1"/>
  <c r="M280" i="2" s="1"/>
  <c r="D143" i="2"/>
  <c r="D158" i="2" s="1"/>
  <c r="L142" i="2"/>
  <c r="L157" i="2" s="1"/>
  <c r="L281" i="2" s="1"/>
  <c r="D139" i="2"/>
  <c r="D154" i="2" s="1"/>
  <c r="K138" i="2"/>
  <c r="K153" i="2" s="1"/>
  <c r="E89" i="2"/>
  <c r="O29" i="1"/>
  <c r="N88" i="1"/>
  <c r="O24" i="4"/>
  <c r="N24" i="7"/>
  <c r="N24" i="13"/>
  <c r="N63" i="1"/>
  <c r="N24" i="8"/>
  <c r="N23" i="6"/>
  <c r="N23" i="5"/>
  <c r="N24" i="10"/>
  <c r="O16" i="1"/>
  <c r="O23" i="4"/>
  <c r="N23" i="7"/>
  <c r="N23" i="10"/>
  <c r="N23" i="9"/>
  <c r="N24" i="5"/>
  <c r="N23" i="8"/>
  <c r="N24" i="12"/>
  <c r="N23" i="12"/>
  <c r="D188" i="2"/>
  <c r="O185" i="2"/>
  <c r="F188" i="2"/>
  <c r="O41" i="10"/>
  <c r="P41" i="10" s="1"/>
  <c r="O41" i="9"/>
  <c r="P41" i="9" s="1"/>
  <c r="O32" i="15"/>
  <c r="L118" i="15"/>
  <c r="J118" i="15"/>
  <c r="J133" i="15" s="1"/>
  <c r="D119" i="15"/>
  <c r="D134" i="15" s="1"/>
  <c r="C119" i="15"/>
  <c r="K122" i="15"/>
  <c r="K137" i="15" s="1"/>
  <c r="K118" i="15"/>
  <c r="K133" i="15" s="1"/>
  <c r="G122" i="15"/>
  <c r="G137" i="15" s="1"/>
  <c r="N117" i="15"/>
  <c r="N132" i="15" s="1"/>
  <c r="H118" i="15"/>
  <c r="H133" i="15" s="1"/>
  <c r="L121" i="15"/>
  <c r="L136" i="15" s="1"/>
  <c r="M117" i="15"/>
  <c r="M132" i="15" s="1"/>
  <c r="J122" i="15"/>
  <c r="J137" i="15" s="1"/>
  <c r="K119" i="15"/>
  <c r="K134" i="15" s="1"/>
  <c r="J120" i="15"/>
  <c r="J135" i="15" s="1"/>
  <c r="I121" i="15"/>
  <c r="I136" i="15" s="1"/>
  <c r="E120" i="15"/>
  <c r="E135" i="15" s="1"/>
  <c r="H122" i="15"/>
  <c r="H137" i="15" s="1"/>
  <c r="M120" i="15"/>
  <c r="M135" i="15" s="1"/>
  <c r="E118" i="15"/>
  <c r="E133" i="15" s="1"/>
  <c r="N119" i="15"/>
  <c r="N134" i="15" s="1"/>
  <c r="L122" i="15"/>
  <c r="L137" i="15" s="1"/>
  <c r="F118" i="15"/>
  <c r="F133" i="15" s="1"/>
  <c r="D117" i="15"/>
  <c r="D132" i="15" s="1"/>
  <c r="N120" i="15"/>
  <c r="N135" i="15" s="1"/>
  <c r="E119" i="15"/>
  <c r="L119" i="15"/>
  <c r="L134" i="15" s="1"/>
  <c r="E122" i="15"/>
  <c r="E137" i="15" s="1"/>
  <c r="G119" i="15"/>
  <c r="G134" i="15" s="1"/>
  <c r="D122" i="15"/>
  <c r="D137" i="15" s="1"/>
  <c r="H120" i="15"/>
  <c r="H135" i="15" s="1"/>
  <c r="F122" i="15"/>
  <c r="F137" i="15" s="1"/>
  <c r="J121" i="15"/>
  <c r="J136" i="15" s="1"/>
  <c r="I118" i="15"/>
  <c r="I133" i="15" s="1"/>
  <c r="E121" i="15"/>
  <c r="E136" i="15" s="1"/>
  <c r="D167" i="15"/>
  <c r="N167" i="15"/>
  <c r="O162" i="15"/>
  <c r="O77" i="15"/>
  <c r="K167" i="15"/>
  <c r="C92" i="15"/>
  <c r="C118" i="15" s="1"/>
  <c r="L83" i="15"/>
  <c r="I119" i="15"/>
  <c r="I134" i="15" s="1"/>
  <c r="O161" i="15"/>
  <c r="C164" i="15"/>
  <c r="O80" i="15"/>
  <c r="C95" i="15"/>
  <c r="L167" i="15"/>
  <c r="I83" i="15"/>
  <c r="F120" i="15"/>
  <c r="F135" i="15" s="1"/>
  <c r="K98" i="15"/>
  <c r="G82" i="15"/>
  <c r="G160" i="15"/>
  <c r="G167" i="15" s="1"/>
  <c r="G91" i="15"/>
  <c r="M83" i="15"/>
  <c r="G121" i="15"/>
  <c r="G136" i="15" s="1"/>
  <c r="E160" i="15"/>
  <c r="E91" i="15"/>
  <c r="E82" i="15"/>
  <c r="C163" i="15"/>
  <c r="O163" i="15" s="1"/>
  <c r="C94" i="15"/>
  <c r="O79" i="15"/>
  <c r="L98" i="15"/>
  <c r="O76" i="15"/>
  <c r="G118" i="15"/>
  <c r="G133" i="15" s="1"/>
  <c r="M119" i="15"/>
  <c r="M134" i="15" s="1"/>
  <c r="K132" i="15"/>
  <c r="I98" i="15"/>
  <c r="I167" i="15"/>
  <c r="O92" i="15"/>
  <c r="C165" i="15"/>
  <c r="O165" i="15" s="1"/>
  <c r="C96" i="15"/>
  <c r="O81" i="15"/>
  <c r="F160" i="15"/>
  <c r="F167" i="15" s="1"/>
  <c r="F91" i="15"/>
  <c r="F82" i="15"/>
  <c r="M118" i="15"/>
  <c r="M133" i="15" s="1"/>
  <c r="N121" i="15"/>
  <c r="N136" i="15" s="1"/>
  <c r="D120" i="15"/>
  <c r="D135" i="15" s="1"/>
  <c r="F119" i="15"/>
  <c r="F134" i="15" s="1"/>
  <c r="L117" i="15"/>
  <c r="E134" i="15"/>
  <c r="D83" i="15"/>
  <c r="L133" i="15"/>
  <c r="C132" i="15"/>
  <c r="N122" i="15"/>
  <c r="N137" i="15" s="1"/>
  <c r="D121" i="15"/>
  <c r="D136" i="15" s="1"/>
  <c r="H119" i="15"/>
  <c r="H134" i="15" s="1"/>
  <c r="J119" i="15"/>
  <c r="J134" i="15" s="1"/>
  <c r="D98" i="15"/>
  <c r="J160" i="15"/>
  <c r="J167" i="15" s="1"/>
  <c r="J82" i="15"/>
  <c r="J91" i="15"/>
  <c r="C82" i="15"/>
  <c r="N83" i="15"/>
  <c r="K83" i="15"/>
  <c r="L120" i="15"/>
  <c r="L135" i="15" s="1"/>
  <c r="I122" i="15"/>
  <c r="I137" i="15" s="1"/>
  <c r="K120" i="15"/>
  <c r="K135" i="15" s="1"/>
  <c r="G120" i="15"/>
  <c r="G135" i="15" s="1"/>
  <c r="I120" i="15"/>
  <c r="I135" i="15" s="1"/>
  <c r="H82" i="15"/>
  <c r="H160" i="15"/>
  <c r="H167" i="15" s="1"/>
  <c r="H91" i="15"/>
  <c r="M122" i="15"/>
  <c r="M137" i="15" s="1"/>
  <c r="M164" i="15"/>
  <c r="M167" i="15" s="1"/>
  <c r="M95" i="15"/>
  <c r="M98" i="15" s="1"/>
  <c r="N98" i="15"/>
  <c r="D118" i="15"/>
  <c r="D133" i="15" s="1"/>
  <c r="N118" i="15"/>
  <c r="N133" i="15" s="1"/>
  <c r="K121" i="15"/>
  <c r="K136" i="15" s="1"/>
  <c r="I117" i="15"/>
  <c r="I132" i="15" s="1"/>
  <c r="F121" i="15"/>
  <c r="F136" i="15" s="1"/>
  <c r="H121" i="15"/>
  <c r="H136" i="15" s="1"/>
  <c r="C134" i="15"/>
  <c r="O93" i="15"/>
  <c r="K282" i="2"/>
  <c r="I89" i="2"/>
  <c r="O116" i="2"/>
  <c r="F169" i="2"/>
  <c r="S40" i="16" s="1"/>
  <c r="F279" i="2"/>
  <c r="I143" i="2"/>
  <c r="I158" i="2" s="1"/>
  <c r="B27" i="13"/>
  <c r="B27" i="12"/>
  <c r="B27" i="8"/>
  <c r="B27" i="9"/>
  <c r="B27" i="11"/>
  <c r="B27" i="10"/>
  <c r="C27" i="4"/>
  <c r="B27" i="5"/>
  <c r="B27" i="6"/>
  <c r="B27" i="7"/>
  <c r="O27" i="3"/>
  <c r="B12" i="1"/>
  <c r="O186" i="2"/>
  <c r="C103" i="2"/>
  <c r="I184" i="2"/>
  <c r="O184" i="2" s="1"/>
  <c r="I115" i="2"/>
  <c r="I119" i="2" s="1"/>
  <c r="N17" i="10"/>
  <c r="N17" i="12"/>
  <c r="N17" i="8"/>
  <c r="N17" i="13"/>
  <c r="N17" i="9"/>
  <c r="N17" i="11"/>
  <c r="N17" i="7"/>
  <c r="N17" i="6"/>
  <c r="O17" i="4"/>
  <c r="N17" i="5"/>
  <c r="N75" i="1"/>
  <c r="L139" i="2"/>
  <c r="L154" i="2" s="1"/>
  <c r="N181" i="2"/>
  <c r="N188" i="2" s="1"/>
  <c r="N112" i="2"/>
  <c r="N119" i="2" s="1"/>
  <c r="N103" i="2"/>
  <c r="N104" i="2" s="1"/>
  <c r="N95" i="2" s="1"/>
  <c r="N110" i="2" s="1"/>
  <c r="N136" i="2" s="1"/>
  <c r="N16" i="13"/>
  <c r="N16" i="12"/>
  <c r="N16" i="10"/>
  <c r="N16" i="11"/>
  <c r="N16" i="9"/>
  <c r="N16" i="6"/>
  <c r="N16" i="8"/>
  <c r="N16" i="5"/>
  <c r="N16" i="7"/>
  <c r="O16" i="4"/>
  <c r="N74" i="1"/>
  <c r="O117" i="2"/>
  <c r="D89" i="2"/>
  <c r="G188" i="2"/>
  <c r="K182" i="2"/>
  <c r="K188" i="2" s="1"/>
  <c r="K113" i="2"/>
  <c r="K119" i="2" s="1"/>
  <c r="G319" i="2"/>
  <c r="G321" i="2" s="1"/>
  <c r="N281" i="2"/>
  <c r="H188" i="2"/>
  <c r="H307" i="2" s="1"/>
  <c r="B22" i="1"/>
  <c r="H202" i="2"/>
  <c r="O32" i="2"/>
  <c r="H319" i="2"/>
  <c r="H321" i="2" s="1"/>
  <c r="D140" i="2"/>
  <c r="I140" i="2"/>
  <c r="I155" i="2" s="1"/>
  <c r="H143" i="2"/>
  <c r="H158" i="2" s="1"/>
  <c r="N139" i="2"/>
  <c r="N154" i="2" s="1"/>
  <c r="K103" i="2"/>
  <c r="K104" i="2" s="1"/>
  <c r="K95" i="2" s="1"/>
  <c r="K110" i="2" s="1"/>
  <c r="K136" i="2" s="1"/>
  <c r="J139" i="2"/>
  <c r="J154" i="2" s="1"/>
  <c r="J183" i="2"/>
  <c r="O183" i="2" s="1"/>
  <c r="J114" i="2"/>
  <c r="O114" i="2" s="1"/>
  <c r="D157" i="2"/>
  <c r="H138" i="2"/>
  <c r="C143" i="2"/>
  <c r="E143" i="2"/>
  <c r="E158" i="2" s="1"/>
  <c r="M181" i="2"/>
  <c r="M188" i="2" s="1"/>
  <c r="M307" i="2" s="1"/>
  <c r="M112" i="2"/>
  <c r="M119" i="2" s="1"/>
  <c r="M103" i="2"/>
  <c r="M104" i="2" s="1"/>
  <c r="M95" i="2" s="1"/>
  <c r="M110" i="2" s="1"/>
  <c r="M136" i="2" s="1"/>
  <c r="I138" i="2"/>
  <c r="C154" i="2"/>
  <c r="N106" i="1"/>
  <c r="G138" i="2"/>
  <c r="L141" i="2"/>
  <c r="L156" i="2" s="1"/>
  <c r="O30" i="14"/>
  <c r="G156" i="2"/>
  <c r="D28" i="3"/>
  <c r="L103" i="2"/>
  <c r="L95" i="2" s="1"/>
  <c r="L110" i="2" s="1"/>
  <c r="L136" i="2" s="1"/>
  <c r="L181" i="2"/>
  <c r="L188" i="2" s="1"/>
  <c r="L307" i="2" s="1"/>
  <c r="L112" i="2"/>
  <c r="L119" i="2" s="1"/>
  <c r="I154" i="2"/>
  <c r="E154" i="2"/>
  <c r="F142" i="2"/>
  <c r="F157" i="2" s="1"/>
  <c r="F139" i="2"/>
  <c r="F154" i="2" s="1"/>
  <c r="H142" i="2"/>
  <c r="H157" i="2" s="1"/>
  <c r="K142" i="2"/>
  <c r="K157" i="2" s="1"/>
  <c r="E112" i="2"/>
  <c r="E119" i="2" s="1"/>
  <c r="E181" i="2"/>
  <c r="E188" i="2" s="1"/>
  <c r="E307" i="2" s="1"/>
  <c r="E103" i="2"/>
  <c r="E104" i="2" s="1"/>
  <c r="J103" i="2"/>
  <c r="J104" i="2" s="1"/>
  <c r="J95" i="2" s="1"/>
  <c r="J110" i="2" s="1"/>
  <c r="J136" i="2" s="1"/>
  <c r="I103" i="2"/>
  <c r="I104" i="2" s="1"/>
  <c r="I95" i="2" s="1"/>
  <c r="I110" i="2" s="1"/>
  <c r="I136" i="2" s="1"/>
  <c r="F319" i="2"/>
  <c r="F321" i="2" s="1"/>
  <c r="H140" i="2"/>
  <c r="H155" i="2" s="1"/>
  <c r="L140" i="2"/>
  <c r="L155" i="2" s="1"/>
  <c r="J143" i="2"/>
  <c r="J158" i="2" s="1"/>
  <c r="F138" i="2"/>
  <c r="F153" i="2" s="1"/>
  <c r="N22" i="1" l="1"/>
  <c r="G122" i="16"/>
  <c r="I171" i="2"/>
  <c r="V42" i="16" s="1"/>
  <c r="E169" i="2"/>
  <c r="G210" i="2"/>
  <c r="G307" i="2"/>
  <c r="K210" i="2"/>
  <c r="K307" i="2"/>
  <c r="N211" i="2"/>
  <c r="N307" i="2"/>
  <c r="F212" i="2"/>
  <c r="F307" i="2"/>
  <c r="F336" i="2" s="1"/>
  <c r="E38" i="12" s="1"/>
  <c r="E27" i="1" s="1"/>
  <c r="N282" i="2"/>
  <c r="D212" i="2"/>
  <c r="D227" i="2" s="1"/>
  <c r="D242" i="2" s="1"/>
  <c r="D307" i="2"/>
  <c r="D336" i="2" s="1"/>
  <c r="C38" i="12" s="1"/>
  <c r="C27" i="1" s="1"/>
  <c r="E281" i="2"/>
  <c r="X101" i="2"/>
  <c r="D167" i="2"/>
  <c r="Q38" i="16" s="1"/>
  <c r="M170" i="2"/>
  <c r="Z41" i="16" s="1"/>
  <c r="M168" i="2"/>
  <c r="Z39" i="16" s="1"/>
  <c r="N169" i="2"/>
  <c r="AA40" i="16" s="1"/>
  <c r="O103" i="2"/>
  <c r="O104" i="2" s="1"/>
  <c r="G281" i="2"/>
  <c r="M172" i="2"/>
  <c r="Z43" i="16" s="1"/>
  <c r="G145" i="2"/>
  <c r="X99" i="2"/>
  <c r="AC99" i="2" s="1"/>
  <c r="I54" i="16" s="1"/>
  <c r="J119" i="2"/>
  <c r="O119" i="2" s="1"/>
  <c r="F29" i="16" s="1"/>
  <c r="C126" i="16" s="1"/>
  <c r="D145" i="2"/>
  <c r="H123" i="16"/>
  <c r="G123" i="16"/>
  <c r="W101" i="2"/>
  <c r="AB101" i="2" s="1"/>
  <c r="H56" i="16" s="1"/>
  <c r="W102" i="2"/>
  <c r="AB102" i="2" s="1"/>
  <c r="H57" i="16" s="1"/>
  <c r="V100" i="2"/>
  <c r="R42" i="16"/>
  <c r="R40" i="16"/>
  <c r="V98" i="2"/>
  <c r="W98" i="2"/>
  <c r="AB98" i="2" s="1"/>
  <c r="H53" i="16" s="1"/>
  <c r="V101" i="2"/>
  <c r="X100" i="2"/>
  <c r="H211" i="2"/>
  <c r="H226" i="2" s="1"/>
  <c r="H241" i="2" s="1"/>
  <c r="H210" i="2"/>
  <c r="E212" i="2"/>
  <c r="E227" i="2" s="1"/>
  <c r="E242" i="2" s="1"/>
  <c r="E210" i="2"/>
  <c r="F214" i="2"/>
  <c r="F210" i="2"/>
  <c r="D213" i="2"/>
  <c r="D228" i="2" s="1"/>
  <c r="D243" i="2" s="1"/>
  <c r="D210" i="2"/>
  <c r="H2" i="16"/>
  <c r="N12" i="1"/>
  <c r="P12" i="1" s="1"/>
  <c r="D211" i="2"/>
  <c r="D226" i="2" s="1"/>
  <c r="D241" i="2" s="1"/>
  <c r="F215" i="2"/>
  <c r="F230" i="2" s="1"/>
  <c r="F245" i="2" s="1"/>
  <c r="F213" i="2"/>
  <c r="F228" i="2" s="1"/>
  <c r="F243" i="2" s="1"/>
  <c r="F320" i="2"/>
  <c r="F29" i="3" s="1"/>
  <c r="E29" i="9" s="1"/>
  <c r="E45" i="9" s="1"/>
  <c r="E95" i="2"/>
  <c r="E110" i="2" s="1"/>
  <c r="E136" i="2" s="1"/>
  <c r="C104" i="2"/>
  <c r="O115" i="2"/>
  <c r="I188" i="2"/>
  <c r="D320" i="2"/>
  <c r="D29" i="3" s="1"/>
  <c r="C29" i="5" s="1"/>
  <c r="D214" i="2"/>
  <c r="D229" i="2" s="1"/>
  <c r="D244" i="2" s="1"/>
  <c r="D215" i="2"/>
  <c r="D230" i="2" s="1"/>
  <c r="D245" i="2" s="1"/>
  <c r="F211" i="2"/>
  <c r="F226" i="2" s="1"/>
  <c r="F241" i="2" s="1"/>
  <c r="F292" i="2" s="1"/>
  <c r="O142" i="2"/>
  <c r="O91" i="15"/>
  <c r="O118" i="15"/>
  <c r="C133" i="15"/>
  <c r="C180" i="15" s="1"/>
  <c r="O164" i="15"/>
  <c r="K124" i="15"/>
  <c r="L124" i="15"/>
  <c r="N124" i="15"/>
  <c r="L182" i="15"/>
  <c r="L149" i="15"/>
  <c r="H181" i="15"/>
  <c r="H148" i="15"/>
  <c r="M184" i="15"/>
  <c r="M151" i="15"/>
  <c r="D183" i="15"/>
  <c r="D150" i="15"/>
  <c r="F183" i="15"/>
  <c r="F150" i="15"/>
  <c r="D182" i="15"/>
  <c r="D149" i="15"/>
  <c r="F182" i="15"/>
  <c r="F149" i="15"/>
  <c r="M180" i="15"/>
  <c r="M147" i="15"/>
  <c r="I182" i="15"/>
  <c r="I149" i="15"/>
  <c r="G182" i="15"/>
  <c r="G149" i="15"/>
  <c r="I181" i="15"/>
  <c r="I148" i="15"/>
  <c r="O95" i="15"/>
  <c r="C121" i="15"/>
  <c r="I184" i="15"/>
  <c r="I151" i="15"/>
  <c r="G180" i="15"/>
  <c r="G147" i="15"/>
  <c r="H83" i="15"/>
  <c r="F180" i="15"/>
  <c r="F147" i="15"/>
  <c r="D184" i="15"/>
  <c r="D151" i="15"/>
  <c r="M181" i="15"/>
  <c r="M148" i="15"/>
  <c r="K183" i="15"/>
  <c r="K150" i="15"/>
  <c r="G183" i="15"/>
  <c r="G150" i="15"/>
  <c r="J184" i="15"/>
  <c r="J151" i="15"/>
  <c r="C179" i="15"/>
  <c r="C146" i="15"/>
  <c r="D124" i="15"/>
  <c r="F98" i="15"/>
  <c r="F117" i="15"/>
  <c r="F124" i="15" s="1"/>
  <c r="N183" i="15"/>
  <c r="N150" i="15"/>
  <c r="C83" i="15"/>
  <c r="O82" i="15"/>
  <c r="O119" i="15"/>
  <c r="J83" i="15"/>
  <c r="K180" i="15"/>
  <c r="K147" i="15"/>
  <c r="O96" i="15"/>
  <c r="C122" i="15"/>
  <c r="O122" i="15" s="1"/>
  <c r="N181" i="15"/>
  <c r="N148" i="15"/>
  <c r="E83" i="15"/>
  <c r="G98" i="15"/>
  <c r="G117" i="15"/>
  <c r="G124" i="15" s="1"/>
  <c r="L183" i="15"/>
  <c r="L150" i="15"/>
  <c r="H184" i="15"/>
  <c r="H151" i="15"/>
  <c r="O94" i="15"/>
  <c r="C120" i="15"/>
  <c r="O120" i="15" s="1"/>
  <c r="E183" i="15"/>
  <c r="E150" i="15"/>
  <c r="C181" i="15"/>
  <c r="O134" i="15"/>
  <c r="O148" i="15" s="1"/>
  <c r="C148" i="15"/>
  <c r="E181" i="15"/>
  <c r="E148" i="15"/>
  <c r="M121" i="15"/>
  <c r="M124" i="15" s="1"/>
  <c r="L181" i="15"/>
  <c r="L148" i="15"/>
  <c r="C167" i="15"/>
  <c r="J181" i="15"/>
  <c r="J148" i="15"/>
  <c r="K181" i="15"/>
  <c r="K148" i="15"/>
  <c r="E98" i="15"/>
  <c r="E117" i="15"/>
  <c r="E124" i="15" s="1"/>
  <c r="H182" i="15"/>
  <c r="H149" i="15"/>
  <c r="K182" i="15"/>
  <c r="K149" i="15"/>
  <c r="I179" i="15"/>
  <c r="I138" i="15"/>
  <c r="I152" i="15" s="1"/>
  <c r="I146" i="15"/>
  <c r="H180" i="15"/>
  <c r="H147" i="15"/>
  <c r="M179" i="15"/>
  <c r="M146" i="15"/>
  <c r="F83" i="15"/>
  <c r="J98" i="15"/>
  <c r="J117" i="15"/>
  <c r="J124" i="15" s="1"/>
  <c r="N180" i="15"/>
  <c r="N147" i="15"/>
  <c r="G181" i="15"/>
  <c r="G148" i="15"/>
  <c r="L132" i="15"/>
  <c r="I180" i="15"/>
  <c r="I147" i="15"/>
  <c r="K184" i="15"/>
  <c r="K151" i="15"/>
  <c r="D180" i="15"/>
  <c r="D147" i="15"/>
  <c r="I124" i="15"/>
  <c r="F181" i="15"/>
  <c r="F148" i="15"/>
  <c r="N182" i="15"/>
  <c r="N149" i="15"/>
  <c r="D179" i="15"/>
  <c r="D146" i="15"/>
  <c r="D138" i="15"/>
  <c r="D152" i="15" s="1"/>
  <c r="E180" i="15"/>
  <c r="E147" i="15"/>
  <c r="D181" i="15"/>
  <c r="D148" i="15"/>
  <c r="M182" i="15"/>
  <c r="M149" i="15"/>
  <c r="E184" i="15"/>
  <c r="E151" i="15"/>
  <c r="N184" i="15"/>
  <c r="N151" i="15"/>
  <c r="L184" i="15"/>
  <c r="L151" i="15"/>
  <c r="E182" i="15"/>
  <c r="E149" i="15"/>
  <c r="H183" i="15"/>
  <c r="H150" i="15"/>
  <c r="N179" i="15"/>
  <c r="N146" i="15"/>
  <c r="N138" i="15"/>
  <c r="N152" i="15" s="1"/>
  <c r="K179" i="15"/>
  <c r="K138" i="15"/>
  <c r="K152" i="15" s="1"/>
  <c r="K146" i="15"/>
  <c r="F184" i="15"/>
  <c r="F151" i="15"/>
  <c r="L180" i="15"/>
  <c r="L147" i="15"/>
  <c r="E167" i="15"/>
  <c r="O160" i="15"/>
  <c r="G83" i="15"/>
  <c r="J183" i="15"/>
  <c r="J150" i="15"/>
  <c r="J182" i="15"/>
  <c r="J149" i="15"/>
  <c r="H98" i="15"/>
  <c r="H117" i="15"/>
  <c r="H124" i="15" s="1"/>
  <c r="C98" i="15"/>
  <c r="I183" i="15"/>
  <c r="I150" i="15"/>
  <c r="G184" i="15"/>
  <c r="G151" i="15"/>
  <c r="J180" i="15"/>
  <c r="J147" i="15"/>
  <c r="L278" i="2"/>
  <c r="L280" i="2"/>
  <c r="E282" i="2"/>
  <c r="E172" i="2"/>
  <c r="L279" i="2"/>
  <c r="I169" i="2"/>
  <c r="V40" i="16" s="1"/>
  <c r="I279" i="2"/>
  <c r="K336" i="2"/>
  <c r="J38" i="12" s="1"/>
  <c r="K320" i="2"/>
  <c r="K29" i="3" s="1"/>
  <c r="K211" i="2"/>
  <c r="K213" i="2"/>
  <c r="K212" i="2"/>
  <c r="K215" i="2"/>
  <c r="K214" i="2"/>
  <c r="H169" i="2"/>
  <c r="U40" i="16" s="1"/>
  <c r="H279" i="2"/>
  <c r="K281" i="2"/>
  <c r="D282" i="2"/>
  <c r="D172" i="2"/>
  <c r="Q43" i="16" s="1"/>
  <c r="D280" i="2"/>
  <c r="D170" i="2"/>
  <c r="Q41" i="16" s="1"/>
  <c r="M279" i="2"/>
  <c r="M169" i="2"/>
  <c r="Z40" i="16" s="1"/>
  <c r="M281" i="2"/>
  <c r="M171" i="2"/>
  <c r="Z42" i="16" s="1"/>
  <c r="F277" i="2"/>
  <c r="F159" i="2"/>
  <c r="F173" i="2" s="1"/>
  <c r="F167" i="2"/>
  <c r="S38" i="16" s="1"/>
  <c r="F171" i="2"/>
  <c r="S42" i="16" s="1"/>
  <c r="F281" i="2"/>
  <c r="O157" i="2"/>
  <c r="O171" i="2" s="1"/>
  <c r="C171" i="2"/>
  <c r="C281" i="2"/>
  <c r="H145" i="2"/>
  <c r="O182" i="2"/>
  <c r="G153" i="2"/>
  <c r="C319" i="2"/>
  <c r="H282" i="2"/>
  <c r="H172" i="2"/>
  <c r="U43" i="16" s="1"/>
  <c r="G282" i="2"/>
  <c r="G172" i="2"/>
  <c r="T43" i="16" s="1"/>
  <c r="J282" i="2"/>
  <c r="J172" i="2"/>
  <c r="W43" i="16" s="1"/>
  <c r="H278" i="2"/>
  <c r="H168" i="2"/>
  <c r="U39" i="16" s="1"/>
  <c r="J188" i="2"/>
  <c r="E280" i="2"/>
  <c r="E170" i="2"/>
  <c r="J168" i="2"/>
  <c r="W39" i="16" s="1"/>
  <c r="J278" i="2"/>
  <c r="C279" i="2"/>
  <c r="C169" i="2"/>
  <c r="O181" i="2"/>
  <c r="C188" i="2"/>
  <c r="C307" i="2" s="1"/>
  <c r="C336" i="2" s="1"/>
  <c r="M320" i="2"/>
  <c r="M29" i="3" s="1"/>
  <c r="M336" i="2"/>
  <c r="L38" i="12" s="1"/>
  <c r="M215" i="2"/>
  <c r="M214" i="2"/>
  <c r="M212" i="2"/>
  <c r="M211" i="2"/>
  <c r="M210" i="2"/>
  <c r="M213" i="2"/>
  <c r="J140" i="2"/>
  <c r="J155" i="2" s="1"/>
  <c r="W99" i="2" s="1"/>
  <c r="AB99" i="2" s="1"/>
  <c r="H54" i="16" s="1"/>
  <c r="J281" i="2"/>
  <c r="J171" i="2"/>
  <c r="W42" i="16" s="1"/>
  <c r="C278" i="2"/>
  <c r="C168" i="2"/>
  <c r="G169" i="2"/>
  <c r="T40" i="16" s="1"/>
  <c r="G279" i="2"/>
  <c r="I282" i="2"/>
  <c r="I172" i="2"/>
  <c r="V43" i="16" s="1"/>
  <c r="F280" i="2"/>
  <c r="F170" i="2"/>
  <c r="S41" i="16" s="1"/>
  <c r="H28" i="3"/>
  <c r="E320" i="2"/>
  <c r="E29" i="3" s="1"/>
  <c r="E336" i="2"/>
  <c r="D38" i="12" s="1"/>
  <c r="E214" i="2"/>
  <c r="E213" i="2"/>
  <c r="E215" i="2"/>
  <c r="E211" i="2"/>
  <c r="E278" i="2"/>
  <c r="E168" i="2"/>
  <c r="N280" i="2"/>
  <c r="N170" i="2"/>
  <c r="AA41" i="16" s="1"/>
  <c r="O113" i="2"/>
  <c r="D171" i="2"/>
  <c r="Q42" i="16" s="1"/>
  <c r="D281" i="2"/>
  <c r="H336" i="2"/>
  <c r="G38" i="12" s="1"/>
  <c r="H320" i="2"/>
  <c r="H29" i="3" s="1"/>
  <c r="H213" i="2"/>
  <c r="H214" i="2"/>
  <c r="H212" i="2"/>
  <c r="H215" i="2"/>
  <c r="K167" i="2"/>
  <c r="X38" i="16" s="1"/>
  <c r="K277" i="2"/>
  <c r="F278" i="2"/>
  <c r="F168" i="2"/>
  <c r="S39" i="16" s="1"/>
  <c r="F28" i="3"/>
  <c r="N226" i="2"/>
  <c r="N241" i="2" s="1"/>
  <c r="F29" i="4"/>
  <c r="F45" i="4" s="1"/>
  <c r="O112" i="2"/>
  <c r="C138" i="2"/>
  <c r="C153" i="2" s="1"/>
  <c r="C28" i="11"/>
  <c r="C28" i="9"/>
  <c r="C28" i="12"/>
  <c r="C28" i="10"/>
  <c r="C28" i="13"/>
  <c r="C42" i="13" s="1"/>
  <c r="C28" i="5"/>
  <c r="C28" i="6"/>
  <c r="D30" i="3"/>
  <c r="D28" i="4"/>
  <c r="C28" i="8"/>
  <c r="C28" i="7"/>
  <c r="C13" i="1"/>
  <c r="J319" i="2"/>
  <c r="J321" i="2" s="1"/>
  <c r="G336" i="2"/>
  <c r="F38" i="12" s="1"/>
  <c r="G320" i="2"/>
  <c r="G29" i="3" s="1"/>
  <c r="G213" i="2"/>
  <c r="G215" i="2"/>
  <c r="G214" i="2"/>
  <c r="G211" i="2"/>
  <c r="G212" i="2"/>
  <c r="E138" i="2"/>
  <c r="E145" i="2" s="1"/>
  <c r="G280" i="2"/>
  <c r="G170" i="2"/>
  <c r="T41" i="16" s="1"/>
  <c r="K319" i="2"/>
  <c r="K321" i="2" s="1"/>
  <c r="N278" i="2"/>
  <c r="N168" i="2"/>
  <c r="AA39" i="16" s="1"/>
  <c r="K279" i="2"/>
  <c r="K169" i="2"/>
  <c r="X40" i="16" s="1"/>
  <c r="F145" i="2"/>
  <c r="L138" i="2"/>
  <c r="L145" i="2" s="1"/>
  <c r="H153" i="2"/>
  <c r="C280" i="2"/>
  <c r="C170" i="2"/>
  <c r="L282" i="2"/>
  <c r="N319" i="2"/>
  <c r="N321" i="2" s="1"/>
  <c r="D155" i="2"/>
  <c r="D159" i="2" s="1"/>
  <c r="D173" i="2" s="1"/>
  <c r="K139" i="2"/>
  <c r="K145" i="2" s="1"/>
  <c r="H281" i="2"/>
  <c r="H171" i="2"/>
  <c r="U42" i="16" s="1"/>
  <c r="F227" i="2"/>
  <c r="F242" i="2" s="1"/>
  <c r="O143" i="2"/>
  <c r="I319" i="2"/>
  <c r="I321" i="2" s="1"/>
  <c r="E319" i="2"/>
  <c r="E321" i="2" s="1"/>
  <c r="I153" i="2"/>
  <c r="I168" i="2"/>
  <c r="V39" i="16" s="1"/>
  <c r="I278" i="2"/>
  <c r="F282" i="2"/>
  <c r="F172" i="2"/>
  <c r="S43" i="16" s="1"/>
  <c r="J167" i="2"/>
  <c r="W38" i="16" s="1"/>
  <c r="J277" i="2"/>
  <c r="L320" i="2"/>
  <c r="L29" i="3" s="1"/>
  <c r="L336" i="2"/>
  <c r="K38" i="12" s="1"/>
  <c r="L210" i="2"/>
  <c r="L212" i="2"/>
  <c r="L214" i="2"/>
  <c r="L211" i="2"/>
  <c r="L213" i="2"/>
  <c r="L215" i="2"/>
  <c r="M319" i="2"/>
  <c r="M321" i="2" s="1"/>
  <c r="G28" i="3"/>
  <c r="C158" i="2"/>
  <c r="V102" i="2" s="1"/>
  <c r="N138" i="2"/>
  <c r="N145" i="2" s="1"/>
  <c r="I141" i="2"/>
  <c r="O141" i="2" s="1"/>
  <c r="D278" i="2"/>
  <c r="D168" i="2"/>
  <c r="Q39" i="16" s="1"/>
  <c r="H170" i="2"/>
  <c r="U41" i="16" s="1"/>
  <c r="H280" i="2"/>
  <c r="J280" i="2"/>
  <c r="J170" i="2"/>
  <c r="W41" i="16" s="1"/>
  <c r="N27" i="13"/>
  <c r="N27" i="12"/>
  <c r="N27" i="8"/>
  <c r="N27" i="9"/>
  <c r="N27" i="10"/>
  <c r="O27" i="4"/>
  <c r="N27" i="5"/>
  <c r="N27" i="6"/>
  <c r="N27" i="11"/>
  <c r="N27" i="7"/>
  <c r="K280" i="2"/>
  <c r="L319" i="2"/>
  <c r="M138" i="2"/>
  <c r="M145" i="2" s="1"/>
  <c r="F229" i="2"/>
  <c r="G278" i="2"/>
  <c r="G168" i="2"/>
  <c r="T39" i="16" s="1"/>
  <c r="N320" i="2"/>
  <c r="N29" i="3" s="1"/>
  <c r="N336" i="2"/>
  <c r="M38" i="12" s="1"/>
  <c r="N210" i="2"/>
  <c r="N213" i="2"/>
  <c r="N214" i="2"/>
  <c r="N212" i="2"/>
  <c r="N215" i="2"/>
  <c r="C29" i="12" l="1"/>
  <c r="C45" i="12" s="1"/>
  <c r="I212" i="2"/>
  <c r="I307" i="2"/>
  <c r="J210" i="2"/>
  <c r="J307" i="2"/>
  <c r="C321" i="2"/>
  <c r="C28" i="3"/>
  <c r="C30" i="3" s="1"/>
  <c r="O319" i="2"/>
  <c r="O321" i="2" s="1"/>
  <c r="E29" i="10"/>
  <c r="E45" i="10" s="1"/>
  <c r="E29" i="13"/>
  <c r="E45" i="13" s="1"/>
  <c r="E29" i="12"/>
  <c r="E45" i="12" s="1"/>
  <c r="C42" i="12"/>
  <c r="E29" i="11"/>
  <c r="F217" i="2"/>
  <c r="E29" i="7"/>
  <c r="E45" i="7" s="1"/>
  <c r="E14" i="1"/>
  <c r="Y101" i="2"/>
  <c r="AD101" i="2" s="1"/>
  <c r="J56" i="16" s="1"/>
  <c r="AA101" i="2"/>
  <c r="G56" i="16" s="1"/>
  <c r="K217" i="2"/>
  <c r="O39" i="16"/>
  <c r="AA98" i="2"/>
  <c r="G53" i="16" s="1"/>
  <c r="Y102" i="2"/>
  <c r="AD102" i="2" s="1"/>
  <c r="J57" i="16" s="1"/>
  <c r="AA102" i="2"/>
  <c r="G57" i="16" s="1"/>
  <c r="O42" i="16"/>
  <c r="E42" i="16"/>
  <c r="AB42" i="16"/>
  <c r="F42" i="16"/>
  <c r="L217" i="2"/>
  <c r="Q44" i="16"/>
  <c r="O40" i="16"/>
  <c r="R43" i="16"/>
  <c r="S44" i="16"/>
  <c r="G42" i="16"/>
  <c r="O41" i="16"/>
  <c r="R39" i="16"/>
  <c r="V99" i="2"/>
  <c r="R41" i="16"/>
  <c r="AA100" i="2"/>
  <c r="G55" i="16" s="1"/>
  <c r="I215" i="2"/>
  <c r="I230" i="2" s="1"/>
  <c r="I245" i="2" s="1"/>
  <c r="I213" i="2"/>
  <c r="I228" i="2" s="1"/>
  <c r="I243" i="2" s="1"/>
  <c r="M217" i="2"/>
  <c r="G217" i="2"/>
  <c r="C29" i="10"/>
  <c r="C45" i="10" s="1"/>
  <c r="D217" i="2"/>
  <c r="I211" i="2"/>
  <c r="I226" i="2" s="1"/>
  <c r="I241" i="2" s="1"/>
  <c r="I292" i="2" s="1"/>
  <c r="I210" i="2"/>
  <c r="I225" i="2" s="1"/>
  <c r="I240" i="2" s="1"/>
  <c r="N217" i="2"/>
  <c r="E217" i="2"/>
  <c r="H217" i="2"/>
  <c r="C212" i="2"/>
  <c r="C211" i="2"/>
  <c r="C210" i="2"/>
  <c r="C215" i="2"/>
  <c r="C214" i="2"/>
  <c r="C229" i="2" s="1"/>
  <c r="C213" i="2"/>
  <c r="E29" i="5"/>
  <c r="E29" i="8"/>
  <c r="E29" i="6"/>
  <c r="C29" i="13"/>
  <c r="C45" i="13" s="1"/>
  <c r="C95" i="2"/>
  <c r="C110" i="2" s="1"/>
  <c r="C136" i="2" s="1"/>
  <c r="I214" i="2"/>
  <c r="I229" i="2" s="1"/>
  <c r="I244" i="2" s="1"/>
  <c r="D257" i="2"/>
  <c r="D294" i="2"/>
  <c r="I320" i="2"/>
  <c r="I29" i="3" s="1"/>
  <c r="I29" i="4" s="1"/>
  <c r="I45" i="4" s="1"/>
  <c r="C29" i="11"/>
  <c r="C29" i="7"/>
  <c r="C45" i="7" s="1"/>
  <c r="C29" i="9"/>
  <c r="C45" i="9" s="1"/>
  <c r="C14" i="1"/>
  <c r="F255" i="2"/>
  <c r="D225" i="2"/>
  <c r="D232" i="2" s="1"/>
  <c r="D29" i="4"/>
  <c r="D45" i="4" s="1"/>
  <c r="I336" i="2"/>
  <c r="H38" i="12" s="1"/>
  <c r="H27" i="1" s="1"/>
  <c r="C29" i="6"/>
  <c r="C29" i="8"/>
  <c r="F225" i="2"/>
  <c r="F240" i="2" s="1"/>
  <c r="L153" i="2"/>
  <c r="X97" i="2" s="1"/>
  <c r="AC97" i="2" s="1"/>
  <c r="I52" i="16" s="1"/>
  <c r="O281" i="2"/>
  <c r="J145" i="2"/>
  <c r="O140" i="2"/>
  <c r="M153" i="2"/>
  <c r="M277" i="2" s="1"/>
  <c r="M287" i="2" s="1"/>
  <c r="N153" i="2"/>
  <c r="N277" i="2" s="1"/>
  <c r="N287" i="2" s="1"/>
  <c r="E132" i="15"/>
  <c r="M136" i="15"/>
  <c r="M138" i="15" s="1"/>
  <c r="M152" i="15" s="1"/>
  <c r="J132" i="15"/>
  <c r="J138" i="15" s="1"/>
  <c r="J152" i="15" s="1"/>
  <c r="C147" i="15"/>
  <c r="O133" i="15"/>
  <c r="O147" i="15" s="1"/>
  <c r="G132" i="15"/>
  <c r="G138" i="15" s="1"/>
  <c r="G152" i="15" s="1"/>
  <c r="C135" i="15"/>
  <c r="C182" i="15" s="1"/>
  <c r="O182" i="15" s="1"/>
  <c r="C124" i="15"/>
  <c r="O124" i="15" s="1"/>
  <c r="O121" i="15"/>
  <c r="D189" i="15"/>
  <c r="K189" i="15"/>
  <c r="C137" i="15"/>
  <c r="C184" i="15" s="1"/>
  <c r="O184" i="15" s="1"/>
  <c r="H132" i="15"/>
  <c r="O83" i="15"/>
  <c r="O115" i="15" s="1"/>
  <c r="N189" i="15"/>
  <c r="O181" i="15"/>
  <c r="M183" i="15"/>
  <c r="M189" i="15" s="1"/>
  <c r="L179" i="15"/>
  <c r="L189" i="15" s="1"/>
  <c r="L138" i="15"/>
  <c r="L152" i="15" s="1"/>
  <c r="L146" i="15"/>
  <c r="O117" i="15"/>
  <c r="O180" i="15"/>
  <c r="E179" i="15"/>
  <c r="E189" i="15" s="1"/>
  <c r="E146" i="15"/>
  <c r="E138" i="15"/>
  <c r="E152" i="15" s="1"/>
  <c r="O167" i="15"/>
  <c r="F132" i="15"/>
  <c r="O98" i="15"/>
  <c r="I189" i="15"/>
  <c r="C136" i="15"/>
  <c r="E293" i="2"/>
  <c r="E256" i="2"/>
  <c r="F293" i="2"/>
  <c r="F256" i="2"/>
  <c r="J279" i="2"/>
  <c r="J287" i="2" s="1"/>
  <c r="J169" i="2"/>
  <c r="W40" i="16" s="1"/>
  <c r="J159" i="2"/>
  <c r="J173" i="2" s="1"/>
  <c r="O155" i="2"/>
  <c r="O169" i="2" s="1"/>
  <c r="D258" i="2"/>
  <c r="D295" i="2"/>
  <c r="F296" i="2"/>
  <c r="F259" i="2"/>
  <c r="C277" i="2"/>
  <c r="C159" i="2"/>
  <c r="C167" i="2"/>
  <c r="D296" i="2"/>
  <c r="D259" i="2"/>
  <c r="F294" i="2"/>
  <c r="F257" i="2"/>
  <c r="N255" i="2"/>
  <c r="N292" i="2"/>
  <c r="H292" i="2"/>
  <c r="H255" i="2"/>
  <c r="M228" i="2"/>
  <c r="M243" i="2" s="1"/>
  <c r="G27" i="1"/>
  <c r="E228" i="2"/>
  <c r="E243" i="2" s="1"/>
  <c r="M226" i="2"/>
  <c r="M241" i="2" s="1"/>
  <c r="L230" i="2"/>
  <c r="L245" i="2" s="1"/>
  <c r="G227" i="2"/>
  <c r="G242" i="2" s="1"/>
  <c r="E229" i="2"/>
  <c r="E244" i="2" s="1"/>
  <c r="M227" i="2"/>
  <c r="M242" i="2" s="1"/>
  <c r="F244" i="2"/>
  <c r="L228" i="2"/>
  <c r="L243" i="2" s="1"/>
  <c r="D27" i="1"/>
  <c r="M229" i="2"/>
  <c r="M244" i="2" s="1"/>
  <c r="K229" i="2"/>
  <c r="K244" i="2" s="1"/>
  <c r="E230" i="2"/>
  <c r="E245" i="2" s="1"/>
  <c r="M28" i="3"/>
  <c r="E153" i="2"/>
  <c r="D255" i="2"/>
  <c r="D292" i="2"/>
  <c r="G226" i="2"/>
  <c r="G241" i="2" s="1"/>
  <c r="N227" i="2"/>
  <c r="N242" i="2" s="1"/>
  <c r="L226" i="2"/>
  <c r="L241" i="2" s="1"/>
  <c r="G229" i="2"/>
  <c r="G244" i="2" s="1"/>
  <c r="C30" i="13"/>
  <c r="C30" i="12"/>
  <c r="C30" i="10"/>
  <c r="C30" i="8"/>
  <c r="C30" i="11"/>
  <c r="C30" i="6"/>
  <c r="C30" i="5"/>
  <c r="C30" i="9"/>
  <c r="D30" i="4"/>
  <c r="C15" i="1"/>
  <c r="C30" i="7"/>
  <c r="D29" i="13"/>
  <c r="D29" i="12"/>
  <c r="D45" i="12" s="1"/>
  <c r="D29" i="10"/>
  <c r="D45" i="10" s="1"/>
  <c r="D29" i="11"/>
  <c r="D29" i="8"/>
  <c r="D29" i="6"/>
  <c r="D29" i="9"/>
  <c r="D45" i="9" s="1"/>
  <c r="D29" i="5"/>
  <c r="D29" i="7"/>
  <c r="D45" i="7" s="1"/>
  <c r="E29" i="4"/>
  <c r="E45" i="4" s="1"/>
  <c r="D14" i="1"/>
  <c r="M230" i="2"/>
  <c r="M245" i="2" s="1"/>
  <c r="K230" i="2"/>
  <c r="K245" i="2" s="1"/>
  <c r="M225" i="2"/>
  <c r="L27" i="1"/>
  <c r="O136" i="2"/>
  <c r="K227" i="2"/>
  <c r="K242" i="2" s="1"/>
  <c r="G228" i="2"/>
  <c r="G243" i="2" s="1"/>
  <c r="H230" i="2"/>
  <c r="H245" i="2" s="1"/>
  <c r="L29" i="13"/>
  <c r="L29" i="12"/>
  <c r="L45" i="12" s="1"/>
  <c r="L29" i="8"/>
  <c r="L29" i="9"/>
  <c r="L45" i="9" s="1"/>
  <c r="L29" i="10"/>
  <c r="L45" i="10" s="1"/>
  <c r="M29" i="4"/>
  <c r="M45" i="4" s="1"/>
  <c r="L29" i="5"/>
  <c r="L29" i="6"/>
  <c r="L29" i="7"/>
  <c r="L45" i="7" s="1"/>
  <c r="L29" i="11"/>
  <c r="L14" i="1"/>
  <c r="K225" i="2"/>
  <c r="D256" i="2"/>
  <c r="D293" i="2"/>
  <c r="E225" i="2"/>
  <c r="N229" i="2"/>
  <c r="N244" i="2" s="1"/>
  <c r="I167" i="2"/>
  <c r="V38" i="16" s="1"/>
  <c r="I277" i="2"/>
  <c r="G230" i="2"/>
  <c r="G245" i="2" s="1"/>
  <c r="N228" i="2"/>
  <c r="N243" i="2" s="1"/>
  <c r="O158" i="2"/>
  <c r="O172" i="2" s="1"/>
  <c r="G43" i="16" s="1"/>
  <c r="C282" i="2"/>
  <c r="O282" i="2" s="1"/>
  <c r="C172" i="2"/>
  <c r="L225" i="2"/>
  <c r="L240" i="2" s="1"/>
  <c r="K28" i="3"/>
  <c r="G225" i="2"/>
  <c r="G240" i="2" s="1"/>
  <c r="I145" i="2"/>
  <c r="H227" i="2"/>
  <c r="H242" i="2" s="1"/>
  <c r="K228" i="2"/>
  <c r="K243" i="2" s="1"/>
  <c r="I227" i="2"/>
  <c r="I242" i="2" s="1"/>
  <c r="L28" i="3"/>
  <c r="F29" i="10"/>
  <c r="F45" i="10" s="1"/>
  <c r="F29" i="11"/>
  <c r="F29" i="13"/>
  <c r="F29" i="8"/>
  <c r="F29" i="9"/>
  <c r="F45" i="9" s="1"/>
  <c r="F29" i="12"/>
  <c r="F45" i="12" s="1"/>
  <c r="F29" i="7"/>
  <c r="F45" i="7" s="1"/>
  <c r="F29" i="6"/>
  <c r="F29" i="5"/>
  <c r="G29" i="4"/>
  <c r="G45" i="4" s="1"/>
  <c r="F14" i="1"/>
  <c r="H229" i="2"/>
  <c r="H244" i="2" s="1"/>
  <c r="G28" i="10"/>
  <c r="G28" i="12"/>
  <c r="G42" i="12" s="1"/>
  <c r="G28" i="8"/>
  <c r="G28" i="13"/>
  <c r="G42" i="13" s="1"/>
  <c r="G28" i="9"/>
  <c r="G28" i="7"/>
  <c r="G28" i="6"/>
  <c r="H30" i="3"/>
  <c r="G28" i="5"/>
  <c r="G28" i="11"/>
  <c r="H28" i="4"/>
  <c r="G13" i="1"/>
  <c r="C46" i="12"/>
  <c r="J336" i="2"/>
  <c r="I38" i="12" s="1"/>
  <c r="J320" i="2"/>
  <c r="J29" i="3" s="1"/>
  <c r="J211" i="2"/>
  <c r="J213" i="2"/>
  <c r="J212" i="2"/>
  <c r="J215" i="2"/>
  <c r="J214" i="2"/>
  <c r="G167" i="2"/>
  <c r="T38" i="16" s="1"/>
  <c r="G277" i="2"/>
  <c r="G287" i="2" s="1"/>
  <c r="G159" i="2"/>
  <c r="F287" i="2"/>
  <c r="K226" i="2"/>
  <c r="K241" i="2" s="1"/>
  <c r="O139" i="2"/>
  <c r="G29" i="11"/>
  <c r="G29" i="13"/>
  <c r="G29" i="8"/>
  <c r="G29" i="12"/>
  <c r="G45" i="12" s="1"/>
  <c r="G29" i="10"/>
  <c r="G45" i="10" s="1"/>
  <c r="G29" i="7"/>
  <c r="G45" i="7" s="1"/>
  <c r="G29" i="9"/>
  <c r="G45" i="9" s="1"/>
  <c r="G29" i="6"/>
  <c r="G29" i="5"/>
  <c r="H29" i="4"/>
  <c r="H45" i="4" s="1"/>
  <c r="G14" i="1"/>
  <c r="N28" i="3"/>
  <c r="L229" i="2"/>
  <c r="L244" i="2" s="1"/>
  <c r="L227" i="2"/>
  <c r="L242" i="2" s="1"/>
  <c r="K154" i="2"/>
  <c r="X98" i="2" s="1"/>
  <c r="AC98" i="2" s="1"/>
  <c r="I53" i="16" s="1"/>
  <c r="N225" i="2"/>
  <c r="K27" i="1"/>
  <c r="M29" i="11"/>
  <c r="M29" i="13"/>
  <c r="M29" i="12"/>
  <c r="M45" i="12" s="1"/>
  <c r="M29" i="9"/>
  <c r="M45" i="9" s="1"/>
  <c r="M29" i="10"/>
  <c r="M45" i="10" s="1"/>
  <c r="M29" i="8"/>
  <c r="N29" i="4"/>
  <c r="N45" i="4" s="1"/>
  <c r="M29" i="5"/>
  <c r="M29" i="6"/>
  <c r="M29" i="7"/>
  <c r="M45" i="7" s="1"/>
  <c r="M14" i="1"/>
  <c r="K29" i="11"/>
  <c r="K29" i="8"/>
  <c r="K29" i="9"/>
  <c r="K45" i="9" s="1"/>
  <c r="K29" i="12"/>
  <c r="K45" i="12" s="1"/>
  <c r="K29" i="7"/>
  <c r="K45" i="7" s="1"/>
  <c r="L29" i="4"/>
  <c r="L45" i="4" s="1"/>
  <c r="K29" i="5"/>
  <c r="K29" i="10"/>
  <c r="K45" i="10" s="1"/>
  <c r="K29" i="13"/>
  <c r="K29" i="6"/>
  <c r="K14" i="1"/>
  <c r="H167" i="2"/>
  <c r="U38" i="16" s="1"/>
  <c r="H159" i="2"/>
  <c r="H173" i="2" s="1"/>
  <c r="H277" i="2"/>
  <c r="H287" i="2" s="1"/>
  <c r="F27" i="1"/>
  <c r="E28" i="13"/>
  <c r="E42" i="13" s="1"/>
  <c r="E28" i="12"/>
  <c r="E42" i="12" s="1"/>
  <c r="E28" i="10"/>
  <c r="E28" i="8"/>
  <c r="E28" i="11"/>
  <c r="E28" i="6"/>
  <c r="F30" i="3"/>
  <c r="E28" i="9"/>
  <c r="E28" i="5"/>
  <c r="F28" i="4"/>
  <c r="E28" i="7"/>
  <c r="E13" i="1"/>
  <c r="H228" i="2"/>
  <c r="H243" i="2" s="1"/>
  <c r="J29" i="11"/>
  <c r="J29" i="13"/>
  <c r="J29" i="12"/>
  <c r="J45" i="12" s="1"/>
  <c r="J29" i="8"/>
  <c r="J29" i="9"/>
  <c r="J45" i="9" s="1"/>
  <c r="J29" i="10"/>
  <c r="J45" i="10" s="1"/>
  <c r="J29" i="7"/>
  <c r="J45" i="7" s="1"/>
  <c r="K29" i="4"/>
  <c r="K45" i="4" s="1"/>
  <c r="J29" i="5"/>
  <c r="J29" i="6"/>
  <c r="J14" i="1"/>
  <c r="O138" i="2"/>
  <c r="C145" i="2"/>
  <c r="I156" i="2"/>
  <c r="W100" i="2" s="1"/>
  <c r="AB100" i="2" s="1"/>
  <c r="H55" i="16" s="1"/>
  <c r="N230" i="2"/>
  <c r="N245" i="2" s="1"/>
  <c r="M27" i="1"/>
  <c r="F28" i="13"/>
  <c r="F42" i="13" s="1"/>
  <c r="F28" i="12"/>
  <c r="F42" i="12" s="1"/>
  <c r="F28" i="10"/>
  <c r="F28" i="11"/>
  <c r="F28" i="9"/>
  <c r="F28" i="6"/>
  <c r="G30" i="3"/>
  <c r="F28" i="8"/>
  <c r="F28" i="5"/>
  <c r="F28" i="7"/>
  <c r="G28" i="4"/>
  <c r="F13" i="1"/>
  <c r="E28" i="3"/>
  <c r="I28" i="3"/>
  <c r="D279" i="2"/>
  <c r="D169" i="2"/>
  <c r="Q40" i="16" s="1"/>
  <c r="J28" i="3"/>
  <c r="H225" i="2"/>
  <c r="H240" i="2" s="1"/>
  <c r="E226" i="2"/>
  <c r="E241" i="2" s="1"/>
  <c r="C320" i="2"/>
  <c r="C29" i="3" s="1"/>
  <c r="O188" i="2"/>
  <c r="O320" i="2" s="1"/>
  <c r="J27" i="1"/>
  <c r="F303" i="2" l="1"/>
  <c r="E46" i="13"/>
  <c r="D303" i="2"/>
  <c r="E46" i="12"/>
  <c r="V97" i="2"/>
  <c r="I255" i="2"/>
  <c r="W97" i="2"/>
  <c r="AB97" i="2" s="1"/>
  <c r="H52" i="16" s="1"/>
  <c r="I42" i="16"/>
  <c r="J42" i="16"/>
  <c r="Y97" i="2"/>
  <c r="AA97" i="2"/>
  <c r="G52" i="16" s="1"/>
  <c r="U44" i="16"/>
  <c r="Y100" i="2"/>
  <c r="AD100" i="2" s="1"/>
  <c r="J55" i="16" s="1"/>
  <c r="E43" i="16"/>
  <c r="O43" i="16"/>
  <c r="AB40" i="16"/>
  <c r="F40" i="16"/>
  <c r="W44" i="16"/>
  <c r="E40" i="16"/>
  <c r="N306" i="2"/>
  <c r="N305" i="2"/>
  <c r="N332" i="2" s="1"/>
  <c r="M38" i="8" s="1"/>
  <c r="J305" i="2"/>
  <c r="J332" i="2" s="1"/>
  <c r="I38" i="8" s="1"/>
  <c r="J306" i="2"/>
  <c r="J335" i="2" s="1"/>
  <c r="I38" i="11" s="1"/>
  <c r="M305" i="2"/>
  <c r="M332" i="2" s="1"/>
  <c r="L38" i="8" s="1"/>
  <c r="M306" i="2"/>
  <c r="M335" i="2" s="1"/>
  <c r="L38" i="11" s="1"/>
  <c r="Y99" i="2"/>
  <c r="AD99" i="2" s="1"/>
  <c r="J54" i="16" s="1"/>
  <c r="AA99" i="2"/>
  <c r="G54" i="16" s="1"/>
  <c r="Y98" i="2"/>
  <c r="AD98" i="2" s="1"/>
  <c r="J53" i="16" s="1"/>
  <c r="F306" i="2"/>
  <c r="F335" i="2" s="1"/>
  <c r="E38" i="11" s="1"/>
  <c r="F305" i="2"/>
  <c r="F332" i="2" s="1"/>
  <c r="E38" i="8" s="1"/>
  <c r="G173" i="2"/>
  <c r="H174" i="2" s="1"/>
  <c r="O38" i="16"/>
  <c r="G40" i="16"/>
  <c r="G306" i="2"/>
  <c r="G335" i="2" s="1"/>
  <c r="F38" i="11" s="1"/>
  <c r="G305" i="2"/>
  <c r="G332" i="2" s="1"/>
  <c r="F38" i="8" s="1"/>
  <c r="AB43" i="16"/>
  <c r="F43" i="16"/>
  <c r="J43" i="16" s="1"/>
  <c r="H306" i="2"/>
  <c r="H335" i="2" s="1"/>
  <c r="G38" i="11" s="1"/>
  <c r="H305" i="2"/>
  <c r="H332" i="2" s="1"/>
  <c r="G38" i="8" s="1"/>
  <c r="C46" i="13"/>
  <c r="O215" i="2"/>
  <c r="D240" i="2"/>
  <c r="D254" i="2" s="1"/>
  <c r="D261" i="2" s="1"/>
  <c r="J217" i="2"/>
  <c r="C230" i="2"/>
  <c r="O211" i="2"/>
  <c r="O212" i="2"/>
  <c r="O307" i="2"/>
  <c r="O336" i="2" s="1"/>
  <c r="I217" i="2"/>
  <c r="O213" i="2"/>
  <c r="O214" i="2"/>
  <c r="O210" i="2"/>
  <c r="C225" i="2"/>
  <c r="C240" i="2" s="1"/>
  <c r="C291" i="2" s="1"/>
  <c r="C334" i="2" s="1"/>
  <c r="C217" i="2"/>
  <c r="C228" i="2"/>
  <c r="H29" i="10"/>
  <c r="H45" i="10" s="1"/>
  <c r="J46" i="12"/>
  <c r="H29" i="7"/>
  <c r="H45" i="7" s="1"/>
  <c r="N167" i="2"/>
  <c r="AA38" i="16" s="1"/>
  <c r="H29" i="9"/>
  <c r="H45" i="9" s="1"/>
  <c r="H29" i="8"/>
  <c r="H29" i="13"/>
  <c r="H45" i="13" s="1"/>
  <c r="H29" i="11"/>
  <c r="H14" i="1"/>
  <c r="H29" i="5"/>
  <c r="H29" i="6"/>
  <c r="H29" i="12"/>
  <c r="H45" i="12" s="1"/>
  <c r="F328" i="2"/>
  <c r="F38" i="4" s="1"/>
  <c r="N159" i="2"/>
  <c r="N173" i="2" s="1"/>
  <c r="F232" i="2"/>
  <c r="O279" i="2"/>
  <c r="F247" i="2"/>
  <c r="L277" i="2"/>
  <c r="L287" i="2" s="1"/>
  <c r="F46" i="12"/>
  <c r="D46" i="12"/>
  <c r="E240" i="2"/>
  <c r="E254" i="2" s="1"/>
  <c r="E232" i="2"/>
  <c r="D333" i="2"/>
  <c r="C38" i="9" s="1"/>
  <c r="C42" i="9" s="1"/>
  <c r="F254" i="2"/>
  <c r="F291" i="2"/>
  <c r="L159" i="2"/>
  <c r="F329" i="2"/>
  <c r="E38" i="5" s="1"/>
  <c r="M167" i="2"/>
  <c r="Z38" i="16" s="1"/>
  <c r="M159" i="2"/>
  <c r="M173" i="2" s="1"/>
  <c r="O153" i="2"/>
  <c r="O167" i="2" s="1"/>
  <c r="K232" i="2"/>
  <c r="D287" i="2"/>
  <c r="O145" i="2"/>
  <c r="F30" i="16" s="1"/>
  <c r="C149" i="15"/>
  <c r="J179" i="15"/>
  <c r="J189" i="15" s="1"/>
  <c r="O135" i="15"/>
  <c r="O149" i="15" s="1"/>
  <c r="M150" i="15"/>
  <c r="G146" i="15"/>
  <c r="G179" i="15"/>
  <c r="G189" i="15" s="1"/>
  <c r="J146" i="15"/>
  <c r="O137" i="15"/>
  <c r="O151" i="15" s="1"/>
  <c r="C151" i="15"/>
  <c r="C183" i="15"/>
  <c r="O183" i="15" s="1"/>
  <c r="C150" i="15"/>
  <c r="O136" i="15"/>
  <c r="O150" i="15" s="1"/>
  <c r="F179" i="15"/>
  <c r="F189" i="15" s="1"/>
  <c r="F146" i="15"/>
  <c r="F138" i="15"/>
  <c r="F152" i="15" s="1"/>
  <c r="O132" i="15"/>
  <c r="O146" i="15" s="1"/>
  <c r="H179" i="15"/>
  <c r="H189" i="15" s="1"/>
  <c r="H146" i="15"/>
  <c r="H138" i="15"/>
  <c r="H152" i="15" s="1"/>
  <c r="C138" i="15"/>
  <c r="G296" i="2"/>
  <c r="G259" i="2"/>
  <c r="M295" i="2"/>
  <c r="M258" i="2"/>
  <c r="N257" i="2"/>
  <c r="N294" i="2"/>
  <c r="M255" i="2"/>
  <c r="M292" i="2"/>
  <c r="J327" i="2"/>
  <c r="G293" i="2"/>
  <c r="G256" i="2"/>
  <c r="G295" i="2"/>
  <c r="G258" i="2"/>
  <c r="E292" i="2"/>
  <c r="E255" i="2"/>
  <c r="H291" i="2"/>
  <c r="H254" i="2"/>
  <c r="H247" i="2"/>
  <c r="L293" i="2"/>
  <c r="M296" i="2"/>
  <c r="M259" i="2"/>
  <c r="L294" i="2"/>
  <c r="H293" i="2"/>
  <c r="H256" i="2"/>
  <c r="M293" i="2"/>
  <c r="M256" i="2"/>
  <c r="K258" i="2"/>
  <c r="K295" i="2"/>
  <c r="I259" i="2"/>
  <c r="I296" i="2"/>
  <c r="N258" i="2"/>
  <c r="N295" i="2"/>
  <c r="N296" i="2"/>
  <c r="N259" i="2"/>
  <c r="K256" i="2"/>
  <c r="K293" i="2"/>
  <c r="E295" i="2"/>
  <c r="E258" i="2"/>
  <c r="M257" i="2"/>
  <c r="M294" i="2"/>
  <c r="I258" i="2"/>
  <c r="I295" i="2"/>
  <c r="G294" i="2"/>
  <c r="G257" i="2"/>
  <c r="I294" i="2"/>
  <c r="I257" i="2"/>
  <c r="G292" i="2"/>
  <c r="G303" i="2" s="1"/>
  <c r="G255" i="2"/>
  <c r="L296" i="2"/>
  <c r="H258" i="2"/>
  <c r="H295" i="2"/>
  <c r="K296" i="2"/>
  <c r="K259" i="2"/>
  <c r="I293" i="2"/>
  <c r="I256" i="2"/>
  <c r="L295" i="2"/>
  <c r="K294" i="2"/>
  <c r="K257" i="2"/>
  <c r="H294" i="2"/>
  <c r="H257" i="2"/>
  <c r="N256" i="2"/>
  <c r="N293" i="2"/>
  <c r="K240" i="2"/>
  <c r="G327" i="2"/>
  <c r="K28" i="11"/>
  <c r="K28" i="13"/>
  <c r="K42" i="13" s="1"/>
  <c r="K28" i="12"/>
  <c r="K42" i="12" s="1"/>
  <c r="K28" i="8"/>
  <c r="K28" i="9"/>
  <c r="K28" i="10"/>
  <c r="K28" i="7"/>
  <c r="L28" i="4"/>
  <c r="K28" i="5"/>
  <c r="K28" i="6"/>
  <c r="K13" i="1"/>
  <c r="L45" i="13"/>
  <c r="L46" i="13"/>
  <c r="L46" i="12"/>
  <c r="J229" i="2"/>
  <c r="J244" i="2" s="1"/>
  <c r="G232" i="2"/>
  <c r="M327" i="2"/>
  <c r="M322" i="2" s="1"/>
  <c r="K292" i="2"/>
  <c r="K255" i="2"/>
  <c r="D45" i="13"/>
  <c r="D46" i="13"/>
  <c r="M232" i="2"/>
  <c r="G30" i="11"/>
  <c r="G30" i="12"/>
  <c r="G30" i="8"/>
  <c r="G30" i="13"/>
  <c r="G30" i="9"/>
  <c r="G30" i="7"/>
  <c r="H30" i="4"/>
  <c r="G30" i="6"/>
  <c r="G30" i="5"/>
  <c r="G30" i="10"/>
  <c r="G15" i="1"/>
  <c r="F45" i="13"/>
  <c r="F46" i="13"/>
  <c r="K278" i="2"/>
  <c r="K168" i="2"/>
  <c r="O154" i="2"/>
  <c r="O168" i="2" s="1"/>
  <c r="K159" i="2"/>
  <c r="G291" i="2"/>
  <c r="G247" i="2"/>
  <c r="G254" i="2"/>
  <c r="C227" i="2"/>
  <c r="J227" i="2"/>
  <c r="J242" i="2" s="1"/>
  <c r="E30" i="10"/>
  <c r="E30" i="12"/>
  <c r="E30" i="8"/>
  <c r="E30" i="13"/>
  <c r="E30" i="9"/>
  <c r="E30" i="7"/>
  <c r="E30" i="6"/>
  <c r="F30" i="4"/>
  <c r="E30" i="5"/>
  <c r="E30" i="11"/>
  <c r="E15" i="1"/>
  <c r="J225" i="2"/>
  <c r="J240" i="2" s="1"/>
  <c r="I27" i="1"/>
  <c r="L291" i="2"/>
  <c r="L247" i="2"/>
  <c r="D328" i="2"/>
  <c r="D38" i="4" s="1"/>
  <c r="E277" i="2"/>
  <c r="E287" i="2" s="1"/>
  <c r="E167" i="2"/>
  <c r="E159" i="2"/>
  <c r="E173" i="2" s="1"/>
  <c r="G46" i="12"/>
  <c r="I28" i="11"/>
  <c r="I28" i="12"/>
  <c r="I42" i="12" s="1"/>
  <c r="I28" i="8"/>
  <c r="I28" i="13"/>
  <c r="I42" i="13" s="1"/>
  <c r="I28" i="9"/>
  <c r="I28" i="10"/>
  <c r="I28" i="7"/>
  <c r="J28" i="4"/>
  <c r="I28" i="6"/>
  <c r="I28" i="5"/>
  <c r="J30" i="3"/>
  <c r="I13" i="1"/>
  <c r="L28" i="11"/>
  <c r="L28" i="8"/>
  <c r="L28" i="9"/>
  <c r="L28" i="13"/>
  <c r="L42" i="13" s="1"/>
  <c r="L28" i="12"/>
  <c r="L42" i="12" s="1"/>
  <c r="L28" i="7"/>
  <c r="L28" i="10"/>
  <c r="M28" i="4"/>
  <c r="L28" i="5"/>
  <c r="L28" i="6"/>
  <c r="M30" i="3"/>
  <c r="L13" i="1"/>
  <c r="J228" i="2"/>
  <c r="J243" i="2" s="1"/>
  <c r="C287" i="2"/>
  <c r="B28" i="11"/>
  <c r="B28" i="13"/>
  <c r="B42" i="13" s="1"/>
  <c r="B28" i="12"/>
  <c r="B28" i="9"/>
  <c r="B28" i="10"/>
  <c r="C28" i="4"/>
  <c r="B28" i="5"/>
  <c r="B28" i="6"/>
  <c r="B28" i="7"/>
  <c r="O28" i="3"/>
  <c r="B28" i="8"/>
  <c r="B13" i="1"/>
  <c r="I291" i="2"/>
  <c r="I254" i="2"/>
  <c r="I247" i="2"/>
  <c r="F327" i="2"/>
  <c r="H232" i="2"/>
  <c r="C226" i="2"/>
  <c r="E294" i="2"/>
  <c r="E257" i="2"/>
  <c r="J230" i="2"/>
  <c r="J245" i="2" s="1"/>
  <c r="H296" i="2"/>
  <c r="H259" i="2"/>
  <c r="M28" i="13"/>
  <c r="M42" i="13" s="1"/>
  <c r="M28" i="12"/>
  <c r="M42" i="12" s="1"/>
  <c r="M28" i="8"/>
  <c r="M28" i="9"/>
  <c r="M28" i="11"/>
  <c r="M28" i="10"/>
  <c r="N28" i="4"/>
  <c r="M28" i="5"/>
  <c r="M28" i="6"/>
  <c r="N30" i="3"/>
  <c r="M28" i="7"/>
  <c r="M13" i="1"/>
  <c r="C173" i="2"/>
  <c r="C245" i="2"/>
  <c r="L232" i="2"/>
  <c r="I232" i="2"/>
  <c r="B29" i="11"/>
  <c r="B29" i="9"/>
  <c r="B45" i="9" s="1"/>
  <c r="B29" i="13"/>
  <c r="B29" i="10"/>
  <c r="B45" i="10" s="1"/>
  <c r="B29" i="5"/>
  <c r="B29" i="8"/>
  <c r="B29" i="6"/>
  <c r="O29" i="3"/>
  <c r="B29" i="12"/>
  <c r="B45" i="12" s="1"/>
  <c r="C29" i="4"/>
  <c r="C45" i="4" s="1"/>
  <c r="B29" i="7"/>
  <c r="B45" i="7" s="1"/>
  <c r="B14" i="1"/>
  <c r="E296" i="2"/>
  <c r="E259" i="2"/>
  <c r="D28" i="11"/>
  <c r="D28" i="13"/>
  <c r="D42" i="13" s="1"/>
  <c r="D28" i="12"/>
  <c r="D42" i="12" s="1"/>
  <c r="D28" i="10"/>
  <c r="D28" i="5"/>
  <c r="D28" i="6"/>
  <c r="E30" i="3"/>
  <c r="D28" i="9"/>
  <c r="E28" i="4"/>
  <c r="D28" i="8"/>
  <c r="D28" i="7"/>
  <c r="D13" i="1"/>
  <c r="L292" i="2"/>
  <c r="M45" i="13"/>
  <c r="M46" i="13"/>
  <c r="H327" i="2"/>
  <c r="M240" i="2"/>
  <c r="G45" i="13"/>
  <c r="G46" i="13"/>
  <c r="N327" i="2"/>
  <c r="N322" i="2" s="1"/>
  <c r="N335" i="2"/>
  <c r="M38" i="11" s="1"/>
  <c r="M46" i="12"/>
  <c r="K46" i="12"/>
  <c r="J28" i="12"/>
  <c r="J42" i="12" s="1"/>
  <c r="J28" i="8"/>
  <c r="J28" i="13"/>
  <c r="J42" i="13" s="1"/>
  <c r="J28" i="11"/>
  <c r="J28" i="9"/>
  <c r="J28" i="10"/>
  <c r="J28" i="7"/>
  <c r="K28" i="4"/>
  <c r="J28" i="6"/>
  <c r="J28" i="5"/>
  <c r="K30" i="3"/>
  <c r="J13" i="1"/>
  <c r="F30" i="12"/>
  <c r="F30" i="8"/>
  <c r="F30" i="11"/>
  <c r="F30" i="7"/>
  <c r="F30" i="10"/>
  <c r="F30" i="6"/>
  <c r="F30" i="9"/>
  <c r="F30" i="13"/>
  <c r="G30" i="4"/>
  <c r="F30" i="5"/>
  <c r="F15" i="1"/>
  <c r="N232" i="2"/>
  <c r="J226" i="2"/>
  <c r="J241" i="2" s="1"/>
  <c r="B38" i="12"/>
  <c r="H28" i="12"/>
  <c r="H42" i="12" s="1"/>
  <c r="H28" i="8"/>
  <c r="H28" i="11"/>
  <c r="H28" i="9"/>
  <c r="H28" i="10"/>
  <c r="H28" i="7"/>
  <c r="H28" i="6"/>
  <c r="I30" i="3"/>
  <c r="H28" i="13"/>
  <c r="H42" i="13" s="1"/>
  <c r="H28" i="5"/>
  <c r="I28" i="4"/>
  <c r="H13" i="1"/>
  <c r="I280" i="2"/>
  <c r="O280" i="2" s="1"/>
  <c r="I170" i="2"/>
  <c r="O156" i="2"/>
  <c r="O170" i="2" s="1"/>
  <c r="J45" i="13"/>
  <c r="J46" i="13"/>
  <c r="K46" i="13"/>
  <c r="K45" i="13"/>
  <c r="N240" i="2"/>
  <c r="I29" i="8"/>
  <c r="I29" i="9"/>
  <c r="I45" i="9" s="1"/>
  <c r="I29" i="12"/>
  <c r="I45" i="12" s="1"/>
  <c r="I29" i="10"/>
  <c r="I45" i="10" s="1"/>
  <c r="I29" i="7"/>
  <c r="I45" i="7" s="1"/>
  <c r="J29" i="4"/>
  <c r="J45" i="4" s="1"/>
  <c r="I29" i="13"/>
  <c r="I29" i="11"/>
  <c r="I29" i="6"/>
  <c r="I29" i="5"/>
  <c r="I14" i="1"/>
  <c r="I159" i="2"/>
  <c r="I173" i="2" s="1"/>
  <c r="J174" i="2" s="1"/>
  <c r="F258" i="2"/>
  <c r="F295" i="2"/>
  <c r="I303" i="2" l="1"/>
  <c r="N303" i="2"/>
  <c r="K303" i="2"/>
  <c r="H303" i="2"/>
  <c r="M303" i="2"/>
  <c r="L303" i="2"/>
  <c r="E303" i="2"/>
  <c r="C305" i="2"/>
  <c r="C332" i="2" s="1"/>
  <c r="C306" i="2"/>
  <c r="C335" i="2" s="1"/>
  <c r="E38" i="16"/>
  <c r="D291" i="2"/>
  <c r="D298" i="2" s="1"/>
  <c r="D300" i="2" s="1"/>
  <c r="D247" i="2"/>
  <c r="V103" i="2"/>
  <c r="AA103" i="2" s="1"/>
  <c r="G58" i="16" s="1"/>
  <c r="L26" i="1"/>
  <c r="F26" i="1"/>
  <c r="L306" i="2"/>
  <c r="L335" i="2" s="1"/>
  <c r="K38" i="11" s="1"/>
  <c r="K26" i="1" s="1"/>
  <c r="L305" i="2"/>
  <c r="L332" i="2" s="1"/>
  <c r="K38" i="8" s="1"/>
  <c r="K23" i="1" s="1"/>
  <c r="E26" i="1"/>
  <c r="Z44" i="16"/>
  <c r="I26" i="1"/>
  <c r="AA44" i="16"/>
  <c r="N174" i="2"/>
  <c r="J40" i="16"/>
  <c r="I43" i="16"/>
  <c r="I298" i="2"/>
  <c r="G26" i="1"/>
  <c r="O44" i="16"/>
  <c r="Q45" i="16" s="1"/>
  <c r="D174" i="2"/>
  <c r="W103" i="2"/>
  <c r="AB103" i="2" s="1"/>
  <c r="AB38" i="16"/>
  <c r="F38" i="16"/>
  <c r="AB41" i="16"/>
  <c r="F41" i="16"/>
  <c r="V41" i="16"/>
  <c r="E41" i="16"/>
  <c r="G41" i="16"/>
  <c r="K173" i="2"/>
  <c r="X103" i="2"/>
  <c r="AC103" i="2" s="1"/>
  <c r="C132" i="16"/>
  <c r="D126" i="16" s="1"/>
  <c r="F32" i="16"/>
  <c r="G174" i="2"/>
  <c r="T44" i="16"/>
  <c r="T45" i="16" s="1"/>
  <c r="I174" i="2"/>
  <c r="V44" i="16"/>
  <c r="V45" i="16" s="1"/>
  <c r="G38" i="16"/>
  <c r="R38" i="16"/>
  <c r="F39" i="16"/>
  <c r="AB39" i="16"/>
  <c r="D327" i="2"/>
  <c r="D322" i="2" s="1"/>
  <c r="D306" i="2"/>
  <c r="D335" i="2" s="1"/>
  <c r="C38" i="11" s="1"/>
  <c r="D305" i="2"/>
  <c r="D332" i="2" s="1"/>
  <c r="C38" i="8" s="1"/>
  <c r="E174" i="2"/>
  <c r="R44" i="16"/>
  <c r="F174" i="2"/>
  <c r="M26" i="1"/>
  <c r="E305" i="2"/>
  <c r="E332" i="2" s="1"/>
  <c r="D38" i="8" s="1"/>
  <c r="E306" i="2"/>
  <c r="E335" i="2" s="1"/>
  <c r="D38" i="11" s="1"/>
  <c r="X39" i="16"/>
  <c r="E39" i="16"/>
  <c r="G39" i="16"/>
  <c r="I40" i="16"/>
  <c r="AD97" i="2"/>
  <c r="J52" i="16" s="1"/>
  <c r="Y103" i="2"/>
  <c r="AD103" i="2" s="1"/>
  <c r="J58" i="16" s="1"/>
  <c r="I329" i="2"/>
  <c r="H38" i="5" s="1"/>
  <c r="O229" i="2"/>
  <c r="O245" i="2"/>
  <c r="O296" i="2" s="1"/>
  <c r="O227" i="2"/>
  <c r="H328" i="2"/>
  <c r="H38" i="4" s="1"/>
  <c r="G19" i="1" s="1"/>
  <c r="F334" i="2"/>
  <c r="E38" i="10" s="1"/>
  <c r="E25" i="1" s="1"/>
  <c r="F298" i="2"/>
  <c r="F300" i="2" s="1"/>
  <c r="O230" i="2"/>
  <c r="H46" i="13"/>
  <c r="O228" i="2"/>
  <c r="G298" i="2"/>
  <c r="G300" i="2" s="1"/>
  <c r="H298" i="2"/>
  <c r="H300" i="2" s="1"/>
  <c r="O217" i="2"/>
  <c r="C127" i="16" s="1"/>
  <c r="O226" i="2"/>
  <c r="O225" i="2"/>
  <c r="Q225" i="2" s="1"/>
  <c r="C254" i="2"/>
  <c r="C263" i="2" s="1"/>
  <c r="F263" i="2" s="1"/>
  <c r="G263" i="2" s="1"/>
  <c r="O240" i="2"/>
  <c r="P240" i="2" s="1"/>
  <c r="C243" i="2"/>
  <c r="O243" i="2" s="1"/>
  <c r="O294" i="2" s="1"/>
  <c r="L23" i="1"/>
  <c r="E23" i="1"/>
  <c r="G23" i="1"/>
  <c r="I23" i="1"/>
  <c r="M23" i="1"/>
  <c r="F23" i="1"/>
  <c r="C19" i="1"/>
  <c r="D46" i="4"/>
  <c r="D42" i="4"/>
  <c r="N14" i="1"/>
  <c r="O48" i="1" s="1"/>
  <c r="P48" i="1" s="1"/>
  <c r="H7" i="16"/>
  <c r="Q29" i="3"/>
  <c r="N13" i="1"/>
  <c r="O47" i="1" s="1"/>
  <c r="P47" i="1" s="1"/>
  <c r="H3" i="16"/>
  <c r="H4" i="16" s="1"/>
  <c r="H5" i="16" s="1"/>
  <c r="E19" i="1"/>
  <c r="F46" i="4"/>
  <c r="F42" i="4"/>
  <c r="E20" i="1"/>
  <c r="E50" i="5"/>
  <c r="E46" i="5"/>
  <c r="E42" i="5"/>
  <c r="L327" i="2"/>
  <c r="L38" i="3" s="1"/>
  <c r="H46" i="12"/>
  <c r="C46" i="9"/>
  <c r="E291" i="2"/>
  <c r="E247" i="2"/>
  <c r="C232" i="2"/>
  <c r="C24" i="1"/>
  <c r="N328" i="2"/>
  <c r="N38" i="4" s="1"/>
  <c r="F261" i="2"/>
  <c r="L261" i="2"/>
  <c r="I333" i="2"/>
  <c r="H38" i="9" s="1"/>
  <c r="H46" i="9" s="1"/>
  <c r="O159" i="2"/>
  <c r="N310" i="2"/>
  <c r="G261" i="2"/>
  <c r="I261" i="2"/>
  <c r="G333" i="2"/>
  <c r="F38" i="9" s="1"/>
  <c r="F46" i="9" s="1"/>
  <c r="O277" i="2"/>
  <c r="C189" i="15"/>
  <c r="O179" i="15"/>
  <c r="O189" i="15" s="1"/>
  <c r="O138" i="15"/>
  <c r="C152" i="15"/>
  <c r="J258" i="2"/>
  <c r="J295" i="2"/>
  <c r="J294" i="2"/>
  <c r="J257" i="2"/>
  <c r="J256" i="2"/>
  <c r="J293" i="2"/>
  <c r="I328" i="2"/>
  <c r="I38" i="4" s="1"/>
  <c r="B45" i="13"/>
  <c r="B46" i="13"/>
  <c r="C242" i="2"/>
  <c r="O242" i="2" s="1"/>
  <c r="F310" i="2"/>
  <c r="I45" i="13"/>
  <c r="I46" i="13"/>
  <c r="H310" i="2"/>
  <c r="H329" i="2"/>
  <c r="G38" i="5" s="1"/>
  <c r="B46" i="12"/>
  <c r="B42" i="12"/>
  <c r="N38" i="12"/>
  <c r="B27" i="1"/>
  <c r="N27" i="1" s="1"/>
  <c r="M30" i="11"/>
  <c r="M30" i="9"/>
  <c r="M30" i="13"/>
  <c r="M30" i="10"/>
  <c r="M30" i="5"/>
  <c r="M30" i="6"/>
  <c r="N30" i="4"/>
  <c r="M30" i="12"/>
  <c r="M30" i="8"/>
  <c r="M30" i="7"/>
  <c r="M15" i="1"/>
  <c r="I46" i="12"/>
  <c r="D334" i="2"/>
  <c r="C38" i="10" s="1"/>
  <c r="H333" i="2"/>
  <c r="G38" i="9" s="1"/>
  <c r="K333" i="2"/>
  <c r="J38" i="9" s="1"/>
  <c r="J38" i="3"/>
  <c r="J322" i="2"/>
  <c r="J296" i="2"/>
  <c r="J259" i="2"/>
  <c r="L30" i="11"/>
  <c r="L30" i="13"/>
  <c r="L30" i="12"/>
  <c r="L30" i="9"/>
  <c r="L30" i="10"/>
  <c r="M30" i="4"/>
  <c r="L30" i="5"/>
  <c r="L30" i="6"/>
  <c r="L30" i="7"/>
  <c r="L30" i="8"/>
  <c r="L15" i="1"/>
  <c r="O278" i="2"/>
  <c r="K287" i="2"/>
  <c r="K328" i="2"/>
  <c r="K38" i="4" s="1"/>
  <c r="M328" i="2"/>
  <c r="M38" i="4" s="1"/>
  <c r="F333" i="2"/>
  <c r="E38" i="9" s="1"/>
  <c r="M247" i="2"/>
  <c r="M291" i="2"/>
  <c r="M298" i="2" s="1"/>
  <c r="M254" i="2"/>
  <c r="M261" i="2" s="1"/>
  <c r="J232" i="2"/>
  <c r="G334" i="2"/>
  <c r="F38" i="10" s="1"/>
  <c r="H261" i="2"/>
  <c r="K291" i="2"/>
  <c r="K298" i="2" s="1"/>
  <c r="K254" i="2"/>
  <c r="K261" i="2" s="1"/>
  <c r="K247" i="2"/>
  <c r="J292" i="2"/>
  <c r="J255" i="2"/>
  <c r="I287" i="2"/>
  <c r="C327" i="2"/>
  <c r="E327" i="2"/>
  <c r="E333" i="2"/>
  <c r="D38" i="9" s="1"/>
  <c r="H334" i="2"/>
  <c r="G38" i="10" s="1"/>
  <c r="N254" i="2"/>
  <c r="N261" i="2" s="1"/>
  <c r="N291" i="2"/>
  <c r="N298" i="2" s="1"/>
  <c r="N247" i="2"/>
  <c r="H30" i="12"/>
  <c r="H30" i="8"/>
  <c r="H30" i="13"/>
  <c r="H30" i="11"/>
  <c r="H30" i="9"/>
  <c r="H30" i="10"/>
  <c r="H30" i="7"/>
  <c r="I30" i="4"/>
  <c r="H30" i="6"/>
  <c r="H30" i="5"/>
  <c r="H15" i="1"/>
  <c r="N28" i="11"/>
  <c r="N28" i="13"/>
  <c r="N42" i="13" s="1"/>
  <c r="N28" i="12"/>
  <c r="N28" i="9"/>
  <c r="N28" i="10"/>
  <c r="O28" i="4"/>
  <c r="N28" i="5"/>
  <c r="N28" i="8"/>
  <c r="N28" i="6"/>
  <c r="O30" i="3"/>
  <c r="N15" i="1" s="1"/>
  <c r="N28" i="7"/>
  <c r="D329" i="2"/>
  <c r="C38" i="5" s="1"/>
  <c r="J291" i="2"/>
  <c r="J254" i="2"/>
  <c r="J247" i="2"/>
  <c r="E261" i="2"/>
  <c r="M38" i="3"/>
  <c r="L334" i="2"/>
  <c r="K38" i="10" s="1"/>
  <c r="L298" i="2"/>
  <c r="L300" i="2" s="1"/>
  <c r="J30" i="11"/>
  <c r="J30" i="8"/>
  <c r="J30" i="9"/>
  <c r="J30" i="13"/>
  <c r="J30" i="7"/>
  <c r="K30" i="4"/>
  <c r="J30" i="5"/>
  <c r="J30" i="12"/>
  <c r="J30" i="6"/>
  <c r="J15" i="1"/>
  <c r="J30" i="10"/>
  <c r="H38" i="3"/>
  <c r="H322" i="2"/>
  <c r="D30" i="13"/>
  <c r="D30" i="12"/>
  <c r="D30" i="10"/>
  <c r="D30" i="11"/>
  <c r="D30" i="9"/>
  <c r="D30" i="6"/>
  <c r="D30" i="5"/>
  <c r="D30" i="8"/>
  <c r="E30" i="4"/>
  <c r="D30" i="7"/>
  <c r="D15" i="1"/>
  <c r="C241" i="2"/>
  <c r="O241" i="2" s="1"/>
  <c r="G328" i="2"/>
  <c r="G38" i="4" s="1"/>
  <c r="E328" i="2"/>
  <c r="E38" i="4" s="1"/>
  <c r="N29" i="11"/>
  <c r="N29" i="9"/>
  <c r="N45" i="9" s="1"/>
  <c r="N29" i="12"/>
  <c r="N45" i="12" s="1"/>
  <c r="N29" i="10"/>
  <c r="N45" i="10" s="1"/>
  <c r="N29" i="13"/>
  <c r="N29" i="5"/>
  <c r="N29" i="6"/>
  <c r="N29" i="8"/>
  <c r="O29" i="4"/>
  <c r="O45" i="4" s="1"/>
  <c r="N29" i="7"/>
  <c r="N45" i="7" s="1"/>
  <c r="B30" i="11"/>
  <c r="B30" i="13"/>
  <c r="B30" i="12"/>
  <c r="B30" i="10"/>
  <c r="B30" i="5"/>
  <c r="B30" i="6"/>
  <c r="B30" i="8"/>
  <c r="C30" i="4"/>
  <c r="B30" i="9"/>
  <c r="B30" i="7"/>
  <c r="B15" i="1"/>
  <c r="C244" i="2"/>
  <c r="O244" i="2" s="1"/>
  <c r="L333" i="2"/>
  <c r="K38" i="9" s="1"/>
  <c r="M333" i="2"/>
  <c r="L38" i="9" s="1"/>
  <c r="N38" i="3"/>
  <c r="C296" i="2"/>
  <c r="C259" i="2"/>
  <c r="C268" i="2" s="1"/>
  <c r="F268" i="2" s="1"/>
  <c r="G268" i="2" s="1"/>
  <c r="K30" i="13"/>
  <c r="K30" i="12"/>
  <c r="K30" i="8"/>
  <c r="K30" i="9"/>
  <c r="K30" i="11"/>
  <c r="K30" i="10"/>
  <c r="L30" i="4"/>
  <c r="K30" i="5"/>
  <c r="K30" i="6"/>
  <c r="K30" i="7"/>
  <c r="I334" i="2"/>
  <c r="H38" i="10" s="1"/>
  <c r="H46" i="10" s="1"/>
  <c r="I30" i="11"/>
  <c r="I30" i="13"/>
  <c r="I30" i="12"/>
  <c r="I30" i="8"/>
  <c r="I30" i="9"/>
  <c r="I30" i="10"/>
  <c r="I30" i="7"/>
  <c r="J30" i="4"/>
  <c r="I30" i="5"/>
  <c r="I30" i="6"/>
  <c r="I15" i="1"/>
  <c r="L328" i="2"/>
  <c r="L38" i="4" s="1"/>
  <c r="F38" i="3"/>
  <c r="F322" i="2"/>
  <c r="G38" i="3"/>
  <c r="G322" i="2"/>
  <c r="N333" i="2"/>
  <c r="M38" i="9" s="1"/>
  <c r="J303" i="2" l="1"/>
  <c r="E32" i="1"/>
  <c r="D38" i="3"/>
  <c r="C45" i="11" s="1"/>
  <c r="C48" i="11" s="1"/>
  <c r="I38" i="16"/>
  <c r="D310" i="2"/>
  <c r="O160" i="2"/>
  <c r="Q160" i="2" s="1"/>
  <c r="Q162" i="2" s="1"/>
  <c r="J41" i="16"/>
  <c r="I41" i="16"/>
  <c r="W45" i="16"/>
  <c r="J38" i="16"/>
  <c r="D26" i="1"/>
  <c r="X44" i="16"/>
  <c r="X45" i="16" s="1"/>
  <c r="K174" i="2"/>
  <c r="L42" i="3"/>
  <c r="K100" i="1" s="1"/>
  <c r="K45" i="11"/>
  <c r="K44" i="8"/>
  <c r="I67" i="16"/>
  <c r="K67" i="16" s="1"/>
  <c r="L41" i="3"/>
  <c r="K99" i="1" s="1"/>
  <c r="H46" i="4"/>
  <c r="I306" i="2"/>
  <c r="I305" i="2"/>
  <c r="Q228" i="2"/>
  <c r="R45" i="16"/>
  <c r="S45" i="16"/>
  <c r="C44" i="8"/>
  <c r="C51" i="8" s="1"/>
  <c r="H42" i="4"/>
  <c r="P243" i="2"/>
  <c r="K306" i="2"/>
  <c r="K335" i="2" s="1"/>
  <c r="J38" i="11" s="1"/>
  <c r="K305" i="2"/>
  <c r="K332" i="2" s="1"/>
  <c r="J38" i="8" s="1"/>
  <c r="AA104" i="2"/>
  <c r="C26" i="1"/>
  <c r="B38" i="11"/>
  <c r="B26" i="1" s="1"/>
  <c r="E44" i="8"/>
  <c r="E51" i="8" s="1"/>
  <c r="E45" i="11"/>
  <c r="E48" i="11" s="1"/>
  <c r="I65" i="16"/>
  <c r="K65" i="16" s="1"/>
  <c r="Q230" i="2"/>
  <c r="AB104" i="2"/>
  <c r="H58" i="16"/>
  <c r="AA45" i="16"/>
  <c r="M45" i="11"/>
  <c r="M48" i="11" s="1"/>
  <c r="M44" i="8"/>
  <c r="M51" i="8" s="1"/>
  <c r="P245" i="2"/>
  <c r="J39" i="16"/>
  <c r="U45" i="16"/>
  <c r="L45" i="11"/>
  <c r="L48" i="11" s="1"/>
  <c r="L44" i="8"/>
  <c r="L51" i="8" s="1"/>
  <c r="I39" i="16"/>
  <c r="G44" i="8"/>
  <c r="G51" i="8" s="1"/>
  <c r="G45" i="11"/>
  <c r="G48" i="11" s="1"/>
  <c r="F44" i="8"/>
  <c r="F51" i="8" s="1"/>
  <c r="F45" i="11"/>
  <c r="F48" i="11" s="1"/>
  <c r="I44" i="8"/>
  <c r="I51" i="8" s="1"/>
  <c r="I45" i="11"/>
  <c r="I48" i="11" s="1"/>
  <c r="E46" i="10"/>
  <c r="AC104" i="2"/>
  <c r="I58" i="16"/>
  <c r="M174" i="2"/>
  <c r="E42" i="10"/>
  <c r="O291" i="2"/>
  <c r="C257" i="2"/>
  <c r="C266" i="2" s="1"/>
  <c r="F266" i="2" s="1"/>
  <c r="G266" i="2" s="1"/>
  <c r="E334" i="2"/>
  <c r="D38" i="10" s="1"/>
  <c r="D46" i="10" s="1"/>
  <c r="E298" i="2"/>
  <c r="E300" i="2" s="1"/>
  <c r="J298" i="2"/>
  <c r="J300" i="2" s="1"/>
  <c r="O232" i="2"/>
  <c r="C133" i="16" s="1"/>
  <c r="C134" i="16" s="1"/>
  <c r="C294" i="2"/>
  <c r="D23" i="1"/>
  <c r="C23" i="1"/>
  <c r="M19" i="1"/>
  <c r="N42" i="4"/>
  <c r="N46" i="4"/>
  <c r="H19" i="1"/>
  <c r="I42" i="4"/>
  <c r="I46" i="4"/>
  <c r="H8" i="16"/>
  <c r="J19" i="1"/>
  <c r="K42" i="4"/>
  <c r="K46" i="4"/>
  <c r="K19" i="1"/>
  <c r="L42" i="4"/>
  <c r="L46" i="4"/>
  <c r="F19" i="1"/>
  <c r="G46" i="4"/>
  <c r="G42" i="4"/>
  <c r="D19" i="1"/>
  <c r="E46" i="4"/>
  <c r="E42" i="4"/>
  <c r="L19" i="1"/>
  <c r="M42" i="4"/>
  <c r="M46" i="4"/>
  <c r="G20" i="1"/>
  <c r="G32" i="1" s="1"/>
  <c r="G50" i="5"/>
  <c r="G46" i="5"/>
  <c r="G42" i="5"/>
  <c r="C20" i="1"/>
  <c r="C32" i="1" s="1"/>
  <c r="C46" i="5"/>
  <c r="C42" i="5"/>
  <c r="C50" i="5"/>
  <c r="H20" i="1"/>
  <c r="H42" i="5"/>
  <c r="H50" i="5"/>
  <c r="H46" i="5"/>
  <c r="N31" i="3"/>
  <c r="N42" i="3"/>
  <c r="N41" i="3"/>
  <c r="M99" i="1" s="1"/>
  <c r="H31" i="3"/>
  <c r="H42" i="3"/>
  <c r="G100" i="1" s="1"/>
  <c r="H41" i="3"/>
  <c r="G99" i="1" s="1"/>
  <c r="M31" i="3"/>
  <c r="M42" i="3"/>
  <c r="L100" i="1" s="1"/>
  <c r="M41" i="3"/>
  <c r="L99" i="1" s="1"/>
  <c r="J31" i="3"/>
  <c r="J41" i="3"/>
  <c r="I99" i="1" s="1"/>
  <c r="J42" i="3"/>
  <c r="I100" i="1" s="1"/>
  <c r="G31" i="3"/>
  <c r="G41" i="3"/>
  <c r="F99" i="1" s="1"/>
  <c r="G42" i="3"/>
  <c r="F100" i="1" s="1"/>
  <c r="F31" i="3"/>
  <c r="F41" i="3"/>
  <c r="E99" i="1" s="1"/>
  <c r="E102" i="1" s="1"/>
  <c r="F42" i="3"/>
  <c r="E100" i="1" s="1"/>
  <c r="D31" i="3"/>
  <c r="D41" i="3"/>
  <c r="D42" i="3"/>
  <c r="N329" i="2"/>
  <c r="M38" i="5" s="1"/>
  <c r="H24" i="1"/>
  <c r="H42" i="9"/>
  <c r="F24" i="1"/>
  <c r="F42" i="9"/>
  <c r="C247" i="2"/>
  <c r="O247" i="2" s="1"/>
  <c r="O287" i="2"/>
  <c r="O327" i="2" s="1"/>
  <c r="F339" i="2"/>
  <c r="O173" i="2"/>
  <c r="D339" i="2"/>
  <c r="D313" i="2"/>
  <c r="O152" i="15"/>
  <c r="O155" i="15" s="1"/>
  <c r="P155" i="15" s="1"/>
  <c r="O139" i="15"/>
  <c r="Q139" i="15" s="1"/>
  <c r="Q141" i="15" s="1"/>
  <c r="L18" i="1"/>
  <c r="N46" i="12"/>
  <c r="N42" i="12"/>
  <c r="C18" i="1"/>
  <c r="C31" i="1" s="1"/>
  <c r="M18" i="1"/>
  <c r="N45" i="13"/>
  <c r="N46" i="13"/>
  <c r="B38" i="10"/>
  <c r="N30" i="11"/>
  <c r="N30" i="13"/>
  <c r="N30" i="12"/>
  <c r="N30" i="10"/>
  <c r="N30" i="5"/>
  <c r="N30" i="6"/>
  <c r="O30" i="4"/>
  <c r="N30" i="8"/>
  <c r="N30" i="9"/>
  <c r="N30" i="7"/>
  <c r="M334" i="2"/>
  <c r="L38" i="10" s="1"/>
  <c r="M300" i="2"/>
  <c r="L329" i="2"/>
  <c r="K38" i="5" s="1"/>
  <c r="L310" i="2"/>
  <c r="L313" i="2" s="1"/>
  <c r="I300" i="2"/>
  <c r="K42" i="9"/>
  <c r="K46" i="9"/>
  <c r="K24" i="1"/>
  <c r="C255" i="2"/>
  <c r="C264" i="2" s="1"/>
  <c r="F264" i="2" s="1"/>
  <c r="G264" i="2" s="1"/>
  <c r="O292" i="2"/>
  <c r="C292" i="2"/>
  <c r="D46" i="9"/>
  <c r="D42" i="9"/>
  <c r="D24" i="1"/>
  <c r="H313" i="2"/>
  <c r="E46" i="9"/>
  <c r="E42" i="9"/>
  <c r="E24" i="1"/>
  <c r="G329" i="2"/>
  <c r="F38" i="5" s="1"/>
  <c r="G310" i="2"/>
  <c r="G313" i="2" s="1"/>
  <c r="N334" i="2"/>
  <c r="N300" i="2"/>
  <c r="N313" i="2" s="1"/>
  <c r="I327" i="2"/>
  <c r="C258" i="2"/>
  <c r="C267" i="2" s="1"/>
  <c r="F267" i="2" s="1"/>
  <c r="G267" i="2" s="1"/>
  <c r="C295" i="2"/>
  <c r="O295" i="2"/>
  <c r="O333" i="2" s="1"/>
  <c r="G18" i="1"/>
  <c r="K334" i="2"/>
  <c r="J38" i="10" s="1"/>
  <c r="K300" i="2"/>
  <c r="M329" i="2"/>
  <c r="L38" i="5" s="1"/>
  <c r="M310" i="2"/>
  <c r="I18" i="1"/>
  <c r="H42" i="10"/>
  <c r="H25" i="1"/>
  <c r="H339" i="2"/>
  <c r="J42" i="9"/>
  <c r="J46" i="9"/>
  <c r="J24" i="1"/>
  <c r="F313" i="2"/>
  <c r="J333" i="2"/>
  <c r="I38" i="9" s="1"/>
  <c r="F46" i="10"/>
  <c r="F42" i="10"/>
  <c r="F25" i="1"/>
  <c r="E18" i="1"/>
  <c r="E31" i="1" s="1"/>
  <c r="E34" i="1" s="1"/>
  <c r="G42" i="10"/>
  <c r="G46" i="10"/>
  <c r="G25" i="1"/>
  <c r="E38" i="3"/>
  <c r="E322" i="2"/>
  <c r="K42" i="10"/>
  <c r="K46" i="10"/>
  <c r="K25" i="1"/>
  <c r="J334" i="2"/>
  <c r="I38" i="10" s="1"/>
  <c r="I46" i="10" s="1"/>
  <c r="K329" i="2"/>
  <c r="J38" i="5" s="1"/>
  <c r="G46" i="9"/>
  <c r="G42" i="9"/>
  <c r="G24" i="1"/>
  <c r="C256" i="2"/>
  <c r="C265" i="2" s="1"/>
  <c r="F265" i="2" s="1"/>
  <c r="G265" i="2" s="1"/>
  <c r="C293" i="2"/>
  <c r="O293" i="2"/>
  <c r="P294" i="2" s="1"/>
  <c r="R294" i="2" s="1"/>
  <c r="K18" i="1"/>
  <c r="K31" i="1" s="1"/>
  <c r="O334" i="2"/>
  <c r="L42" i="9"/>
  <c r="L46" i="9"/>
  <c r="L24" i="1"/>
  <c r="C38" i="3"/>
  <c r="C322" i="2"/>
  <c r="J328" i="2"/>
  <c r="M42" i="9"/>
  <c r="M46" i="9"/>
  <c r="M24" i="1"/>
  <c r="F18" i="1"/>
  <c r="F31" i="1" s="1"/>
  <c r="J261" i="2"/>
  <c r="E329" i="2"/>
  <c r="D38" i="5" s="1"/>
  <c r="E310" i="2"/>
  <c r="B38" i="8"/>
  <c r="K327" i="2"/>
  <c r="C42" i="10"/>
  <c r="C46" i="10"/>
  <c r="C25" i="1"/>
  <c r="G31" i="1" l="1"/>
  <c r="G34" i="1" s="1"/>
  <c r="C36" i="1"/>
  <c r="C38" i="1"/>
  <c r="G36" i="1"/>
  <c r="G38" i="1"/>
  <c r="C34" i="1"/>
  <c r="E36" i="1"/>
  <c r="E38" i="1"/>
  <c r="C303" i="2"/>
  <c r="C329" i="2" s="1"/>
  <c r="C333" i="2"/>
  <c r="B38" i="9" s="1"/>
  <c r="C328" i="2"/>
  <c r="Z45" i="16"/>
  <c r="D25" i="1"/>
  <c r="D42" i="10"/>
  <c r="O306" i="2"/>
  <c r="O335" i="2" s="1"/>
  <c r="P247" i="2"/>
  <c r="I335" i="2"/>
  <c r="H38" i="11" s="1"/>
  <c r="H26" i="1" s="1"/>
  <c r="O305" i="2"/>
  <c r="O332" i="2" s="1"/>
  <c r="J26" i="1"/>
  <c r="B44" i="8"/>
  <c r="B51" i="8" s="1"/>
  <c r="B45" i="11"/>
  <c r="B48" i="11" s="1"/>
  <c r="I64" i="16"/>
  <c r="D44" i="8"/>
  <c r="D51" i="8" s="1"/>
  <c r="D45" i="11"/>
  <c r="D48" i="11" s="1"/>
  <c r="D127" i="16"/>
  <c r="O176" i="2"/>
  <c r="P176" i="2" s="1"/>
  <c r="F45" i="16"/>
  <c r="AB44" i="16"/>
  <c r="E313" i="2"/>
  <c r="O298" i="2"/>
  <c r="O300" i="2" s="1"/>
  <c r="C298" i="2"/>
  <c r="C300" i="2" s="1"/>
  <c r="J23" i="1"/>
  <c r="C41" i="3"/>
  <c r="C42" i="3"/>
  <c r="F20" i="1"/>
  <c r="F46" i="5"/>
  <c r="F50" i="5"/>
  <c r="F42" i="5"/>
  <c r="M20" i="1"/>
  <c r="M32" i="1" s="1"/>
  <c r="M50" i="5"/>
  <c r="M46" i="5"/>
  <c r="M42" i="5"/>
  <c r="J20" i="1"/>
  <c r="J32" i="1" s="1"/>
  <c r="J42" i="5"/>
  <c r="J50" i="5"/>
  <c r="J46" i="5"/>
  <c r="K20" i="1"/>
  <c r="K50" i="5"/>
  <c r="K46" i="5"/>
  <c r="K42" i="5"/>
  <c r="D20" i="1"/>
  <c r="D32" i="1" s="1"/>
  <c r="D42" i="5"/>
  <c r="D50" i="5"/>
  <c r="D46" i="5"/>
  <c r="L20" i="1"/>
  <c r="L32" i="1" s="1"/>
  <c r="L50" i="5"/>
  <c r="L46" i="5"/>
  <c r="L42" i="5"/>
  <c r="E31" i="3"/>
  <c r="E42" i="3"/>
  <c r="E41" i="3"/>
  <c r="C31" i="3"/>
  <c r="O322" i="2"/>
  <c r="Q322" i="2" s="1"/>
  <c r="R322" i="2" s="1"/>
  <c r="O49" i="1"/>
  <c r="P49" i="1" s="1"/>
  <c r="P15" i="1"/>
  <c r="L339" i="2"/>
  <c r="E339" i="2"/>
  <c r="O328" i="2"/>
  <c r="M339" i="2"/>
  <c r="M313" i="2"/>
  <c r="D18" i="1"/>
  <c r="G29" i="1"/>
  <c r="G108" i="1" s="1"/>
  <c r="J310" i="2"/>
  <c r="J313" i="2" s="1"/>
  <c r="J329" i="2"/>
  <c r="I38" i="5" s="1"/>
  <c r="M31" i="11"/>
  <c r="M31" i="13"/>
  <c r="M31" i="12"/>
  <c r="M31" i="10"/>
  <c r="M31" i="5"/>
  <c r="M31" i="8"/>
  <c r="M31" i="6"/>
  <c r="M31" i="9"/>
  <c r="N31" i="4"/>
  <c r="M31" i="7"/>
  <c r="M16" i="1"/>
  <c r="K310" i="2"/>
  <c r="K313" i="2" s="1"/>
  <c r="B18" i="1"/>
  <c r="G31" i="8"/>
  <c r="G31" i="9"/>
  <c r="G31" i="12"/>
  <c r="G31" i="10"/>
  <c r="G31" i="7"/>
  <c r="H31" i="4"/>
  <c r="G31" i="11"/>
  <c r="G31" i="13"/>
  <c r="G31" i="6"/>
  <c r="G31" i="5"/>
  <c r="G16" i="1"/>
  <c r="C29" i="1"/>
  <c r="C108" i="1" s="1"/>
  <c r="J42" i="10"/>
  <c r="J46" i="10"/>
  <c r="J25" i="1"/>
  <c r="E29" i="1"/>
  <c r="I42" i="10"/>
  <c r="I25" i="1"/>
  <c r="K31" i="11"/>
  <c r="K31" i="13"/>
  <c r="K31" i="12"/>
  <c r="K31" i="9"/>
  <c r="K31" i="10"/>
  <c r="L31" i="4"/>
  <c r="K31" i="5"/>
  <c r="K31" i="8"/>
  <c r="K31" i="6"/>
  <c r="K31" i="7"/>
  <c r="I31" i="11"/>
  <c r="I31" i="8"/>
  <c r="I31" i="9"/>
  <c r="I31" i="12"/>
  <c r="I31" i="7"/>
  <c r="J31" i="4"/>
  <c r="I31" i="5"/>
  <c r="I31" i="10"/>
  <c r="I31" i="13"/>
  <c r="I31" i="6"/>
  <c r="I16" i="1"/>
  <c r="I38" i="3"/>
  <c r="I322" i="2"/>
  <c r="L31" i="11"/>
  <c r="L31" i="9"/>
  <c r="L31" i="12"/>
  <c r="L31" i="10"/>
  <c r="L31" i="13"/>
  <c r="L31" i="5"/>
  <c r="L31" i="8"/>
  <c r="L31" i="6"/>
  <c r="M31" i="4"/>
  <c r="L31" i="7"/>
  <c r="L16" i="1"/>
  <c r="K38" i="3"/>
  <c r="K339" i="2"/>
  <c r="K322" i="2"/>
  <c r="B23" i="1"/>
  <c r="I332" i="2"/>
  <c r="H38" i="8" s="1"/>
  <c r="I310" i="2"/>
  <c r="I313" i="2" s="1"/>
  <c r="G339" i="2"/>
  <c r="H342" i="2" s="1"/>
  <c r="I46" i="9"/>
  <c r="I42" i="9"/>
  <c r="I24" i="1"/>
  <c r="C261" i="2"/>
  <c r="L42" i="10"/>
  <c r="L46" i="10"/>
  <c r="L25" i="1"/>
  <c r="L31" i="1" s="1"/>
  <c r="L34" i="1" s="1"/>
  <c r="J38" i="4"/>
  <c r="C31" i="13"/>
  <c r="C31" i="12"/>
  <c r="C31" i="10"/>
  <c r="C31" i="11"/>
  <c r="C31" i="9"/>
  <c r="C31" i="6"/>
  <c r="C31" i="8"/>
  <c r="C31" i="5"/>
  <c r="C31" i="7"/>
  <c r="D31" i="4"/>
  <c r="C16" i="1"/>
  <c r="E31" i="11"/>
  <c r="E31" i="13"/>
  <c r="E31" i="8"/>
  <c r="E31" i="12"/>
  <c r="E31" i="9"/>
  <c r="E31" i="7"/>
  <c r="E31" i="6"/>
  <c r="E31" i="10"/>
  <c r="E31" i="5"/>
  <c r="F31" i="4"/>
  <c r="E16" i="1"/>
  <c r="F31" i="11"/>
  <c r="F31" i="13"/>
  <c r="F31" i="8"/>
  <c r="F31" i="9"/>
  <c r="F31" i="7"/>
  <c r="G31" i="4"/>
  <c r="F31" i="10"/>
  <c r="F31" i="6"/>
  <c r="F31" i="5"/>
  <c r="F31" i="12"/>
  <c r="F16" i="1"/>
  <c r="M38" i="10"/>
  <c r="N339" i="2"/>
  <c r="B46" i="10"/>
  <c r="B42" i="10"/>
  <c r="B25" i="1"/>
  <c r="D38" i="1" l="1"/>
  <c r="M38" i="1"/>
  <c r="F29" i="1"/>
  <c r="F108" i="1" s="1"/>
  <c r="F32" i="1"/>
  <c r="D31" i="1"/>
  <c r="D34" i="1" s="1"/>
  <c r="K29" i="1"/>
  <c r="K108" i="1" s="1"/>
  <c r="K32" i="1"/>
  <c r="L38" i="1"/>
  <c r="L36" i="1"/>
  <c r="B46" i="9"/>
  <c r="B24" i="1"/>
  <c r="N38" i="9"/>
  <c r="P38" i="9" s="1"/>
  <c r="Q38" i="9" s="1"/>
  <c r="B42" i="9"/>
  <c r="N26" i="1"/>
  <c r="O303" i="2"/>
  <c r="N38" i="11"/>
  <c r="K64" i="16"/>
  <c r="H45" i="11"/>
  <c r="H48" i="11" s="1"/>
  <c r="H44" i="8"/>
  <c r="H51" i="8" s="1"/>
  <c r="I66" i="16"/>
  <c r="K66" i="16" s="1"/>
  <c r="J44" i="8"/>
  <c r="J51" i="8" s="1"/>
  <c r="J45" i="11"/>
  <c r="J48" i="11" s="1"/>
  <c r="E108" i="1"/>
  <c r="H23" i="1"/>
  <c r="N24" i="1"/>
  <c r="R24" i="1" s="1"/>
  <c r="O38" i="3"/>
  <c r="O31" i="3" s="1"/>
  <c r="I19" i="1"/>
  <c r="I31" i="1" s="1"/>
  <c r="J42" i="4"/>
  <c r="J46" i="4"/>
  <c r="L29" i="1"/>
  <c r="L108" i="1" s="1"/>
  <c r="I20" i="1"/>
  <c r="I32" i="1" s="1"/>
  <c r="I42" i="5"/>
  <c r="I50" i="5"/>
  <c r="I46" i="5"/>
  <c r="N342" i="2"/>
  <c r="I31" i="3"/>
  <c r="I42" i="3"/>
  <c r="H100" i="1" s="1"/>
  <c r="I41" i="3"/>
  <c r="H99" i="1" s="1"/>
  <c r="K31" i="3"/>
  <c r="K41" i="3"/>
  <c r="J99" i="1" s="1"/>
  <c r="K42" i="3"/>
  <c r="J100" i="1" s="1"/>
  <c r="J339" i="2"/>
  <c r="M46" i="10"/>
  <c r="M42" i="10"/>
  <c r="M25" i="1"/>
  <c r="B38" i="5"/>
  <c r="B20" i="1" s="1"/>
  <c r="B32" i="1" s="1"/>
  <c r="B38" i="1" s="1"/>
  <c r="C310" i="2"/>
  <c r="C313" i="2" s="1"/>
  <c r="N38" i="8"/>
  <c r="B31" i="13"/>
  <c r="B31" i="12"/>
  <c r="B31" i="10"/>
  <c r="B31" i="11"/>
  <c r="B31" i="8"/>
  <c r="B31" i="6"/>
  <c r="B31" i="9"/>
  <c r="B31" i="5"/>
  <c r="C31" i="4"/>
  <c r="B31" i="7"/>
  <c r="B16" i="1"/>
  <c r="J18" i="1"/>
  <c r="H18" i="1"/>
  <c r="H31" i="1" s="1"/>
  <c r="N38" i="10"/>
  <c r="I339" i="2"/>
  <c r="D29" i="1"/>
  <c r="D108" i="1" s="1"/>
  <c r="C38" i="4"/>
  <c r="D31" i="10"/>
  <c r="D31" i="11"/>
  <c r="D31" i="13"/>
  <c r="D31" i="8"/>
  <c r="D31" i="9"/>
  <c r="D31" i="12"/>
  <c r="D31" i="7"/>
  <c r="D31" i="6"/>
  <c r="D31" i="5"/>
  <c r="E31" i="4"/>
  <c r="D16" i="1"/>
  <c r="I34" i="1" l="1"/>
  <c r="I118" i="16"/>
  <c r="K118" i="16" s="1"/>
  <c r="K38" i="1"/>
  <c r="K36" i="1"/>
  <c r="K34" i="1"/>
  <c r="J29" i="1"/>
  <c r="J108" i="1" s="1"/>
  <c r="J31" i="1"/>
  <c r="N23" i="1"/>
  <c r="H32" i="1"/>
  <c r="M29" i="1"/>
  <c r="M108" i="1" s="1"/>
  <c r="M31" i="1"/>
  <c r="I36" i="1"/>
  <c r="I38" i="1"/>
  <c r="D36" i="1"/>
  <c r="F38" i="1"/>
  <c r="F36" i="1"/>
  <c r="F34" i="1"/>
  <c r="J38" i="1"/>
  <c r="N42" i="9"/>
  <c r="O42" i="9" s="1"/>
  <c r="P42" i="9" s="1"/>
  <c r="N46" i="9"/>
  <c r="O46" i="9" s="1"/>
  <c r="P46" i="9" s="1"/>
  <c r="O310" i="2"/>
  <c r="O313" i="2" s="1"/>
  <c r="Q303" i="2"/>
  <c r="H29" i="1"/>
  <c r="H108" i="1" s="1"/>
  <c r="I69" i="16"/>
  <c r="H10" i="16"/>
  <c r="H11" i="16" s="1"/>
  <c r="N45" i="11"/>
  <c r="N48" i="11" s="1"/>
  <c r="N44" i="8"/>
  <c r="N51" i="8" s="1"/>
  <c r="O41" i="3"/>
  <c r="O42" i="3"/>
  <c r="M100" i="1" s="1"/>
  <c r="N100" i="1" s="1"/>
  <c r="I29" i="1"/>
  <c r="I108" i="1" s="1"/>
  <c r="N25" i="1"/>
  <c r="C46" i="4"/>
  <c r="C42" i="4"/>
  <c r="K342" i="2"/>
  <c r="B50" i="5"/>
  <c r="B42" i="5"/>
  <c r="B46" i="5"/>
  <c r="N99" i="1"/>
  <c r="N18" i="1"/>
  <c r="C339" i="2"/>
  <c r="E342" i="2" s="1"/>
  <c r="N16" i="1"/>
  <c r="J31" i="13"/>
  <c r="J31" i="12"/>
  <c r="J31" i="8"/>
  <c r="J31" i="9"/>
  <c r="J31" i="10"/>
  <c r="K31" i="4"/>
  <c r="J31" i="5"/>
  <c r="J31" i="11"/>
  <c r="J31" i="6"/>
  <c r="J31" i="7"/>
  <c r="J16" i="1"/>
  <c r="N46" i="10"/>
  <c r="O46" i="10" s="1"/>
  <c r="P46" i="10" s="1"/>
  <c r="N42" i="10"/>
  <c r="O42" i="10" s="1"/>
  <c r="P42" i="10" s="1"/>
  <c r="O38" i="10"/>
  <c r="P38" i="10" s="1"/>
  <c r="O38" i="4"/>
  <c r="B19" i="1"/>
  <c r="B31" i="1" s="1"/>
  <c r="H31" i="11"/>
  <c r="H31" i="13"/>
  <c r="H31" i="12"/>
  <c r="H31" i="8"/>
  <c r="H31" i="9"/>
  <c r="H31" i="10"/>
  <c r="H31" i="7"/>
  <c r="I31" i="4"/>
  <c r="H31" i="5"/>
  <c r="H31" i="6"/>
  <c r="H16" i="1"/>
  <c r="N38" i="5"/>
  <c r="N20" i="1"/>
  <c r="N32" i="1" s="1"/>
  <c r="O329" i="2"/>
  <c r="N38" i="1" l="1"/>
  <c r="M34" i="1"/>
  <c r="M36" i="1"/>
  <c r="B34" i="1"/>
  <c r="B36" i="1"/>
  <c r="H38" i="1"/>
  <c r="H36" i="1"/>
  <c r="J34" i="1"/>
  <c r="J36" i="1"/>
  <c r="I120" i="16"/>
  <c r="K120" i="16" s="1"/>
  <c r="H34" i="1"/>
  <c r="N19" i="1"/>
  <c r="N29" i="1" s="1"/>
  <c r="P29" i="1" s="1"/>
  <c r="B29" i="1"/>
  <c r="H14" i="16"/>
  <c r="I14" i="16" s="1"/>
  <c r="I119" i="16"/>
  <c r="K119" i="16" s="1"/>
  <c r="K69" i="16"/>
  <c r="I70" i="16"/>
  <c r="O339" i="2"/>
  <c r="C128" i="16"/>
  <c r="O342" i="2"/>
  <c r="O46" i="4"/>
  <c r="O42" i="4"/>
  <c r="P42" i="4" s="1"/>
  <c r="Q42" i="4" s="1"/>
  <c r="N42" i="5"/>
  <c r="N50" i="5"/>
  <c r="C103" i="16" s="1"/>
  <c r="N46" i="5"/>
  <c r="N31" i="13"/>
  <c r="N31" i="12"/>
  <c r="O31" i="4"/>
  <c r="N31" i="7"/>
  <c r="N31" i="10"/>
  <c r="N31" i="11"/>
  <c r="N31" i="6"/>
  <c r="N31" i="8"/>
  <c r="N31" i="9"/>
  <c r="N31" i="5"/>
  <c r="I117" i="16"/>
  <c r="N31" i="1" l="1"/>
  <c r="H15" i="16"/>
  <c r="O63" i="1"/>
  <c r="O65" i="1" s="1"/>
  <c r="I122" i="16"/>
  <c r="K117" i="16"/>
  <c r="D128" i="16"/>
  <c r="D137" i="16" s="1"/>
  <c r="C130" i="16"/>
  <c r="C137" i="16" s="1"/>
  <c r="B108" i="1"/>
  <c r="N108" i="1" s="1"/>
  <c r="O50" i="1"/>
  <c r="P50" i="1" s="1"/>
  <c r="P16" i="1"/>
  <c r="Q16" i="1" s="1"/>
  <c r="N34" i="1" l="1"/>
  <c r="N36" i="1"/>
  <c r="I123" i="16"/>
  <c r="K122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<sst xmlns="http://schemas.openxmlformats.org/spreadsheetml/2006/main" count="2663" uniqueCount="270">
  <si>
    <t>Go to tabs:</t>
  </si>
  <si>
    <t>Rooms</t>
  </si>
  <si>
    <t>Food Revenue</t>
  </si>
  <si>
    <t>Beverage Revenue</t>
  </si>
  <si>
    <t>F&amp;B Mis Revenue</t>
  </si>
  <si>
    <t>Spa Revenue</t>
  </si>
  <si>
    <t>Retail Gift Shop</t>
  </si>
  <si>
    <t>Activities</t>
  </si>
  <si>
    <t>Transportation</t>
  </si>
  <si>
    <t>Innoceanna</t>
  </si>
  <si>
    <t>Sustainability Fee</t>
  </si>
  <si>
    <t>Laundry</t>
  </si>
  <si>
    <t>Enter 2026 monthly budget in B10:M10 of each tab. Summary pulls those cells.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</si>
  <si>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</si>
  <si>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</si>
  <si>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</si>
  <si>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</si>
  <si>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</si>
  <si>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</si>
  <si>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</si>
  <si>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</si>
  <si>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</si>
  <si>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</si>
  <si>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</si>
  <si>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</si>
  <si>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</si>
  <si>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2026 Revenue Budget – Summary</t>
  </si>
  <si>
    <t>Key Indicators 2026 (Budget)</t>
  </si>
  <si>
    <t>Indicator</t>
  </si>
  <si>
    <t>Total available Rooms</t>
  </si>
  <si>
    <t>Total Rooms Occupied</t>
  </si>
  <si>
    <t>Total Guests</t>
  </si>
  <si>
    <t>% Occupancy</t>
  </si>
  <si>
    <t>ADR</t>
  </si>
  <si>
    <t>TOTAL REVENUE</t>
  </si>
  <si>
    <t>2026 Revenue Budget – Summary ON THE BOOKS</t>
  </si>
  <si>
    <t>GAP</t>
  </si>
  <si>
    <t>Units Available</t>
  </si>
  <si>
    <t>Day per month</t>
  </si>
  <si>
    <t>Total Nights Available</t>
  </si>
  <si>
    <t>Units Category</t>
  </si>
  <si>
    <t>Corcovado Deluxe Villas, King bed</t>
  </si>
  <si>
    <t>Carate Deluxe Villa Double Beds</t>
  </si>
  <si>
    <t>Agujas Villa 2 Queen Beds</t>
  </si>
  <si>
    <t>Sirena Suites, Queen Bed (conecting)</t>
  </si>
  <si>
    <t>Treehouse king bed</t>
  </si>
  <si>
    <t>5 Elements Treehouse king bed</t>
  </si>
  <si>
    <t>Total</t>
  </si>
  <si>
    <t>Total Room Nights Available per Category</t>
  </si>
  <si>
    <t>Rack Rates Rooms only</t>
  </si>
  <si>
    <t>Room Type</t>
  </si>
  <si>
    <t xml:space="preserve">May </t>
  </si>
  <si>
    <t>% of  Sale by Channel</t>
  </si>
  <si>
    <t>% of Sale by Channel today and Proforma</t>
  </si>
  <si>
    <t>Forecast 2025</t>
  </si>
  <si>
    <t>Proforma</t>
  </si>
  <si>
    <t>Travel Agency</t>
  </si>
  <si>
    <t>OTAS</t>
  </si>
  <si>
    <t>DIRECT</t>
  </si>
  <si>
    <t>Commissions by Channel</t>
  </si>
  <si>
    <t>COMMISSIONS By channel</t>
  </si>
  <si>
    <t>Package Components by person 3DAYS</t>
  </si>
  <si>
    <t>RACK</t>
  </si>
  <si>
    <t>Notas</t>
  </si>
  <si>
    <t>Transfer In&amp;Out</t>
  </si>
  <si>
    <t>Se cobra $57.75 por viaje</t>
  </si>
  <si>
    <t>Breakfast Included</t>
  </si>
  <si>
    <t>Valor del desayuno $16.50</t>
  </si>
  <si>
    <t>Lunch Included</t>
  </si>
  <si>
    <t>valor del almuerzo $33</t>
  </si>
  <si>
    <t>Dinner Included</t>
  </si>
  <si>
    <t>valor de la Cena $49.50</t>
  </si>
  <si>
    <t>Snorkeling Tour</t>
  </si>
  <si>
    <t>Precio del tour $297</t>
  </si>
  <si>
    <t>PN Walk San Pedrillo</t>
  </si>
  <si>
    <t>Package Components by Night by person</t>
  </si>
  <si>
    <t>\</t>
  </si>
  <si>
    <t>Occupancy per Room PROPOSE TO PROFORMA</t>
  </si>
  <si>
    <t>We will need to go back up to 90 employees. I would model it after how we looked in the highest month this year on expenses, but for every month. I will put us out 85% occupancy January February March. April July August at 50 percent. November 60%. December 65 percent. And reduce June September and October to bring the total occupancy to 55% for the year.</t>
  </si>
  <si>
    <t>This is not what we will do in 2026. This maybe 2028 or whatever. At some point we will be at 60%</t>
  </si>
  <si>
    <t>Occupancy</t>
  </si>
  <si>
    <t>We can run the pro forma at 55%</t>
  </si>
  <si>
    <t>This is just a show what we will look like when we’re stabilized. This is not the 2026 budget.</t>
  </si>
  <si>
    <t>TOTAL REVENUE ACCORDING TO PROFORMA</t>
  </si>
  <si>
    <t>comision pagada para tarifa neta</t>
  </si>
  <si>
    <t>% VENTAS</t>
  </si>
  <si>
    <t>% COM</t>
  </si>
  <si>
    <t>SUMPRODUCT</t>
  </si>
  <si>
    <t>COMMISION PAID TO CHANNELS ACCORDING TO COMMISSIONS AND % OF SALE</t>
  </si>
  <si>
    <t>Paso 1 – Definir variables</t>
  </si>
  <si>
    <t>pip_ipi​ = participación de cada canal en ventas (ej. 50% agencias, 15% OTAs, 35% directas).</t>
  </si>
  <si>
    <t>Net rate after commissions</t>
  </si>
  <si>
    <t>NET RATE AFFECTED BY CHANNEL AND % COMMISION BY CHANNEL</t>
  </si>
  <si>
    <t>TOTAL PAX PER PROFORMA</t>
  </si>
  <si>
    <t>Pax per Room 1.76 per Room</t>
  </si>
  <si>
    <t>Total revenue package Components</t>
  </si>
  <si>
    <t>COMMISSION PACKAGE COMPONENTS</t>
  </si>
  <si>
    <t>NET VALUE PACKAGE COMPONENTS</t>
  </si>
  <si>
    <t>NET</t>
  </si>
  <si>
    <t xml:space="preserve">TOTAL REVENUE PROFORMA </t>
  </si>
  <si>
    <t>MODELO RESUMEN FINAL BUDGET 2026</t>
  </si>
  <si>
    <t>ON THE BOOKS</t>
  </si>
  <si>
    <t>Grand TOTAL</t>
  </si>
  <si>
    <t xml:space="preserve">Beverage Revenue </t>
  </si>
  <si>
    <t>Innoceana</t>
  </si>
  <si>
    <t>TOTAL OTHERS</t>
  </si>
  <si>
    <t>Grand TOTAL WITH OTHERS</t>
  </si>
  <si>
    <t>FY 2024</t>
  </si>
  <si>
    <t>TOTAL ROOMS AVAILABLE</t>
  </si>
  <si>
    <t>TOTAL ROOMS OCC</t>
  </si>
  <si>
    <t>TOTAL GUESTS</t>
  </si>
  <si>
    <t>% OCC</t>
  </si>
  <si>
    <t>DAILY REVENUE RATE</t>
  </si>
  <si>
    <t>ROOMS</t>
  </si>
  <si>
    <t xml:space="preserve">Food  Revenue </t>
  </si>
  <si>
    <t>LAUNDRY</t>
  </si>
  <si>
    <t>⟵ Back to Summary</t>
  </si>
  <si>
    <t>Rooms – Key Indicators &amp; Budget</t>
  </si>
  <si>
    <t>Key Indicators 2024</t>
  </si>
  <si>
    <t>Average Daily Room Only</t>
  </si>
  <si>
    <t>Key Indicators 2025</t>
  </si>
  <si>
    <t>Revenue by Month</t>
  </si>
  <si>
    <t>Label</t>
  </si>
  <si>
    <t>Revenue 2024</t>
  </si>
  <si>
    <t>Revenue 2025</t>
  </si>
  <si>
    <t>Revenue 2026 Budget</t>
  </si>
  <si>
    <t>Food Revenue – Key Indicators &amp; Budget</t>
  </si>
  <si>
    <t>Revenue per Occupied Room 2024</t>
  </si>
  <si>
    <t>Revenue per Occupied Room 2025</t>
  </si>
  <si>
    <t>Revenue per Occupied Room 2026</t>
  </si>
  <si>
    <t>Revenue by  Guest 2024</t>
  </si>
  <si>
    <t>Revenue by  Guest 2025</t>
  </si>
  <si>
    <t>Revenue by  Guest 2026</t>
  </si>
  <si>
    <t>Drivers (Assumptions)</t>
  </si>
  <si>
    <t>Driver</t>
  </si>
  <si>
    <t>Definition / Notes</t>
  </si>
  <si>
    <t>Value / Unit</t>
  </si>
  <si>
    <t>Driver 1</t>
  </si>
  <si>
    <t>Driver 2</t>
  </si>
  <si>
    <t>Beverage Revenue – Key Indicators &amp; Budget</t>
  </si>
  <si>
    <t>Miscellaneous Revnue F&amp;B – Key Indicators &amp; Budget</t>
  </si>
  <si>
    <t>Spa Revenue – Key Indicators &amp; Budget</t>
  </si>
  <si>
    <t>Retail Gift Shop – Key Indicators &amp; Budget</t>
  </si>
  <si>
    <t>Activities – Key Indicators &amp; Budget</t>
  </si>
  <si>
    <t>Transportation – Key Indicators &amp; Budget</t>
  </si>
  <si>
    <t>Innoceanna – Key Indicators &amp; Budget</t>
  </si>
  <si>
    <t>Sustainability Fee – Key Indicators &amp; Budget</t>
  </si>
  <si>
    <t>Laundry – Key Indicators &amp; Budget</t>
  </si>
  <si>
    <t xml:space="preserve"> BUDGET 2025</t>
  </si>
  <si>
    <t>PROPOSAL BLAKE`S</t>
  </si>
  <si>
    <t>HOLIDAY SEASON</t>
  </si>
  <si>
    <t>DEC 15TH,2024 TO JAN 05TH, 2025</t>
  </si>
  <si>
    <t>DEC 21TH,2025 TO JAN 05TH, 2026</t>
  </si>
  <si>
    <t>ADULTS SINGLE</t>
  </si>
  <si>
    <t>ADULTS DOUBLE</t>
  </si>
  <si>
    <t>ADULTS TPL/QDPL</t>
  </si>
  <si>
    <t>CHILDREN</t>
  </si>
  <si>
    <t>NETA</t>
  </si>
  <si>
    <t xml:space="preserve"> </t>
  </si>
  <si>
    <t xml:space="preserve">FIVE ELEMENTS OCEAN VIEW TREEHOUSE </t>
  </si>
  <si>
    <t>NA</t>
  </si>
  <si>
    <t xml:space="preserve">OCEAN VIEW SPA TREEHOUSE </t>
  </si>
  <si>
    <t>OCEAN VIEW TREEHOUSE</t>
  </si>
  <si>
    <t xml:space="preserve">DULCE RAINFOREST VILLA </t>
  </si>
  <si>
    <t xml:space="preserve">CORCOVADO RAINFOREST VILLA </t>
  </si>
  <si>
    <t>CARATE RAINFOREST VILLA</t>
  </si>
  <si>
    <t>AGUJAS RAINFOREST SUITE</t>
  </si>
  <si>
    <t xml:space="preserve">SIRENA RAINFOREST SUITE </t>
  </si>
  <si>
    <t xml:space="preserve">LlORONA RAINFOREST SUITE </t>
  </si>
  <si>
    <t>$ Increase versus 2026 Versus 2025</t>
  </si>
  <si>
    <t>% Increase versus 2026 Versus 2025</t>
  </si>
  <si>
    <t>average</t>
  </si>
  <si>
    <t>HIGH SEASON</t>
  </si>
  <si>
    <t>JAN 06, 2025 TO APRIL 30TH, 2025</t>
  </si>
  <si>
    <t>JAN 06, 2026 TO APRIL 30TH, 2026</t>
  </si>
  <si>
    <t xml:space="preserve">GREEN SEASON															</t>
  </si>
  <si>
    <t>May  06, 2025 TO AGUST 31TH, 2025</t>
  </si>
  <si>
    <t>MAY 01ST, 2026 TO AUGUST 31ST, 2026</t>
  </si>
  <si>
    <t>SEPT 01ST, 2025 TO DEC 20TH, 2026</t>
  </si>
  <si>
    <t xml:space="preserve">
SEPT 01ST, 2026 TO DEC 20TH, 2026</t>
  </si>
  <si>
    <t>LIGIA PUT IN THE 2026 RATES</t>
  </si>
  <si>
    <t>NEW CHANNELS</t>
  </si>
  <si>
    <t xml:space="preserve">Increase from 2025 to 2026 RN </t>
  </si>
  <si>
    <t>Increase from 2025 to 2026 Rev</t>
  </si>
  <si>
    <t>Revenue by Monthper Year</t>
  </si>
  <si>
    <t>Sales By Q[s</t>
  </si>
  <si>
    <t>RATE</t>
  </si>
  <si>
    <t>Key Indicators 2025 (Forecast)</t>
  </si>
  <si>
    <t>2024 Revenue Actual – Summary</t>
  </si>
  <si>
    <t>Key Indicators 2024 (Actual)</t>
  </si>
  <si>
    <t>as of Today  October 28th,  2025 from Opera on the book report.</t>
  </si>
  <si>
    <t>% sobre Food 2024</t>
  </si>
  <si>
    <t>Sold in Hotel</t>
  </si>
  <si>
    <t>2025 Revenue Forecast – Summary</t>
  </si>
  <si>
    <t>Total Rooms Available</t>
  </si>
  <si>
    <t>% Ocupancy</t>
  </si>
  <si>
    <t>Total Room Revenue</t>
  </si>
  <si>
    <t>Total Guest</t>
  </si>
  <si>
    <t>% Increase</t>
  </si>
  <si>
    <t>Guests per Room</t>
  </si>
  <si>
    <t>Points</t>
  </si>
  <si>
    <t>FINAL RATES 2026</t>
  </si>
  <si>
    <t>ANALYSI</t>
  </si>
  <si>
    <t>Average</t>
  </si>
  <si>
    <t>Min</t>
  </si>
  <si>
    <t>Max</t>
  </si>
  <si>
    <t>Sept</t>
  </si>
  <si>
    <t>Nov</t>
  </si>
  <si>
    <t>Dic</t>
  </si>
  <si>
    <t>Average Full Year</t>
  </si>
  <si>
    <t>Rack Revenue</t>
  </si>
  <si>
    <t>Commissions paid</t>
  </si>
  <si>
    <t>Net Revenue</t>
  </si>
  <si>
    <t>Season</t>
  </si>
  <si>
    <t>High Season</t>
  </si>
  <si>
    <t>shoulder Season</t>
  </si>
  <si>
    <t>Low Season</t>
  </si>
  <si>
    <t>revenue</t>
  </si>
  <si>
    <t>Total RN</t>
  </si>
  <si>
    <t>Total Rev</t>
  </si>
  <si>
    <t>Shoulder Season</t>
  </si>
  <si>
    <t>December to</t>
  </si>
  <si>
    <t>May to Aug + Nov</t>
  </si>
  <si>
    <t>Sep-Oct</t>
  </si>
  <si>
    <t>Revenue by Quarter</t>
  </si>
  <si>
    <t>PACKAGE COMPONENTS ANALYSIS</t>
  </si>
  <si>
    <t>Q1</t>
  </si>
  <si>
    <t>Q2</t>
  </si>
  <si>
    <t>Q3</t>
  </si>
  <si>
    <t>Q4</t>
  </si>
  <si>
    <t>Frcst 2025 versus</t>
  </si>
  <si>
    <t>Budget 2026</t>
  </si>
  <si>
    <t>ADD-ONS RACK (3 Nights)</t>
  </si>
  <si>
    <t>Per Pax</t>
  </si>
  <si>
    <t>Per Night</t>
  </si>
  <si>
    <t>Total:</t>
  </si>
  <si>
    <t>Budget 2025</t>
  </si>
  <si>
    <t>Fee</t>
  </si>
  <si>
    <t>STAY</t>
  </si>
  <si>
    <t>Sustainability Tax</t>
  </si>
  <si>
    <t>Per Night per Pax</t>
  </si>
  <si>
    <t>TOTAL PACKAGE</t>
  </si>
  <si>
    <t>Additional components</t>
  </si>
  <si>
    <t>% sobre Food 2025</t>
  </si>
  <si>
    <t>% sobre Food 2026</t>
  </si>
  <si>
    <t>Room Revenues</t>
  </si>
  <si>
    <t>Retail Revenue based on Room Revenues</t>
  </si>
  <si>
    <t>1.2% based on Rooms Revenue</t>
  </si>
  <si>
    <t>.50% based on Rooms Revenue</t>
  </si>
  <si>
    <t>TOTAL REVENUE WITH COMPONENTS</t>
  </si>
  <si>
    <t>33% based on Food Revenue</t>
  </si>
  <si>
    <t>2.5 Massage per day at $75 average Rate</t>
  </si>
  <si>
    <t>Go to Total Chart</t>
  </si>
  <si>
    <t>Rack Rooms Revenue</t>
  </si>
  <si>
    <t>Components  Rack Revenue</t>
  </si>
  <si>
    <t>Total Rack Revenue</t>
  </si>
  <si>
    <t>Commissions Rooms</t>
  </si>
  <si>
    <t>Commission Packages</t>
  </si>
  <si>
    <t>Total Commisions</t>
  </si>
  <si>
    <t>Net Hotel REVENUE</t>
  </si>
  <si>
    <t>% occupancy INPUT LIGIA</t>
  </si>
  <si>
    <t>GO BACK</t>
  </si>
  <si>
    <t>BUDGET 2026</t>
  </si>
  <si>
    <t>Actual 2025</t>
  </si>
  <si>
    <t>Increased</t>
  </si>
  <si>
    <t>Hotel Package</t>
  </si>
  <si>
    <t>Hotel Sales on Property</t>
  </si>
  <si>
    <t>Relation Package and Property Sales</t>
  </si>
  <si>
    <t>Relation Rooms Only  and Property Sales</t>
  </si>
  <si>
    <t>NET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</si>
</sst>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_(* #,##0_);_(* \(#,##0\);_(* &quot;-&quot;??_);_(@_)"/>
    <numFmt numFmtId="166" formatCode="#,##0.000000000"/>
    <numFmt numFmtId="167" formatCode="[$$-540A]#,##0;[Red][$$-540A]#,##0"/>
    <numFmt numFmtId="168" formatCode="&quot;$&quot;#,##0"/>
    <numFmt numFmtId="169" formatCode="_-* #,##0.00_-;\-* #,##0.00_-;_-* &quot;-&quot;??_-;_-@"/>
    <numFmt numFmtId="170" formatCode="0.00000"/>
    <numFmt numFmtId="171" formatCode="_([$$-409]* #,##0.00_);_([$$-409]* \(#,##0.00\);_([$$-409]* &quot;-&quot;??_);_(@_)"/>
    <numFmt numFmtId="172" formatCode="0.0%"/>
    <numFmt numFmtId="173" formatCode="_-* #,##0.0000_-;\-* #,##0.0000_-;_-* &quot;-&quot;??_-;_-@"/>
    <numFmt numFmtId="174" formatCode="&quot;$&quot;#,##0.00"/>
    <numFmt numFmtId="175" formatCode="[$$-45C]#,##0.00"/>
    <numFmt numFmtId="176" formatCode="0.000%"/>
    <numFmt numFmtId="177" formatCode="[$$-540A]#,##0.0;[Red][$$-540A]#,##0.0"/>
  </numFmts>
  <fonts count="6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2"/>
      <color theme="10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b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rgb="FFFF0000"/>
      <name val="Calibri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24"/>
      <color rgb="FFFF0000"/>
      <name val="Arial"/>
      <family val="2"/>
    </font>
    <font>
      <b/>
      <sz val="10"/>
      <color theme="1"/>
      <name val="Arial"/>
      <family val="2"/>
    </font>
    <font>
      <u/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20"/>
      <color rgb="FFFF0000"/>
      <name val="Calibri"/>
      <family val="2"/>
    </font>
    <font>
      <b/>
      <sz val="10"/>
      <color rgb="FF000000"/>
      <name val="Spectral"/>
    </font>
    <font>
      <b/>
      <sz val="9"/>
      <color rgb="FF000000"/>
      <name val="Spectral"/>
    </font>
    <font>
      <sz val="9"/>
      <color rgb="FF000000"/>
      <name val="Arial"/>
      <family val="2"/>
    </font>
    <font>
      <sz val="10"/>
      <color theme="1"/>
      <name val="Spectral"/>
    </font>
    <font>
      <sz val="9"/>
      <color theme="1"/>
      <name val="Arial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Spectral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3"/>
      <name val="Arial"/>
      <family val="2"/>
    </font>
    <font>
      <b/>
      <sz val="10"/>
      <color theme="3"/>
      <name val="Arial"/>
      <family val="2"/>
    </font>
    <font>
      <b/>
      <sz val="22"/>
      <color rgb="FFFF0000"/>
      <name val="Arial"/>
      <family val="2"/>
    </font>
    <font>
      <b/>
      <sz val="22"/>
      <name val="Calibri"/>
      <family val="2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b/>
      <sz val="18"/>
      <color rgb="FFFF0000"/>
      <name val="Calibri"/>
      <family val="2"/>
    </font>
    <font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Aptos Narrow"/>
      <family val="2"/>
    </font>
    <font>
      <sz val="14"/>
      <name val="Aptos Narrow"/>
      <family val="2"/>
    </font>
    <font>
      <b/>
      <sz val="14"/>
      <name val="Aptos Narrow"/>
      <family val="2"/>
    </font>
    <font>
      <sz val="24"/>
      <color rgb="FFFF0000"/>
      <name val="Arial"/>
      <family val="2"/>
    </font>
    <font>
      <b/>
      <sz val="26"/>
      <color rgb="FFFF0000"/>
      <name val="Calibri"/>
      <family val="2"/>
      <scheme val="minor"/>
    </font>
    <font>
      <b/>
      <sz val="26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92CDDC"/>
        <bgColor rgb="FF92CDDC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E5DFEC"/>
        <bgColor rgb="FFE5DFE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2A1C7"/>
        <bgColor rgb="FFB2A1C7"/>
      </patternFill>
    </fill>
    <fill>
      <patternFill patternType="solid">
        <fgColor rgb="FFE2EFDA"/>
        <bgColor rgb="FFE2EFDA"/>
      </patternFill>
    </fill>
    <fill>
      <patternFill patternType="solid">
        <fgColor rgb="FF93C47D"/>
        <bgColor rgb="FF93C47D"/>
      </patternFill>
    </fill>
    <fill>
      <patternFill patternType="solid">
        <fgColor rgb="FF00B0F0"/>
        <bgColor rgb="FF00B0F0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9594"/>
      </patternFill>
    </fill>
    <fill>
      <patternFill patternType="solid">
        <fgColor theme="0"/>
        <bgColor rgb="FFF2DBD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5B8B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BE5F1"/>
      </patternFill>
    </fill>
  </fills>
  <borders count="1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783F04"/>
      </bottom>
      <diagonal/>
    </border>
    <border>
      <left style="thin">
        <color rgb="FF783F04"/>
      </left>
      <right/>
      <top style="thin">
        <color rgb="FF783F04"/>
      </top>
      <bottom style="thin">
        <color rgb="FF783F04"/>
      </bottom>
      <diagonal/>
    </border>
    <border>
      <left/>
      <right/>
      <top style="thin">
        <color rgb="FF783F04"/>
      </top>
      <bottom style="thin">
        <color rgb="FF783F04"/>
      </bottom>
      <diagonal/>
    </border>
    <border>
      <left/>
      <right style="thin">
        <color rgb="FF783F04"/>
      </right>
      <top style="thin">
        <color rgb="FF783F04"/>
      </top>
      <bottom style="thin">
        <color rgb="FF783F04"/>
      </bottom>
      <diagonal/>
    </border>
    <border>
      <left style="medium">
        <color rgb="FF783F04"/>
      </left>
      <right/>
      <top style="medium">
        <color rgb="FF783F04"/>
      </top>
      <bottom style="medium">
        <color rgb="FF783F04"/>
      </bottom>
      <diagonal/>
    </border>
    <border>
      <left/>
      <right/>
      <top style="medium">
        <color rgb="FF783F04"/>
      </top>
      <bottom style="medium">
        <color rgb="FF783F04"/>
      </bottom>
      <diagonal/>
    </border>
    <border>
      <left/>
      <right style="medium">
        <color rgb="FF783F04"/>
      </right>
      <top style="medium">
        <color rgb="FF783F04"/>
      </top>
      <bottom style="medium">
        <color rgb="FF783F04"/>
      </bottom>
      <diagonal/>
    </border>
    <border>
      <left style="thin">
        <color rgb="FF783F04"/>
      </left>
      <right style="thin">
        <color rgb="FF783F04"/>
      </right>
      <top style="thin">
        <color rgb="FF783F04"/>
      </top>
      <bottom style="thin">
        <color rgb="FF783F0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783F04"/>
      </left>
      <right/>
      <top style="thin">
        <color rgb="FF783F04"/>
      </top>
      <bottom/>
      <diagonal/>
    </border>
    <border>
      <left/>
      <right/>
      <top style="thin">
        <color rgb="FF783F04"/>
      </top>
      <bottom/>
      <diagonal/>
    </border>
    <border>
      <left/>
      <right style="thin">
        <color rgb="FF783F04"/>
      </right>
      <top style="thin">
        <color rgb="FF783F04"/>
      </top>
      <bottom/>
      <diagonal/>
    </border>
    <border>
      <left style="medium">
        <color rgb="FF783F04"/>
      </left>
      <right/>
      <top style="medium">
        <color rgb="FF783F04"/>
      </top>
      <bottom/>
      <diagonal/>
    </border>
    <border>
      <left/>
      <right/>
      <top style="medium">
        <color rgb="FF783F04"/>
      </top>
      <bottom/>
      <diagonal/>
    </border>
    <border>
      <left/>
      <right style="medium">
        <color rgb="FF783F04"/>
      </right>
      <top style="medium">
        <color rgb="FF783F04"/>
      </top>
      <bottom/>
      <diagonal/>
    </border>
    <border>
      <left style="thin">
        <color rgb="FF783F04"/>
      </left>
      <right/>
      <top/>
      <bottom style="thin">
        <color rgb="FF783F04"/>
      </bottom>
      <diagonal/>
    </border>
    <border>
      <left/>
      <right style="thin">
        <color rgb="FF783F04"/>
      </right>
      <top/>
      <bottom style="thin">
        <color rgb="FF783F04"/>
      </bottom>
      <diagonal/>
    </border>
    <border>
      <left style="medium">
        <color rgb="FF783F04"/>
      </left>
      <right/>
      <top/>
      <bottom style="medium">
        <color rgb="FF783F04"/>
      </bottom>
      <diagonal/>
    </border>
    <border>
      <left/>
      <right/>
      <top/>
      <bottom style="medium">
        <color rgb="FF783F04"/>
      </bottom>
      <diagonal/>
    </border>
    <border>
      <left/>
      <right style="medium">
        <color rgb="FF783F04"/>
      </right>
      <top/>
      <bottom style="medium">
        <color rgb="FF783F0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43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53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2" fillId="0" borderId="9"/>
    <xf numFmtId="43" fontId="2" fillId="0" borderId="9" applyFont="0" applyFill="0" applyBorder="0" applyAlignment="0" applyProtection="0"/>
    <xf numFmtId="9" fontId="2" fillId="0" borderId="9" applyFont="0" applyFill="0" applyBorder="0" applyAlignment="0" applyProtection="0"/>
    <xf numFmtId="0" fontId="1" fillId="0" borderId="9"/>
  </cellStyleXfs>
  <cellXfs count="572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9" fillId="0" borderId="0" xfId="0" applyFont="1"/>
    <xf numFmtId="0" fontId="10" fillId="0" borderId="0" xfId="0" applyFont="1"/>
    <xf numFmtId="0" fontId="11" fillId="2" borderId="3" xfId="0" applyFont="1" applyFill="1" applyBorder="1"/>
    <xf numFmtId="0" fontId="6" fillId="3" borderId="4" xfId="0" applyFont="1" applyFill="1" applyBorder="1"/>
    <xf numFmtId="164" fontId="12" fillId="0" borderId="0" xfId="0" applyNumberFormat="1" applyFont="1"/>
    <xf numFmtId="164" fontId="6" fillId="4" borderId="5" xfId="0" applyNumberFormat="1" applyFont="1" applyFill="1" applyBorder="1"/>
    <xf numFmtId="0" fontId="12" fillId="0" borderId="6" xfId="0" applyFont="1" applyBorder="1"/>
    <xf numFmtId="165" fontId="12" fillId="0" borderId="0" xfId="0" applyNumberFormat="1" applyFont="1" applyAlignment="1">
      <alignment horizontal="center"/>
    </xf>
    <xf numFmtId="165" fontId="12" fillId="5" borderId="7" xfId="0" applyNumberFormat="1" applyFont="1" applyFill="1" applyBorder="1" applyAlignment="1">
      <alignment horizontal="center"/>
    </xf>
    <xf numFmtId="165" fontId="12" fillId="5" borderId="8" xfId="0" applyNumberFormat="1" applyFont="1" applyFill="1" applyBorder="1" applyAlignment="1">
      <alignment horizontal="center"/>
    </xf>
    <xf numFmtId="10" fontId="12" fillId="0" borderId="0" xfId="0" applyNumberFormat="1" applyFont="1"/>
    <xf numFmtId="10" fontId="12" fillId="5" borderId="8" xfId="0" applyNumberFormat="1" applyFont="1" applyFill="1" applyBorder="1"/>
    <xf numFmtId="164" fontId="12" fillId="5" borderId="8" xfId="0" applyNumberFormat="1" applyFont="1" applyFill="1" applyBorder="1"/>
    <xf numFmtId="0" fontId="12" fillId="4" borderId="4" xfId="0" applyFont="1" applyFill="1" applyBorder="1"/>
    <xf numFmtId="164" fontId="12" fillId="4" borderId="9" xfId="0" applyNumberFormat="1" applyFont="1" applyFill="1" applyBorder="1"/>
    <xf numFmtId="164" fontId="6" fillId="5" borderId="8" xfId="0" applyNumberFormat="1" applyFont="1" applyFill="1" applyBorder="1"/>
    <xf numFmtId="0" fontId="12" fillId="4" borderId="9" xfId="0" applyFont="1" applyFill="1" applyBorder="1"/>
    <xf numFmtId="0" fontId="13" fillId="0" borderId="6" xfId="0" applyFont="1" applyBorder="1"/>
    <xf numFmtId="0" fontId="14" fillId="0" borderId="10" xfId="0" applyFont="1" applyBorder="1"/>
    <xf numFmtId="164" fontId="12" fillId="0" borderId="11" xfId="0" applyNumberFormat="1" applyFont="1" applyBorder="1"/>
    <xf numFmtId="164" fontId="6" fillId="5" borderId="12" xfId="0" applyNumberFormat="1" applyFont="1" applyFill="1" applyBorder="1"/>
    <xf numFmtId="0" fontId="15" fillId="5" borderId="13" xfId="0" applyFont="1" applyFill="1" applyBorder="1"/>
    <xf numFmtId="164" fontId="6" fillId="5" borderId="14" xfId="0" applyNumberFormat="1" applyFont="1" applyFill="1" applyBorder="1"/>
    <xf numFmtId="164" fontId="6" fillId="5" borderId="15" xfId="0" applyNumberFormat="1" applyFont="1" applyFill="1" applyBorder="1"/>
    <xf numFmtId="0" fontId="16" fillId="0" borderId="0" xfId="0" applyFont="1"/>
    <xf numFmtId="44" fontId="12" fillId="0" borderId="0" xfId="0" applyNumberFormat="1" applyFont="1"/>
    <xf numFmtId="166" fontId="12" fillId="0" borderId="0" xfId="0" applyNumberFormat="1" applyFont="1"/>
    <xf numFmtId="0" fontId="17" fillId="0" borderId="0" xfId="0" applyFont="1"/>
    <xf numFmtId="0" fontId="12" fillId="6" borderId="9" xfId="0" applyFont="1" applyFill="1" applyBorder="1"/>
    <xf numFmtId="4" fontId="12" fillId="0" borderId="0" xfId="0" applyNumberFormat="1" applyFont="1"/>
    <xf numFmtId="0" fontId="18" fillId="0" borderId="0" xfId="0" applyFont="1"/>
    <xf numFmtId="14" fontId="19" fillId="6" borderId="9" xfId="0" applyNumberFormat="1" applyFont="1" applyFill="1" applyBorder="1"/>
    <xf numFmtId="14" fontId="19" fillId="7" borderId="9" xfId="0" applyNumberFormat="1" applyFont="1" applyFill="1" applyBorder="1"/>
    <xf numFmtId="14" fontId="19" fillId="8" borderId="9" xfId="0" applyNumberFormat="1" applyFont="1" applyFill="1" applyBorder="1"/>
    <xf numFmtId="14" fontId="19" fillId="0" borderId="0" xfId="0" applyNumberFormat="1" applyFont="1"/>
    <xf numFmtId="0" fontId="20" fillId="0" borderId="0" xfId="0" applyFont="1"/>
    <xf numFmtId="0" fontId="21" fillId="9" borderId="13" xfId="0" applyFont="1" applyFill="1" applyBorder="1"/>
    <xf numFmtId="0" fontId="21" fillId="9" borderId="14" xfId="0" applyFont="1" applyFill="1" applyBorder="1"/>
    <xf numFmtId="0" fontId="21" fillId="9" borderId="16" xfId="0" applyFont="1" applyFill="1" applyBorder="1"/>
    <xf numFmtId="0" fontId="18" fillId="10" borderId="13" xfId="0" applyFont="1" applyFill="1" applyBorder="1"/>
    <xf numFmtId="0" fontId="18" fillId="10" borderId="14" xfId="0" applyFont="1" applyFill="1" applyBorder="1"/>
    <xf numFmtId="0" fontId="18" fillId="10" borderId="16" xfId="0" applyFont="1" applyFill="1" applyBorder="1"/>
    <xf numFmtId="0" fontId="10" fillId="0" borderId="17" xfId="0" applyFont="1" applyBorder="1"/>
    <xf numFmtId="0" fontId="22" fillId="0" borderId="17" xfId="0" applyFont="1" applyBorder="1" applyAlignment="1">
      <alignment horizontal="center"/>
    </xf>
    <xf numFmtId="0" fontId="18" fillId="0" borderId="17" xfId="0" applyFont="1" applyBorder="1"/>
    <xf numFmtId="167" fontId="18" fillId="0" borderId="17" xfId="0" applyNumberFormat="1" applyFont="1" applyBorder="1" applyAlignment="1">
      <alignment horizontal="center"/>
    </xf>
    <xf numFmtId="0" fontId="23" fillId="0" borderId="0" xfId="0" applyFont="1"/>
    <xf numFmtId="0" fontId="24" fillId="0" borderId="0" xfId="0" applyFont="1"/>
    <xf numFmtId="10" fontId="18" fillId="0" borderId="0" xfId="0" applyNumberFormat="1" applyFont="1"/>
    <xf numFmtId="10" fontId="23" fillId="0" borderId="0" xfId="0" applyNumberFormat="1" applyFont="1"/>
    <xf numFmtId="10" fontId="21" fillId="9" borderId="14" xfId="0" applyNumberFormat="1" applyFont="1" applyFill="1" applyBorder="1"/>
    <xf numFmtId="10" fontId="21" fillId="9" borderId="16" xfId="0" applyNumberFormat="1" applyFont="1" applyFill="1" applyBorder="1"/>
    <xf numFmtId="168" fontId="19" fillId="0" borderId="20" xfId="0" applyNumberFormat="1" applyFont="1" applyBorder="1" applyAlignment="1">
      <alignment horizontal="center" vertical="top"/>
    </xf>
    <xf numFmtId="168" fontId="19" fillId="0" borderId="21" xfId="0" applyNumberFormat="1" applyFont="1" applyBorder="1" applyAlignment="1">
      <alignment horizontal="center" vertical="top"/>
    </xf>
    <xf numFmtId="7" fontId="23" fillId="6" borderId="9" xfId="0" applyNumberFormat="1" applyFont="1" applyFill="1" applyBorder="1"/>
    <xf numFmtId="7" fontId="18" fillId="0" borderId="0" xfId="0" applyNumberFormat="1" applyFont="1"/>
    <xf numFmtId="0" fontId="21" fillId="0" borderId="22" xfId="0" applyFont="1" applyBorder="1"/>
    <xf numFmtId="7" fontId="21" fillId="0" borderId="23" xfId="0" applyNumberFormat="1" applyFont="1" applyBorder="1"/>
    <xf numFmtId="7" fontId="12" fillId="0" borderId="0" xfId="0" applyNumberFormat="1" applyFont="1"/>
    <xf numFmtId="169" fontId="21" fillId="0" borderId="23" xfId="0" applyNumberFormat="1" applyFont="1" applyBorder="1"/>
    <xf numFmtId="9" fontId="18" fillId="0" borderId="0" xfId="0" applyNumberFormat="1" applyFont="1"/>
    <xf numFmtId="3" fontId="18" fillId="0" borderId="17" xfId="0" applyNumberFormat="1" applyFont="1" applyBorder="1" applyAlignment="1">
      <alignment horizontal="center"/>
    </xf>
    <xf numFmtId="3" fontId="18" fillId="0" borderId="0" xfId="0" applyNumberFormat="1" applyFont="1"/>
    <xf numFmtId="10" fontId="26" fillId="7" borderId="9" xfId="0" applyNumberFormat="1" applyFont="1" applyFill="1" applyBorder="1"/>
    <xf numFmtId="168" fontId="18" fillId="0" borderId="17" xfId="0" applyNumberFormat="1" applyFont="1" applyBorder="1" applyAlignment="1">
      <alignment horizontal="center"/>
    </xf>
    <xf numFmtId="168" fontId="18" fillId="0" borderId="0" xfId="0" applyNumberFormat="1" applyFont="1"/>
    <xf numFmtId="0" fontId="21" fillId="10" borderId="9" xfId="0" applyFont="1" applyFill="1" applyBorder="1"/>
    <xf numFmtId="168" fontId="21" fillId="10" borderId="9" xfId="0" applyNumberFormat="1" applyFont="1" applyFill="1" applyBorder="1"/>
    <xf numFmtId="0" fontId="20" fillId="9" borderId="9" xfId="0" applyFont="1" applyFill="1" applyBorder="1"/>
    <xf numFmtId="170" fontId="18" fillId="11" borderId="15" xfId="0" applyNumberFormat="1" applyFont="1" applyFill="1" applyBorder="1"/>
    <xf numFmtId="0" fontId="2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171" fontId="12" fillId="0" borderId="0" xfId="0" applyNumberFormat="1" applyFont="1" applyAlignment="1">
      <alignment horizontal="center"/>
    </xf>
    <xf numFmtId="171" fontId="18" fillId="0" borderId="0" xfId="0" applyNumberFormat="1" applyFont="1"/>
    <xf numFmtId="172" fontId="12" fillId="0" borderId="0" xfId="0" applyNumberFormat="1" applyFont="1"/>
    <xf numFmtId="168" fontId="18" fillId="0" borderId="25" xfId="0" applyNumberFormat="1" applyFont="1" applyBorder="1" applyAlignment="1">
      <alignment horizontal="center"/>
    </xf>
    <xf numFmtId="168" fontId="18" fillId="10" borderId="17" xfId="0" applyNumberFormat="1" applyFont="1" applyFill="1" applyBorder="1" applyAlignment="1">
      <alignment horizontal="center"/>
    </xf>
    <xf numFmtId="168" fontId="18" fillId="10" borderId="26" xfId="0" applyNumberFormat="1" applyFont="1" applyFill="1" applyBorder="1" applyAlignment="1">
      <alignment horizontal="center"/>
    </xf>
    <xf numFmtId="173" fontId="29" fillId="7" borderId="15" xfId="0" applyNumberFormat="1" applyFont="1" applyFill="1" applyBorder="1" applyAlignment="1">
      <alignment horizontal="center"/>
    </xf>
    <xf numFmtId="3" fontId="21" fillId="10" borderId="9" xfId="0" applyNumberFormat="1" applyFont="1" applyFill="1" applyBorder="1"/>
    <xf numFmtId="168" fontId="19" fillId="0" borderId="0" xfId="0" applyNumberFormat="1" applyFont="1" applyAlignment="1">
      <alignment horizontal="center" vertical="top"/>
    </xf>
    <xf numFmtId="174" fontId="12" fillId="0" borderId="0" xfId="0" applyNumberFormat="1" applyFont="1"/>
    <xf numFmtId="174" fontId="18" fillId="0" borderId="0" xfId="0" applyNumberFormat="1" applyFont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8" fillId="9" borderId="13" xfId="0" applyFont="1" applyFill="1" applyBorder="1"/>
    <xf numFmtId="168" fontId="18" fillId="9" borderId="14" xfId="0" applyNumberFormat="1" applyFont="1" applyFill="1" applyBorder="1"/>
    <xf numFmtId="168" fontId="18" fillId="9" borderId="16" xfId="0" applyNumberFormat="1" applyFont="1" applyFill="1" applyBorder="1"/>
    <xf numFmtId="7" fontId="18" fillId="9" borderId="14" xfId="0" applyNumberFormat="1" applyFont="1" applyFill="1" applyBorder="1"/>
    <xf numFmtId="7" fontId="18" fillId="9" borderId="16" xfId="0" applyNumberFormat="1" applyFont="1" applyFill="1" applyBorder="1"/>
    <xf numFmtId="174" fontId="18" fillId="9" borderId="14" xfId="0" applyNumberFormat="1" applyFont="1" applyFill="1" applyBorder="1"/>
    <xf numFmtId="174" fontId="18" fillId="9" borderId="16" xfId="0" applyNumberFormat="1" applyFont="1" applyFill="1" applyBorder="1"/>
    <xf numFmtId="0" fontId="30" fillId="0" borderId="0" xfId="0" applyFont="1"/>
    <xf numFmtId="0" fontId="29" fillId="9" borderId="13" xfId="0" applyFont="1" applyFill="1" applyBorder="1"/>
    <xf numFmtId="0" fontId="29" fillId="9" borderId="14" xfId="0" applyFont="1" applyFill="1" applyBorder="1"/>
    <xf numFmtId="0" fontId="29" fillId="9" borderId="16" xfId="0" applyFont="1" applyFill="1" applyBorder="1"/>
    <xf numFmtId="171" fontId="12" fillId="0" borderId="0" xfId="0" applyNumberFormat="1" applyFont="1"/>
    <xf numFmtId="171" fontId="12" fillId="4" borderId="9" xfId="0" applyNumberFormat="1" applyFont="1" applyFill="1" applyBorder="1"/>
    <xf numFmtId="171" fontId="21" fillId="4" borderId="9" xfId="0" applyNumberFormat="1" applyFont="1" applyFill="1" applyBorder="1"/>
    <xf numFmtId="7" fontId="18" fillId="4" borderId="9" xfId="0" applyNumberFormat="1" applyFont="1" applyFill="1" applyBorder="1"/>
    <xf numFmtId="7" fontId="21" fillId="4" borderId="9" xfId="0" applyNumberFormat="1" applyFont="1" applyFill="1" applyBorder="1"/>
    <xf numFmtId="0" fontId="19" fillId="9" borderId="13" xfId="0" applyFont="1" applyFill="1" applyBorder="1"/>
    <xf numFmtId="171" fontId="21" fillId="9" borderId="14" xfId="0" applyNumberFormat="1" applyFont="1" applyFill="1" applyBorder="1"/>
    <xf numFmtId="0" fontId="6" fillId="5" borderId="27" xfId="0" applyFont="1" applyFill="1" applyBorder="1"/>
    <xf numFmtId="0" fontId="6" fillId="5" borderId="28" xfId="0" applyFont="1" applyFill="1" applyBorder="1"/>
    <xf numFmtId="0" fontId="6" fillId="5" borderId="29" xfId="0" applyFont="1" applyFill="1" applyBorder="1"/>
    <xf numFmtId="165" fontId="12" fillId="4" borderId="9" xfId="0" applyNumberFormat="1" applyFont="1" applyFill="1" applyBorder="1" applyAlignment="1">
      <alignment horizontal="center"/>
    </xf>
    <xf numFmtId="10" fontId="12" fillId="4" borderId="9" xfId="0" applyNumberFormat="1" applyFont="1" applyFill="1" applyBorder="1"/>
    <xf numFmtId="0" fontId="12" fillId="0" borderId="10" xfId="0" applyFont="1" applyBorder="1"/>
    <xf numFmtId="164" fontId="12" fillId="4" borderId="30" xfId="0" applyNumberFormat="1" applyFont="1" applyFill="1" applyBorder="1"/>
    <xf numFmtId="164" fontId="12" fillId="5" borderId="12" xfId="0" applyNumberFormat="1" applyFont="1" applyFill="1" applyBorder="1"/>
    <xf numFmtId="0" fontId="6" fillId="5" borderId="13" xfId="0" applyFont="1" applyFill="1" applyBorder="1"/>
    <xf numFmtId="0" fontId="6" fillId="5" borderId="14" xfId="0" applyFont="1" applyFill="1" applyBorder="1"/>
    <xf numFmtId="0" fontId="6" fillId="5" borderId="15" xfId="0" applyFont="1" applyFill="1" applyBorder="1"/>
    <xf numFmtId="44" fontId="12" fillId="4" borderId="9" xfId="0" applyNumberFormat="1" applyFont="1" applyFill="1" applyBorder="1"/>
    <xf numFmtId="44" fontId="12" fillId="4" borderId="8" xfId="0" applyNumberFormat="1" applyFont="1" applyFill="1" applyBorder="1"/>
    <xf numFmtId="0" fontId="12" fillId="4" borderId="31" xfId="0" applyFont="1" applyFill="1" applyBorder="1"/>
    <xf numFmtId="164" fontId="12" fillId="4" borderId="12" xfId="0" applyNumberFormat="1" applyFont="1" applyFill="1" applyBorder="1"/>
    <xf numFmtId="8" fontId="12" fillId="0" borderId="0" xfId="0" applyNumberFormat="1" applyFont="1"/>
    <xf numFmtId="8" fontId="12" fillId="2" borderId="9" xfId="0" applyNumberFormat="1" applyFont="1" applyFill="1" applyBorder="1"/>
    <xf numFmtId="0" fontId="31" fillId="0" borderId="0" xfId="0" applyFont="1"/>
    <xf numFmtId="43" fontId="12" fillId="0" borderId="0" xfId="0" applyNumberFormat="1" applyFont="1"/>
    <xf numFmtId="0" fontId="32" fillId="0" borderId="0" xfId="0" applyFont="1"/>
    <xf numFmtId="0" fontId="34" fillId="15" borderId="39" xfId="0" applyFont="1" applyFill="1" applyBorder="1" applyAlignment="1">
      <alignment horizontal="center"/>
    </xf>
    <xf numFmtId="174" fontId="36" fillId="10" borderId="40" xfId="0" applyNumberFormat="1" applyFont="1" applyFill="1" applyBorder="1" applyAlignment="1">
      <alignment horizontal="center" vertical="top"/>
    </xf>
    <xf numFmtId="0" fontId="36" fillId="10" borderId="40" xfId="0" applyFont="1" applyFill="1" applyBorder="1" applyAlignment="1">
      <alignment horizontal="center" vertical="top"/>
    </xf>
    <xf numFmtId="169" fontId="37" fillId="15" borderId="17" xfId="0" applyNumberFormat="1" applyFont="1" applyFill="1" applyBorder="1" applyAlignment="1">
      <alignment horizontal="center" wrapText="1"/>
    </xf>
    <xf numFmtId="169" fontId="37" fillId="9" borderId="17" xfId="0" applyNumberFormat="1" applyFont="1" applyFill="1" applyBorder="1" applyAlignment="1">
      <alignment horizontal="center" wrapText="1"/>
    </xf>
    <xf numFmtId="169" fontId="37" fillId="0" borderId="17" xfId="0" applyNumberFormat="1" applyFont="1" applyBorder="1" applyAlignment="1">
      <alignment horizontal="center" wrapText="1"/>
    </xf>
    <xf numFmtId="169" fontId="12" fillId="0" borderId="0" xfId="0" applyNumberFormat="1" applyFont="1"/>
    <xf numFmtId="0" fontId="32" fillId="9" borderId="9" xfId="0" applyFont="1" applyFill="1" applyBorder="1"/>
    <xf numFmtId="174" fontId="36" fillId="9" borderId="40" xfId="0" applyNumberFormat="1" applyFont="1" applyFill="1" applyBorder="1" applyAlignment="1">
      <alignment horizontal="center" vertical="top"/>
    </xf>
    <xf numFmtId="0" fontId="36" fillId="9" borderId="40" xfId="0" applyFont="1" applyFill="1" applyBorder="1" applyAlignment="1">
      <alignment horizontal="center" vertical="top"/>
    </xf>
    <xf numFmtId="169" fontId="32" fillId="9" borderId="9" xfId="0" applyNumberFormat="1" applyFont="1" applyFill="1" applyBorder="1"/>
    <xf numFmtId="169" fontId="38" fillId="15" borderId="17" xfId="0" applyNumberFormat="1" applyFont="1" applyFill="1" applyBorder="1" applyAlignment="1">
      <alignment horizontal="center" wrapText="1"/>
    </xf>
    <xf numFmtId="169" fontId="32" fillId="0" borderId="0" xfId="0" applyNumberFormat="1" applyFont="1"/>
    <xf numFmtId="0" fontId="32" fillId="6" borderId="9" xfId="0" applyFont="1" applyFill="1" applyBorder="1"/>
    <xf numFmtId="175" fontId="32" fillId="0" borderId="0" xfId="0" applyNumberFormat="1" applyFont="1"/>
    <xf numFmtId="175" fontId="32" fillId="16" borderId="9" xfId="0" applyNumberFormat="1" applyFont="1" applyFill="1" applyBorder="1"/>
    <xf numFmtId="9" fontId="32" fillId="10" borderId="9" xfId="0" applyNumberFormat="1" applyFont="1" applyFill="1" applyBorder="1"/>
    <xf numFmtId="172" fontId="12" fillId="16" borderId="7" xfId="0" applyNumberFormat="1" applyFont="1" applyFill="1" applyBorder="1"/>
    <xf numFmtId="172" fontId="12" fillId="16" borderId="9" xfId="0" applyNumberFormat="1" applyFont="1" applyFill="1" applyBorder="1"/>
    <xf numFmtId="172" fontId="32" fillId="0" borderId="0" xfId="0" applyNumberFormat="1" applyFont="1"/>
    <xf numFmtId="172" fontId="32" fillId="16" borderId="8" xfId="0" applyNumberFormat="1" applyFont="1" applyFill="1" applyBorder="1"/>
    <xf numFmtId="172" fontId="32" fillId="16" borderId="9" xfId="0" applyNumberFormat="1" applyFont="1" applyFill="1" applyBorder="1"/>
    <xf numFmtId="9" fontId="39" fillId="10" borderId="9" xfId="0" applyNumberFormat="1" applyFont="1" applyFill="1" applyBorder="1"/>
    <xf numFmtId="0" fontId="32" fillId="0" borderId="41" xfId="0" applyFont="1" applyBorder="1"/>
    <xf numFmtId="0" fontId="32" fillId="0" borderId="42" xfId="0" applyFont="1" applyBorder="1"/>
    <xf numFmtId="175" fontId="32" fillId="0" borderId="42" xfId="0" applyNumberFormat="1" applyFont="1" applyBorder="1"/>
    <xf numFmtId="175" fontId="32" fillId="16" borderId="1" xfId="0" applyNumberFormat="1" applyFont="1" applyFill="1" applyBorder="1"/>
    <xf numFmtId="9" fontId="32" fillId="10" borderId="1" xfId="0" applyNumberFormat="1" applyFont="1" applyFill="1" applyBorder="1"/>
    <xf numFmtId="172" fontId="12" fillId="0" borderId="42" xfId="0" applyNumberFormat="1" applyFont="1" applyBorder="1"/>
    <xf numFmtId="172" fontId="12" fillId="16" borderId="1" xfId="0" applyNumberFormat="1" applyFont="1" applyFill="1" applyBorder="1"/>
    <xf numFmtId="0" fontId="32" fillId="0" borderId="6" xfId="0" applyFont="1" applyBorder="1"/>
    <xf numFmtId="172" fontId="12" fillId="16" borderId="8" xfId="0" applyNumberFormat="1" applyFont="1" applyFill="1" applyBorder="1"/>
    <xf numFmtId="0" fontId="32" fillId="0" borderId="10" xfId="0" applyFont="1" applyBorder="1"/>
    <xf numFmtId="0" fontId="32" fillId="0" borderId="11" xfId="0" applyFont="1" applyBorder="1"/>
    <xf numFmtId="175" fontId="32" fillId="0" borderId="11" xfId="0" applyNumberFormat="1" applyFont="1" applyBorder="1"/>
    <xf numFmtId="175" fontId="32" fillId="16" borderId="30" xfId="0" applyNumberFormat="1" applyFont="1" applyFill="1" applyBorder="1"/>
    <xf numFmtId="172" fontId="12" fillId="0" borderId="11" xfId="0" applyNumberFormat="1" applyFont="1" applyBorder="1"/>
    <xf numFmtId="172" fontId="12" fillId="16" borderId="12" xfId="0" applyNumberFormat="1" applyFont="1" applyFill="1" applyBorder="1"/>
    <xf numFmtId="172" fontId="12" fillId="16" borderId="30" xfId="0" applyNumberFormat="1" applyFont="1" applyFill="1" applyBorder="1"/>
    <xf numFmtId="0" fontId="34" fillId="0" borderId="39" xfId="0" applyFont="1" applyBorder="1" applyAlignment="1">
      <alignment horizontal="center"/>
    </xf>
    <xf numFmtId="0" fontId="36" fillId="10" borderId="54" xfId="0" applyFont="1" applyFill="1" applyBorder="1" applyAlignment="1">
      <alignment horizontal="center" vertical="top"/>
    </xf>
    <xf numFmtId="174" fontId="36" fillId="10" borderId="54" xfId="0" applyNumberFormat="1" applyFont="1" applyFill="1" applyBorder="1" applyAlignment="1">
      <alignment horizontal="center" vertical="top"/>
    </xf>
    <xf numFmtId="172" fontId="40" fillId="16" borderId="8" xfId="0" applyNumberFormat="1" applyFont="1" applyFill="1" applyBorder="1"/>
    <xf numFmtId="0" fontId="34" fillId="20" borderId="55" xfId="0" applyFont="1" applyFill="1" applyBorder="1" applyAlignment="1">
      <alignment horizontal="center"/>
    </xf>
    <xf numFmtId="0" fontId="34" fillId="21" borderId="55" xfId="0" applyFont="1" applyFill="1" applyBorder="1" applyAlignment="1">
      <alignment horizontal="center"/>
    </xf>
    <xf numFmtId="174" fontId="36" fillId="0" borderId="56" xfId="0" applyNumberFormat="1" applyFont="1" applyBorder="1" applyAlignment="1">
      <alignment horizontal="center"/>
    </xf>
    <xf numFmtId="0" fontId="36" fillId="0" borderId="56" xfId="0" applyFont="1" applyBorder="1" applyAlignment="1">
      <alignment horizontal="center"/>
    </xf>
    <xf numFmtId="169" fontId="37" fillId="22" borderId="17" xfId="0" applyNumberFormat="1" applyFont="1" applyFill="1" applyBorder="1" applyAlignment="1">
      <alignment horizontal="center" wrapText="1"/>
    </xf>
    <xf numFmtId="43" fontId="32" fillId="0" borderId="0" xfId="0" applyNumberFormat="1" applyFont="1"/>
    <xf numFmtId="174" fontId="36" fillId="0" borderId="57" xfId="0" applyNumberFormat="1" applyFont="1" applyBorder="1" applyAlignment="1">
      <alignment horizontal="center"/>
    </xf>
    <xf numFmtId="0" fontId="36" fillId="0" borderId="57" xfId="0" applyFont="1" applyBorder="1" applyAlignment="1">
      <alignment horizontal="center"/>
    </xf>
    <xf numFmtId="174" fontId="36" fillId="0" borderId="21" xfId="0" applyNumberFormat="1" applyFont="1" applyBorder="1" applyAlignment="1">
      <alignment horizontal="center"/>
    </xf>
    <xf numFmtId="174" fontId="36" fillId="0" borderId="58" xfId="0" applyNumberFormat="1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169" fontId="37" fillId="0" borderId="25" xfId="0" applyNumberFormat="1" applyFont="1" applyBorder="1" applyAlignment="1">
      <alignment horizontal="center" wrapText="1"/>
    </xf>
    <xf numFmtId="169" fontId="37" fillId="22" borderId="59" xfId="0" applyNumberFormat="1" applyFont="1" applyFill="1" applyBorder="1" applyAlignment="1">
      <alignment horizontal="center" wrapText="1"/>
    </xf>
    <xf numFmtId="174" fontId="36" fillId="0" borderId="19" xfId="0" applyNumberFormat="1" applyFont="1" applyBorder="1" applyAlignment="1">
      <alignment horizontal="center"/>
    </xf>
    <xf numFmtId="174" fontId="36" fillId="0" borderId="19" xfId="0" applyNumberFormat="1" applyFont="1" applyBorder="1" applyAlignment="1">
      <alignment horizontal="center" vertical="top"/>
    </xf>
    <xf numFmtId="169" fontId="37" fillId="0" borderId="60" xfId="0" applyNumberFormat="1" applyFont="1" applyBorder="1" applyAlignment="1">
      <alignment horizontal="center" wrapText="1"/>
    </xf>
    <xf numFmtId="169" fontId="37" fillId="22" borderId="60" xfId="0" applyNumberFormat="1" applyFont="1" applyFill="1" applyBorder="1" applyAlignment="1">
      <alignment horizontal="center" wrapText="1"/>
    </xf>
    <xf numFmtId="174" fontId="36" fillId="0" borderId="17" xfId="0" applyNumberFormat="1" applyFont="1" applyBorder="1" applyAlignment="1">
      <alignment horizontal="center"/>
    </xf>
    <xf numFmtId="174" fontId="36" fillId="0" borderId="17" xfId="0" applyNumberFormat="1" applyFont="1" applyBorder="1" applyAlignment="1">
      <alignment horizontal="center" vertical="top"/>
    </xf>
    <xf numFmtId="0" fontId="36" fillId="0" borderId="17" xfId="0" applyFont="1" applyBorder="1" applyAlignment="1">
      <alignment horizontal="center"/>
    </xf>
    <xf numFmtId="169" fontId="41" fillId="0" borderId="56" xfId="0" applyNumberFormat="1" applyFont="1" applyBorder="1" applyAlignment="1">
      <alignment horizontal="center"/>
    </xf>
    <xf numFmtId="169" fontId="42" fillId="0" borderId="56" xfId="0" applyNumberFormat="1" applyFont="1" applyBorder="1" applyAlignment="1">
      <alignment horizontal="center"/>
    </xf>
    <xf numFmtId="169" fontId="41" fillId="10" borderId="54" xfId="0" applyNumberFormat="1" applyFont="1" applyFill="1" applyBorder="1" applyAlignment="1">
      <alignment horizontal="center"/>
    </xf>
    <xf numFmtId="169" fontId="41" fillId="10" borderId="40" xfId="0" applyNumberFormat="1" applyFont="1" applyFill="1" applyBorder="1" applyAlignment="1">
      <alignment horizontal="center"/>
    </xf>
    <xf numFmtId="169" fontId="41" fillId="0" borderId="57" xfId="0" applyNumberFormat="1" applyFont="1" applyBorder="1" applyAlignment="1">
      <alignment horizontal="center"/>
    </xf>
    <xf numFmtId="169" fontId="41" fillId="9" borderId="40" xfId="0" applyNumberFormat="1" applyFont="1" applyFill="1" applyBorder="1" applyAlignment="1">
      <alignment horizontal="center"/>
    </xf>
    <xf numFmtId="10" fontId="0" fillId="0" borderId="0" xfId="1" applyNumberFormat="1" applyFont="1"/>
    <xf numFmtId="167" fontId="23" fillId="23" borderId="17" xfId="0" applyNumberFormat="1" applyFont="1" applyFill="1" applyBorder="1" applyAlignment="1">
      <alignment horizontal="center"/>
    </xf>
    <xf numFmtId="0" fontId="45" fillId="0" borderId="0" xfId="0" applyFont="1"/>
    <xf numFmtId="0" fontId="46" fillId="24" borderId="0" xfId="0" applyFont="1" applyFill="1"/>
    <xf numFmtId="0" fontId="21" fillId="24" borderId="0" xfId="0" applyFont="1" applyFill="1"/>
    <xf numFmtId="0" fontId="29" fillId="24" borderId="61" xfId="0" applyFont="1" applyFill="1" applyBorder="1"/>
    <xf numFmtId="0" fontId="29" fillId="24" borderId="62" xfId="0" applyFont="1" applyFill="1" applyBorder="1"/>
    <xf numFmtId="0" fontId="29" fillId="24" borderId="63" xfId="0" applyFont="1" applyFill="1" applyBorder="1"/>
    <xf numFmtId="168" fontId="29" fillId="9" borderId="14" xfId="0" applyNumberFormat="1" applyFont="1" applyFill="1" applyBorder="1"/>
    <xf numFmtId="168" fontId="29" fillId="9" borderId="16" xfId="0" applyNumberFormat="1" applyFont="1" applyFill="1" applyBorder="1"/>
    <xf numFmtId="0" fontId="18" fillId="0" borderId="9" xfId="0" applyFont="1" applyBorder="1"/>
    <xf numFmtId="0" fontId="20" fillId="0" borderId="9" xfId="0" applyFont="1" applyBorder="1"/>
    <xf numFmtId="0" fontId="10" fillId="0" borderId="9" xfId="0" applyFont="1" applyBorder="1"/>
    <xf numFmtId="0" fontId="22" fillId="0" borderId="9" xfId="0" applyFont="1" applyBorder="1" applyAlignment="1">
      <alignment horizontal="center"/>
    </xf>
    <xf numFmtId="167" fontId="18" fillId="0" borderId="9" xfId="0" applyNumberFormat="1" applyFont="1" applyBorder="1" applyAlignment="1">
      <alignment horizontal="center"/>
    </xf>
    <xf numFmtId="0" fontId="18" fillId="10" borderId="23" xfId="0" applyFont="1" applyFill="1" applyBorder="1"/>
    <xf numFmtId="43" fontId="21" fillId="0" borderId="64" xfId="2" applyFont="1" applyBorder="1"/>
    <xf numFmtId="43" fontId="21" fillId="0" borderId="65" xfId="2" applyFont="1" applyBorder="1"/>
    <xf numFmtId="43" fontId="21" fillId="10" borderId="66" xfId="2" applyFont="1" applyFill="1" applyBorder="1"/>
    <xf numFmtId="10" fontId="21" fillId="24" borderId="0" xfId="0" applyNumberFormat="1" applyFont="1" applyFill="1"/>
    <xf numFmtId="43" fontId="18" fillId="0" borderId="0" xfId="2" applyFont="1"/>
    <xf numFmtId="43" fontId="18" fillId="0" borderId="0" xfId="0" applyNumberFormat="1" applyFont="1"/>
    <xf numFmtId="4" fontId="0" fillId="0" borderId="0" xfId="0" applyNumberFormat="1"/>
    <xf numFmtId="9" fontId="52" fillId="0" borderId="0" xfId="0" applyNumberFormat="1" applyFont="1"/>
    <xf numFmtId="43" fontId="0" fillId="0" borderId="0" xfId="2" applyFont="1"/>
    <xf numFmtId="165" fontId="0" fillId="0" borderId="0" xfId="0" applyNumberFormat="1"/>
    <xf numFmtId="176" fontId="0" fillId="0" borderId="0" xfId="1" applyNumberFormat="1" applyFont="1"/>
    <xf numFmtId="43" fontId="0" fillId="0" borderId="0" xfId="0" applyNumberFormat="1"/>
    <xf numFmtId="164" fontId="0" fillId="0" borderId="0" xfId="0" applyNumberFormat="1"/>
    <xf numFmtId="10" fontId="6" fillId="5" borderId="9" xfId="1" applyNumberFormat="1" applyFont="1" applyFill="1" applyBorder="1"/>
    <xf numFmtId="44" fontId="18" fillId="0" borderId="0" xfId="3" applyFont="1"/>
    <xf numFmtId="0" fontId="18" fillId="25" borderId="0" xfId="0" applyFont="1" applyFill="1"/>
    <xf numFmtId="43" fontId="18" fillId="25" borderId="0" xfId="0" applyNumberFormat="1" applyFont="1" applyFill="1"/>
    <xf numFmtId="44" fontId="18" fillId="25" borderId="0" xfId="3" applyFont="1" applyFill="1"/>
    <xf numFmtId="43" fontId="18" fillId="25" borderId="0" xfId="2" applyFont="1" applyFill="1"/>
    <xf numFmtId="0" fontId="18" fillId="25" borderId="9" xfId="0" applyFont="1" applyFill="1" applyBorder="1"/>
    <xf numFmtId="43" fontId="18" fillId="25" borderId="9" xfId="0" applyNumberFormat="1" applyFont="1" applyFill="1" applyBorder="1"/>
    <xf numFmtId="44" fontId="18" fillId="25" borderId="9" xfId="3" applyFont="1" applyFill="1" applyBorder="1"/>
    <xf numFmtId="43" fontId="18" fillId="25" borderId="9" xfId="2" applyFont="1" applyFill="1" applyBorder="1"/>
    <xf numFmtId="10" fontId="18" fillId="25" borderId="9" xfId="1" applyNumberFormat="1" applyFont="1" applyFill="1" applyBorder="1"/>
    <xf numFmtId="0" fontId="8" fillId="0" borderId="6" xfId="0" applyFont="1" applyBorder="1"/>
    <xf numFmtId="10" fontId="12" fillId="4" borderId="9" xfId="1" applyNumberFormat="1" applyFont="1" applyFill="1" applyBorder="1"/>
    <xf numFmtId="0" fontId="6" fillId="24" borderId="67" xfId="0" applyFont="1" applyFill="1" applyBorder="1"/>
    <xf numFmtId="10" fontId="0" fillId="24" borderId="68" xfId="1" applyNumberFormat="1" applyFont="1" applyFill="1" applyBorder="1"/>
    <xf numFmtId="10" fontId="0" fillId="24" borderId="69" xfId="1" applyNumberFormat="1" applyFont="1" applyFill="1" applyBorder="1"/>
    <xf numFmtId="0" fontId="6" fillId="24" borderId="61" xfId="0" applyFont="1" applyFill="1" applyBorder="1"/>
    <xf numFmtId="44" fontId="0" fillId="24" borderId="62" xfId="0" applyNumberFormat="1" applyFill="1" applyBorder="1"/>
    <xf numFmtId="44" fontId="0" fillId="24" borderId="63" xfId="0" applyNumberFormat="1" applyFill="1" applyBorder="1"/>
    <xf numFmtId="0" fontId="11" fillId="0" borderId="0" xfId="0" applyFont="1"/>
    <xf numFmtId="10" fontId="18" fillId="25" borderId="0" xfId="0" applyNumberFormat="1" applyFont="1" applyFill="1"/>
    <xf numFmtId="0" fontId="21" fillId="25" borderId="0" xfId="0" applyFont="1" applyFill="1"/>
    <xf numFmtId="44" fontId="0" fillId="0" borderId="0" xfId="3" applyFont="1"/>
    <xf numFmtId="171" fontId="12" fillId="26" borderId="9" xfId="0" applyNumberFormat="1" applyFont="1" applyFill="1" applyBorder="1"/>
    <xf numFmtId="7" fontId="18" fillId="26" borderId="9" xfId="0" applyNumberFormat="1" applyFont="1" applyFill="1" applyBorder="1"/>
    <xf numFmtId="0" fontId="21" fillId="27" borderId="9" xfId="0" applyFont="1" applyFill="1" applyBorder="1"/>
    <xf numFmtId="8" fontId="12" fillId="6" borderId="9" xfId="0" applyNumberFormat="1" applyFont="1" applyFill="1" applyBorder="1"/>
    <xf numFmtId="8" fontId="6" fillId="5" borderId="8" xfId="0" applyNumberFormat="1" applyFont="1" applyFill="1" applyBorder="1"/>
    <xf numFmtId="8" fontId="0" fillId="0" borderId="0" xfId="0" applyNumberFormat="1"/>
    <xf numFmtId="0" fontId="0" fillId="0" borderId="9" xfId="0" applyBorder="1"/>
    <xf numFmtId="0" fontId="18" fillId="28" borderId="0" xfId="0" applyFont="1" applyFill="1"/>
    <xf numFmtId="0" fontId="6" fillId="5" borderId="9" xfId="0" applyFont="1" applyFill="1" applyBorder="1"/>
    <xf numFmtId="43" fontId="0" fillId="28" borderId="0" xfId="0" applyNumberFormat="1" applyFill="1"/>
    <xf numFmtId="7" fontId="12" fillId="28" borderId="0" xfId="0" applyNumberFormat="1" applyFont="1" applyFill="1"/>
    <xf numFmtId="10" fontId="12" fillId="0" borderId="0" xfId="1" applyNumberFormat="1" applyFont="1"/>
    <xf numFmtId="44" fontId="0" fillId="0" borderId="0" xfId="0" applyNumberFormat="1"/>
    <xf numFmtId="7" fontId="0" fillId="0" borderId="0" xfId="0" applyNumberFormat="1"/>
    <xf numFmtId="0" fontId="5" fillId="0" borderId="0" xfId="0" applyFont="1"/>
    <xf numFmtId="172" fontId="0" fillId="0" borderId="0" xfId="1" applyNumberFormat="1" applyFont="1"/>
    <xf numFmtId="10" fontId="0" fillId="29" borderId="0" xfId="1" applyNumberFormat="1" applyFont="1" applyFill="1"/>
    <xf numFmtId="43" fontId="0" fillId="29" borderId="0" xfId="0" applyNumberFormat="1" applyFill="1"/>
    <xf numFmtId="0" fontId="55" fillId="0" borderId="0" xfId="4"/>
    <xf numFmtId="0" fontId="32" fillId="29" borderId="61" xfId="0" applyFont="1" applyFill="1" applyBorder="1"/>
    <xf numFmtId="0" fontId="32" fillId="29" borderId="62" xfId="0" applyFont="1" applyFill="1" applyBorder="1"/>
    <xf numFmtId="172" fontId="32" fillId="29" borderId="63" xfId="0" applyNumberFormat="1" applyFont="1" applyFill="1" applyBorder="1"/>
    <xf numFmtId="10" fontId="18" fillId="0" borderId="0" xfId="1" applyNumberFormat="1" applyFont="1"/>
    <xf numFmtId="10" fontId="28" fillId="0" borderId="0" xfId="1" applyNumberFormat="1" applyFont="1"/>
    <xf numFmtId="10" fontId="21" fillId="0" borderId="0" xfId="1" applyNumberFormat="1" applyFont="1"/>
    <xf numFmtId="168" fontId="18" fillId="25" borderId="17" xfId="0" applyNumberFormat="1" applyFont="1" applyFill="1" applyBorder="1" applyAlignment="1">
      <alignment horizontal="center"/>
    </xf>
    <xf numFmtId="168" fontId="18" fillId="30" borderId="1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0" fontId="57" fillId="0" borderId="0" xfId="0" applyFont="1"/>
    <xf numFmtId="172" fontId="56" fillId="0" borderId="0" xfId="1" applyNumberFormat="1" applyFont="1"/>
    <xf numFmtId="0" fontId="57" fillId="30" borderId="0" xfId="0" applyFont="1" applyFill="1"/>
    <xf numFmtId="44" fontId="0" fillId="30" borderId="65" xfId="3" applyFont="1" applyFill="1" applyBorder="1"/>
    <xf numFmtId="0" fontId="0" fillId="30" borderId="65" xfId="0" applyFill="1" applyBorder="1"/>
    <xf numFmtId="0" fontId="57" fillId="30" borderId="70" xfId="0" applyFont="1" applyFill="1" applyBorder="1" applyAlignment="1">
      <alignment horizontal="center"/>
    </xf>
    <xf numFmtId="0" fontId="21" fillId="31" borderId="61" xfId="0" applyFont="1" applyFill="1" applyBorder="1"/>
    <xf numFmtId="0" fontId="21" fillId="30" borderId="17" xfId="0" applyFont="1" applyFill="1" applyBorder="1"/>
    <xf numFmtId="0" fontId="21" fillId="30" borderId="59" xfId="0" applyFont="1" applyFill="1" applyBorder="1"/>
    <xf numFmtId="0" fontId="21" fillId="30" borderId="78" xfId="0" applyFont="1" applyFill="1" applyBorder="1"/>
    <xf numFmtId="0" fontId="10" fillId="30" borderId="81" xfId="0" applyFont="1" applyFill="1" applyBorder="1"/>
    <xf numFmtId="0" fontId="22" fillId="0" borderId="72" xfId="0" applyFont="1" applyBorder="1" applyAlignment="1">
      <alignment horizontal="center"/>
    </xf>
    <xf numFmtId="0" fontId="22" fillId="0" borderId="75" xfId="0" applyFont="1" applyBorder="1" applyAlignment="1">
      <alignment horizontal="center"/>
    </xf>
    <xf numFmtId="0" fontId="58" fillId="30" borderId="70" xfId="0" applyFont="1" applyFill="1" applyBorder="1" applyAlignment="1">
      <alignment horizontal="center"/>
    </xf>
    <xf numFmtId="8" fontId="18" fillId="0" borderId="78" xfId="0" applyNumberFormat="1" applyFont="1" applyBorder="1" applyAlignment="1">
      <alignment horizontal="center"/>
    </xf>
    <xf numFmtId="8" fontId="18" fillId="0" borderId="79" xfId="0" applyNumberFormat="1" applyFont="1" applyBorder="1" applyAlignment="1">
      <alignment horizontal="center"/>
    </xf>
    <xf numFmtId="8" fontId="21" fillId="30" borderId="80" xfId="0" applyNumberFormat="1" applyFont="1" applyFill="1" applyBorder="1" applyAlignment="1">
      <alignment horizontal="center"/>
    </xf>
    <xf numFmtId="8" fontId="18" fillId="0" borderId="17" xfId="0" applyNumberFormat="1" applyFont="1" applyBorder="1" applyAlignment="1">
      <alignment horizontal="center"/>
    </xf>
    <xf numFmtId="8" fontId="18" fillId="0" borderId="26" xfId="0" applyNumberFormat="1" applyFont="1" applyBorder="1" applyAlignment="1">
      <alignment horizontal="center"/>
    </xf>
    <xf numFmtId="8" fontId="21" fillId="30" borderId="76" xfId="0" applyNumberFormat="1" applyFont="1" applyFill="1" applyBorder="1" applyAlignment="1">
      <alignment horizontal="center"/>
    </xf>
    <xf numFmtId="8" fontId="18" fillId="0" borderId="59" xfId="0" applyNumberFormat="1" applyFont="1" applyBorder="1" applyAlignment="1">
      <alignment horizontal="center"/>
    </xf>
    <xf numFmtId="8" fontId="18" fillId="0" borderId="74" xfId="0" applyNumberFormat="1" applyFont="1" applyBorder="1" applyAlignment="1">
      <alignment horizontal="center"/>
    </xf>
    <xf numFmtId="8" fontId="21" fillId="30" borderId="77" xfId="0" applyNumberFormat="1" applyFont="1" applyFill="1" applyBorder="1" applyAlignment="1">
      <alignment horizontal="center"/>
    </xf>
    <xf numFmtId="8" fontId="21" fillId="0" borderId="72" xfId="0" applyNumberFormat="1" applyFont="1" applyBorder="1" applyAlignment="1">
      <alignment horizontal="center"/>
    </xf>
    <xf numFmtId="8" fontId="21" fillId="0" borderId="75" xfId="0" applyNumberFormat="1" applyFont="1" applyBorder="1" applyAlignment="1">
      <alignment horizontal="center"/>
    </xf>
    <xf numFmtId="8" fontId="21" fillId="30" borderId="70" xfId="0" applyNumberFormat="1" applyFont="1" applyFill="1" applyBorder="1" applyAlignment="1">
      <alignment horizontal="center"/>
    </xf>
    <xf numFmtId="44" fontId="57" fillId="30" borderId="70" xfId="3" applyFont="1" applyFill="1" applyBorder="1"/>
    <xf numFmtId="10" fontId="59" fillId="0" borderId="0" xfId="1" applyNumberFormat="1" applyFont="1"/>
    <xf numFmtId="10" fontId="57" fillId="0" borderId="0" xfId="1" applyNumberFormat="1" applyFont="1"/>
    <xf numFmtId="10" fontId="0" fillId="0" borderId="0" xfId="0" applyNumberFormat="1"/>
    <xf numFmtId="8" fontId="0" fillId="30" borderId="61" xfId="0" applyNumberFormat="1" applyFill="1" applyBorder="1"/>
    <xf numFmtId="8" fontId="0" fillId="30" borderId="62" xfId="0" applyNumberFormat="1" applyFill="1" applyBorder="1"/>
    <xf numFmtId="8" fontId="0" fillId="30" borderId="63" xfId="0" applyNumberFormat="1" applyFill="1" applyBorder="1"/>
    <xf numFmtId="168" fontId="0" fillId="0" borderId="0" xfId="0" applyNumberFormat="1"/>
    <xf numFmtId="168" fontId="0" fillId="30" borderId="61" xfId="0" applyNumberFormat="1" applyFill="1" applyBorder="1"/>
    <xf numFmtId="168" fontId="0" fillId="30" borderId="62" xfId="0" applyNumberFormat="1" applyFill="1" applyBorder="1"/>
    <xf numFmtId="168" fontId="18" fillId="30" borderId="63" xfId="0" applyNumberFormat="1" applyFont="1" applyFill="1" applyBorder="1"/>
    <xf numFmtId="43" fontId="5" fillId="0" borderId="0" xfId="2" applyFont="1"/>
    <xf numFmtId="8" fontId="18" fillId="0" borderId="0" xfId="0" applyNumberFormat="1" applyFont="1"/>
    <xf numFmtId="0" fontId="60" fillId="30" borderId="61" xfId="0" applyFont="1" applyFill="1" applyBorder="1"/>
    <xf numFmtId="0" fontId="61" fillId="30" borderId="62" xfId="0" applyFont="1" applyFill="1" applyBorder="1"/>
    <xf numFmtId="0" fontId="60" fillId="30" borderId="62" xfId="0" applyFont="1" applyFill="1" applyBorder="1"/>
    <xf numFmtId="0" fontId="60" fillId="30" borderId="63" xfId="0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8" fontId="0" fillId="30" borderId="63" xfId="0" applyNumberFormat="1" applyFill="1" applyBorder="1" applyAlignment="1">
      <alignment horizontal="center"/>
    </xf>
    <xf numFmtId="10" fontId="57" fillId="30" borderId="70" xfId="1" applyNumberFormat="1" applyFont="1" applyFill="1" applyBorder="1"/>
    <xf numFmtId="0" fontId="5" fillId="30" borderId="64" xfId="0" applyFont="1" applyFill="1" applyBorder="1"/>
    <xf numFmtId="0" fontId="5" fillId="30" borderId="71" xfId="0" applyFont="1" applyFill="1" applyBorder="1"/>
    <xf numFmtId="0" fontId="59" fillId="30" borderId="70" xfId="0" applyFont="1" applyFill="1" applyBorder="1" applyAlignment="1">
      <alignment horizontal="center"/>
    </xf>
    <xf numFmtId="167" fontId="64" fillId="0" borderId="17" xfId="0" applyNumberFormat="1" applyFont="1" applyBorder="1" applyAlignment="1">
      <alignment horizontal="center"/>
    </xf>
    <xf numFmtId="0" fontId="64" fillId="0" borderId="9" xfId="0" applyFont="1" applyBorder="1"/>
    <xf numFmtId="167" fontId="64" fillId="0" borderId="83" xfId="0" applyNumberFormat="1" applyFont="1" applyBorder="1" applyAlignment="1">
      <alignment horizontal="center"/>
    </xf>
    <xf numFmtId="167" fontId="64" fillId="0" borderId="84" xfId="0" applyNumberFormat="1" applyFont="1" applyBorder="1" applyAlignment="1">
      <alignment horizontal="center"/>
    </xf>
    <xf numFmtId="167" fontId="64" fillId="0" borderId="59" xfId="0" applyNumberFormat="1" applyFont="1" applyBorder="1" applyAlignment="1">
      <alignment horizontal="center"/>
    </xf>
    <xf numFmtId="0" fontId="65" fillId="30" borderId="81" xfId="0" applyFont="1" applyFill="1" applyBorder="1"/>
    <xf numFmtId="167" fontId="65" fillId="30" borderId="72" xfId="0" applyNumberFormat="1" applyFont="1" applyFill="1" applyBorder="1" applyAlignment="1">
      <alignment horizontal="center"/>
    </xf>
    <xf numFmtId="167" fontId="65" fillId="30" borderId="73" xfId="0" applyNumberFormat="1" applyFont="1" applyFill="1" applyBorder="1" applyAlignment="1">
      <alignment horizontal="center"/>
    </xf>
    <xf numFmtId="0" fontId="65" fillId="30" borderId="85" xfId="0" applyFont="1" applyFill="1" applyBorder="1"/>
    <xf numFmtId="167" fontId="65" fillId="30" borderId="86" xfId="0" applyNumberFormat="1" applyFont="1" applyFill="1" applyBorder="1" applyAlignment="1">
      <alignment horizontal="center"/>
    </xf>
    <xf numFmtId="167" fontId="65" fillId="30" borderId="87" xfId="0" applyNumberFormat="1" applyFont="1" applyFill="1" applyBorder="1" applyAlignment="1">
      <alignment horizontal="center"/>
    </xf>
    <xf numFmtId="167" fontId="57" fillId="30" borderId="85" xfId="0" applyNumberFormat="1" applyFont="1" applyFill="1" applyBorder="1"/>
    <xf numFmtId="172" fontId="57" fillId="30" borderId="87" xfId="1" applyNumberFormat="1" applyFont="1" applyFill="1" applyBorder="1"/>
    <xf numFmtId="0" fontId="22" fillId="0" borderId="88" xfId="0" applyFont="1" applyBorder="1" applyAlignment="1">
      <alignment horizontal="center"/>
    </xf>
    <xf numFmtId="8" fontId="18" fillId="0" borderId="57" xfId="0" applyNumberFormat="1" applyFont="1" applyBorder="1" applyAlignment="1">
      <alignment horizontal="center"/>
    </xf>
    <xf numFmtId="8" fontId="18" fillId="0" borderId="56" xfId="0" applyNumberFormat="1" applyFont="1" applyBorder="1" applyAlignment="1">
      <alignment horizontal="center"/>
    </xf>
    <xf numFmtId="8" fontId="18" fillId="0" borderId="58" xfId="0" applyNumberFormat="1" applyFont="1" applyBorder="1" applyAlignment="1">
      <alignment horizontal="center"/>
    </xf>
    <xf numFmtId="8" fontId="21" fillId="0" borderId="88" xfId="0" applyNumberFormat="1" applyFont="1" applyBorder="1" applyAlignment="1">
      <alignment horizontal="center"/>
    </xf>
    <xf numFmtId="10" fontId="59" fillId="0" borderId="9" xfId="1" applyNumberFormat="1" applyFont="1" applyBorder="1"/>
    <xf numFmtId="8" fontId="0" fillId="0" borderId="9" xfId="0" applyNumberFormat="1" applyBorder="1"/>
    <xf numFmtId="0" fontId="0" fillId="25" borderId="9" xfId="0" applyFill="1" applyBorder="1"/>
    <xf numFmtId="0" fontId="22" fillId="25" borderId="9" xfId="0" applyFont="1" applyFill="1" applyBorder="1" applyAlignment="1">
      <alignment horizontal="center"/>
    </xf>
    <xf numFmtId="8" fontId="18" fillId="25" borderId="9" xfId="0" applyNumberFormat="1" applyFont="1" applyFill="1" applyBorder="1" applyAlignment="1">
      <alignment horizontal="center"/>
    </xf>
    <xf numFmtId="8" fontId="21" fillId="25" borderId="9" xfId="0" applyNumberFormat="1" applyFont="1" applyFill="1" applyBorder="1" applyAlignment="1">
      <alignment horizontal="center"/>
    </xf>
    <xf numFmtId="0" fontId="5" fillId="25" borderId="9" xfId="0" applyFont="1" applyFill="1" applyBorder="1"/>
    <xf numFmtId="0" fontId="63" fillId="25" borderId="9" xfId="0" applyFont="1" applyFill="1" applyBorder="1"/>
    <xf numFmtId="44" fontId="0" fillId="25" borderId="9" xfId="3" applyFont="1" applyFill="1" applyBorder="1" applyAlignment="1">
      <alignment horizontal="center"/>
    </xf>
    <xf numFmtId="0" fontId="0" fillId="25" borderId="9" xfId="0" applyFill="1" applyBorder="1" applyAlignment="1">
      <alignment horizontal="center"/>
    </xf>
    <xf numFmtId="167" fontId="65" fillId="25" borderId="9" xfId="0" applyNumberFormat="1" applyFont="1" applyFill="1" applyBorder="1" applyAlignment="1">
      <alignment horizontal="center"/>
    </xf>
    <xf numFmtId="0" fontId="63" fillId="0" borderId="89" xfId="0" applyFont="1" applyBorder="1"/>
    <xf numFmtId="0" fontId="63" fillId="0" borderId="90" xfId="0" applyFont="1" applyBorder="1"/>
    <xf numFmtId="0" fontId="63" fillId="0" borderId="91" xfId="0" applyFont="1" applyBorder="1"/>
    <xf numFmtId="0" fontId="64" fillId="0" borderId="92" xfId="0" applyFont="1" applyBorder="1"/>
    <xf numFmtId="167" fontId="64" fillId="0" borderId="93" xfId="0" applyNumberFormat="1" applyFont="1" applyBorder="1" applyAlignment="1">
      <alignment horizontal="center"/>
    </xf>
    <xf numFmtId="0" fontId="64" fillId="0" borderId="94" xfId="0" applyFont="1" applyBorder="1"/>
    <xf numFmtId="167" fontId="64" fillId="0" borderId="95" xfId="0" applyNumberFormat="1" applyFont="1" applyBorder="1" applyAlignment="1">
      <alignment horizontal="center"/>
    </xf>
    <xf numFmtId="0" fontId="63" fillId="0" borderId="97" xfId="0" applyFont="1" applyBorder="1"/>
    <xf numFmtId="0" fontId="63" fillId="0" borderId="96" xfId="0" applyFont="1" applyBorder="1" applyAlignment="1">
      <alignment horizontal="center"/>
    </xf>
    <xf numFmtId="0" fontId="63" fillId="0" borderId="98" xfId="0" applyFont="1" applyBorder="1" applyAlignment="1">
      <alignment horizontal="center"/>
    </xf>
    <xf numFmtId="0" fontId="64" fillId="0" borderId="99" xfId="0" applyFont="1" applyBorder="1"/>
    <xf numFmtId="167" fontId="64" fillId="0" borderId="100" xfId="0" applyNumberFormat="1" applyFont="1" applyBorder="1" applyAlignment="1">
      <alignment horizontal="center"/>
    </xf>
    <xf numFmtId="0" fontId="64" fillId="0" borderId="101" xfId="0" applyFont="1" applyBorder="1"/>
    <xf numFmtId="167" fontId="64" fillId="0" borderId="102" xfId="0" applyNumberFormat="1" applyFont="1" applyBorder="1" applyAlignment="1">
      <alignment horizontal="center"/>
    </xf>
    <xf numFmtId="172" fontId="0" fillId="0" borderId="100" xfId="1" applyNumberFormat="1" applyFont="1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64" fillId="0" borderId="103" xfId="0" applyFont="1" applyBorder="1"/>
    <xf numFmtId="0" fontId="63" fillId="0" borderId="85" xfId="0" applyFont="1" applyBorder="1"/>
    <xf numFmtId="0" fontId="63" fillId="0" borderId="63" xfId="0" applyFont="1" applyBorder="1"/>
    <xf numFmtId="8" fontId="64" fillId="0" borderId="103" xfId="0" applyNumberFormat="1" applyFont="1" applyBorder="1"/>
    <xf numFmtId="8" fontId="64" fillId="0" borderId="99" xfId="0" applyNumberFormat="1" applyFont="1" applyBorder="1"/>
    <xf numFmtId="8" fontId="64" fillId="0" borderId="104" xfId="0" applyNumberFormat="1" applyFont="1" applyBorder="1"/>
    <xf numFmtId="8" fontId="64" fillId="0" borderId="105" xfId="0" applyNumberFormat="1" applyFont="1" applyBorder="1"/>
    <xf numFmtId="0" fontId="64" fillId="0" borderId="106" xfId="0" applyFont="1" applyBorder="1"/>
    <xf numFmtId="8" fontId="64" fillId="0" borderId="106" xfId="0" applyNumberFormat="1" applyFont="1" applyBorder="1"/>
    <xf numFmtId="8" fontId="64" fillId="0" borderId="107" xfId="0" applyNumberFormat="1" applyFont="1" applyBorder="1"/>
    <xf numFmtId="0" fontId="65" fillId="0" borderId="61" xfId="0" applyFont="1" applyBorder="1"/>
    <xf numFmtId="8" fontId="57" fillId="0" borderId="62" xfId="0" applyNumberFormat="1" applyFont="1" applyBorder="1"/>
    <xf numFmtId="0" fontId="57" fillId="0" borderId="62" xfId="0" applyFont="1" applyBorder="1"/>
    <xf numFmtId="8" fontId="57" fillId="0" borderId="63" xfId="0" applyNumberFormat="1" applyFont="1" applyBorder="1"/>
    <xf numFmtId="10" fontId="55" fillId="0" borderId="0" xfId="4" applyNumberFormat="1"/>
    <xf numFmtId="0" fontId="11" fillId="4" borderId="9" xfId="0" applyFont="1" applyFill="1" applyBorder="1"/>
    <xf numFmtId="0" fontId="17" fillId="4" borderId="9" xfId="0" applyFont="1" applyFill="1" applyBorder="1"/>
    <xf numFmtId="0" fontId="6" fillId="5" borderId="41" xfId="0" applyFont="1" applyFill="1" applyBorder="1"/>
    <xf numFmtId="0" fontId="6" fillId="5" borderId="42" xfId="0" applyFont="1" applyFill="1" applyBorder="1"/>
    <xf numFmtId="0" fontId="6" fillId="5" borderId="7" xfId="0" applyFont="1" applyFill="1" applyBorder="1"/>
    <xf numFmtId="0" fontId="12" fillId="4" borderId="67" xfId="0" applyFont="1" applyFill="1" applyBorder="1"/>
    <xf numFmtId="44" fontId="12" fillId="4" borderId="68" xfId="0" applyNumberFormat="1" applyFont="1" applyFill="1" applyBorder="1"/>
    <xf numFmtId="44" fontId="12" fillId="4" borderId="69" xfId="0" applyNumberFormat="1" applyFont="1" applyFill="1" applyBorder="1"/>
    <xf numFmtId="0" fontId="12" fillId="4" borderId="82" xfId="0" applyFont="1" applyFill="1" applyBorder="1"/>
    <xf numFmtId="44" fontId="12" fillId="4" borderId="108" xfId="0" applyNumberFormat="1" applyFont="1" applyFill="1" applyBorder="1"/>
    <xf numFmtId="0" fontId="12" fillId="4" borderId="109" xfId="0" applyFont="1" applyFill="1" applyBorder="1"/>
    <xf numFmtId="44" fontId="12" fillId="4" borderId="110" xfId="0" applyNumberFormat="1" applyFont="1" applyFill="1" applyBorder="1"/>
    <xf numFmtId="44" fontId="12" fillId="4" borderId="111" xfId="0" applyNumberFormat="1" applyFont="1" applyFill="1" applyBorder="1"/>
    <xf numFmtId="10" fontId="0" fillId="0" borderId="9" xfId="1" applyNumberFormat="1" applyFont="1" applyBorder="1"/>
    <xf numFmtId="0" fontId="6" fillId="4" borderId="70" xfId="0" applyFont="1" applyFill="1" applyBorder="1"/>
    <xf numFmtId="7" fontId="12" fillId="29" borderId="0" xfId="0" applyNumberFormat="1" applyFont="1" applyFill="1"/>
    <xf numFmtId="0" fontId="4" fillId="0" borderId="0" xfId="0" applyFont="1"/>
    <xf numFmtId="0" fontId="0" fillId="32" borderId="0" xfId="0" applyFill="1"/>
    <xf numFmtId="43" fontId="0" fillId="32" borderId="0" xfId="2" applyFont="1" applyFill="1"/>
    <xf numFmtId="10" fontId="0" fillId="32" borderId="0" xfId="1" applyNumberFormat="1" applyFont="1" applyFill="1"/>
    <xf numFmtId="0" fontId="3" fillId="0" borderId="0" xfId="0" applyFont="1"/>
    <xf numFmtId="164" fontId="12" fillId="33" borderId="12" xfId="0" applyNumberFormat="1" applyFont="1" applyFill="1" applyBorder="1"/>
    <xf numFmtId="44" fontId="55" fillId="0" borderId="0" xfId="4" applyNumberFormat="1"/>
    <xf numFmtId="0" fontId="57" fillId="32" borderId="0" xfId="0" applyFont="1" applyFill="1"/>
    <xf numFmtId="8" fontId="57" fillId="32" borderId="0" xfId="0" applyNumberFormat="1" applyFont="1" applyFill="1"/>
    <xf numFmtId="8" fontId="57" fillId="32" borderId="0" xfId="2" applyNumberFormat="1" applyFont="1" applyFill="1"/>
    <xf numFmtId="0" fontId="18" fillId="0" borderId="9" xfId="5" applyFont="1"/>
    <xf numFmtId="0" fontId="2" fillId="0" borderId="9" xfId="5"/>
    <xf numFmtId="14" fontId="19" fillId="6" borderId="9" xfId="5" applyNumberFormat="1" applyFont="1" applyFill="1"/>
    <xf numFmtId="14" fontId="19" fillId="7" borderId="9" xfId="5" applyNumberFormat="1" applyFont="1" applyFill="1"/>
    <xf numFmtId="14" fontId="19" fillId="8" borderId="9" xfId="5" applyNumberFormat="1" applyFont="1" applyFill="1"/>
    <xf numFmtId="14" fontId="19" fillId="0" borderId="9" xfId="5" applyNumberFormat="1" applyFont="1"/>
    <xf numFmtId="0" fontId="20" fillId="0" borderId="9" xfId="5" applyFont="1"/>
    <xf numFmtId="0" fontId="21" fillId="9" borderId="22" xfId="5" applyFont="1" applyFill="1" applyBorder="1"/>
    <xf numFmtId="0" fontId="21" fillId="9" borderId="23" xfId="5" applyFont="1" applyFill="1" applyBorder="1"/>
    <xf numFmtId="0" fontId="21" fillId="9" borderId="24" xfId="5" applyFont="1" applyFill="1" applyBorder="1"/>
    <xf numFmtId="0" fontId="20" fillId="34" borderId="9" xfId="5" applyFont="1" applyFill="1"/>
    <xf numFmtId="43" fontId="21" fillId="0" borderId="64" xfId="6" applyFont="1" applyBorder="1"/>
    <xf numFmtId="43" fontId="21" fillId="0" borderId="65" xfId="6" applyFont="1" applyBorder="1"/>
    <xf numFmtId="0" fontId="18" fillId="10" borderId="22" xfId="5" applyFont="1" applyFill="1" applyBorder="1"/>
    <xf numFmtId="0" fontId="18" fillId="10" borderId="23" xfId="5" applyFont="1" applyFill="1" applyBorder="1"/>
    <xf numFmtId="43" fontId="21" fillId="10" borderId="66" xfId="6" applyFont="1" applyFill="1" applyBorder="1"/>
    <xf numFmtId="0" fontId="45" fillId="0" borderId="9" xfId="5" applyFont="1"/>
    <xf numFmtId="0" fontId="10" fillId="0" borderId="17" xfId="5" applyFont="1" applyBorder="1"/>
    <xf numFmtId="0" fontId="22" fillId="0" borderId="17" xfId="5" applyFont="1" applyBorder="1" applyAlignment="1">
      <alignment horizontal="center"/>
    </xf>
    <xf numFmtId="0" fontId="10" fillId="0" borderId="9" xfId="5" applyFont="1"/>
    <xf numFmtId="0" fontId="22" fillId="0" borderId="9" xfId="5" applyFont="1" applyAlignment="1">
      <alignment horizontal="center"/>
    </xf>
    <xf numFmtId="0" fontId="18" fillId="0" borderId="17" xfId="5" applyFont="1" applyBorder="1"/>
    <xf numFmtId="167" fontId="23" fillId="23" borderId="17" xfId="5" applyNumberFormat="1" applyFont="1" applyFill="1" applyBorder="1" applyAlignment="1">
      <alignment horizontal="center"/>
    </xf>
    <xf numFmtId="167" fontId="18" fillId="0" borderId="9" xfId="5" applyNumberFormat="1" applyFont="1" applyAlignment="1">
      <alignment horizontal="center"/>
    </xf>
    <xf numFmtId="0" fontId="23" fillId="0" borderId="9" xfId="5" applyFont="1"/>
    <xf numFmtId="0" fontId="24" fillId="0" borderId="9" xfId="5" applyFont="1"/>
    <xf numFmtId="10" fontId="18" fillId="0" borderId="9" xfId="5" applyNumberFormat="1" applyFont="1"/>
    <xf numFmtId="10" fontId="23" fillId="0" borderId="9" xfId="5" applyNumberFormat="1" applyFont="1"/>
    <xf numFmtId="0" fontId="46" fillId="24" borderId="9" xfId="5" applyFont="1" applyFill="1"/>
    <xf numFmtId="10" fontId="21" fillId="9" borderId="23" xfId="5" applyNumberFormat="1" applyFont="1" applyFill="1" applyBorder="1"/>
    <xf numFmtId="0" fontId="21" fillId="24" borderId="9" xfId="5" applyFont="1" applyFill="1"/>
    <xf numFmtId="10" fontId="21" fillId="24" borderId="9" xfId="5" applyNumberFormat="1" applyFont="1" applyFill="1"/>
    <xf numFmtId="0" fontId="18" fillId="34" borderId="9" xfId="5" applyFont="1" applyFill="1"/>
    <xf numFmtId="9" fontId="18" fillId="35" borderId="17" xfId="7" applyFont="1" applyFill="1" applyBorder="1" applyAlignment="1">
      <alignment horizontal="center"/>
    </xf>
    <xf numFmtId="3" fontId="18" fillId="0" borderId="17" xfId="5" applyNumberFormat="1" applyFont="1" applyBorder="1" applyAlignment="1">
      <alignment horizontal="center"/>
    </xf>
    <xf numFmtId="3" fontId="18" fillId="0" borderId="9" xfId="5" applyNumberFormat="1" applyFont="1"/>
    <xf numFmtId="10" fontId="12" fillId="0" borderId="9" xfId="5" applyNumberFormat="1" applyFont="1"/>
    <xf numFmtId="10" fontId="26" fillId="7" borderId="9" xfId="5" applyNumberFormat="1" applyFont="1" applyFill="1"/>
    <xf numFmtId="9" fontId="18" fillId="0" borderId="9" xfId="5" applyNumberFormat="1" applyFont="1"/>
    <xf numFmtId="0" fontId="10" fillId="34" borderId="17" xfId="5" applyFont="1" applyFill="1" applyBorder="1"/>
    <xf numFmtId="168" fontId="18" fillId="0" borderId="17" xfId="5" applyNumberFormat="1" applyFont="1" applyBorder="1" applyAlignment="1">
      <alignment horizontal="center"/>
    </xf>
    <xf numFmtId="168" fontId="18" fillId="0" borderId="9" xfId="5" applyNumberFormat="1" applyFont="1"/>
    <xf numFmtId="0" fontId="21" fillId="10" borderId="9" xfId="5" applyFont="1" applyFill="1"/>
    <xf numFmtId="168" fontId="21" fillId="10" borderId="9" xfId="5" applyNumberFormat="1" applyFont="1" applyFill="1"/>
    <xf numFmtId="170" fontId="18" fillId="11" borderId="15" xfId="5" applyNumberFormat="1" applyFont="1" applyFill="1" applyBorder="1"/>
    <xf numFmtId="0" fontId="27" fillId="0" borderId="9" xfId="5" applyFont="1" applyAlignment="1">
      <alignment vertical="center"/>
    </xf>
    <xf numFmtId="0" fontId="18" fillId="0" borderId="9" xfId="5" applyFont="1" applyAlignment="1">
      <alignment horizontal="left" vertical="center"/>
    </xf>
    <xf numFmtId="171" fontId="12" fillId="0" borderId="9" xfId="5" applyNumberFormat="1" applyFont="1" applyAlignment="1">
      <alignment horizontal="center"/>
    </xf>
    <xf numFmtId="171" fontId="18" fillId="0" borderId="9" xfId="5" applyNumberFormat="1" applyFont="1"/>
    <xf numFmtId="172" fontId="12" fillId="0" borderId="9" xfId="5" applyNumberFormat="1" applyFont="1"/>
    <xf numFmtId="168" fontId="18" fillId="0" borderId="59" xfId="5" applyNumberFormat="1" applyFont="1" applyBorder="1" applyAlignment="1">
      <alignment horizontal="center"/>
    </xf>
    <xf numFmtId="168" fontId="18" fillId="10" borderId="17" xfId="5" applyNumberFormat="1" applyFont="1" applyFill="1" applyBorder="1" applyAlignment="1">
      <alignment horizontal="center"/>
    </xf>
    <xf numFmtId="168" fontId="18" fillId="10" borderId="26" xfId="5" applyNumberFormat="1" applyFont="1" applyFill="1" applyBorder="1" applyAlignment="1">
      <alignment horizontal="center"/>
    </xf>
    <xf numFmtId="173" fontId="29" fillId="7" borderId="15" xfId="5" applyNumberFormat="1" applyFont="1" applyFill="1" applyBorder="1" applyAlignment="1">
      <alignment horizontal="center"/>
    </xf>
    <xf numFmtId="0" fontId="29" fillId="24" borderId="61" xfId="5" applyFont="1" applyFill="1" applyBorder="1"/>
    <xf numFmtId="0" fontId="29" fillId="24" borderId="62" xfId="5" applyFont="1" applyFill="1" applyBorder="1"/>
    <xf numFmtId="0" fontId="29" fillId="24" borderId="63" xfId="5" applyFont="1" applyFill="1" applyBorder="1"/>
    <xf numFmtId="3" fontId="21" fillId="10" borderId="9" xfId="5" applyNumberFormat="1" applyFont="1" applyFill="1"/>
    <xf numFmtId="0" fontId="18" fillId="0" borderId="30" xfId="5" applyFont="1" applyBorder="1" applyAlignment="1">
      <alignment horizontal="left"/>
    </xf>
    <xf numFmtId="0" fontId="18" fillId="0" borderId="30" xfId="5" applyFont="1" applyBorder="1" applyAlignment="1">
      <alignment horizontal="center"/>
    </xf>
    <xf numFmtId="0" fontId="29" fillId="9" borderId="22" xfId="5" applyFont="1" applyFill="1" applyBorder="1"/>
    <xf numFmtId="168" fontId="29" fillId="9" borderId="23" xfId="5" applyNumberFormat="1" applyFont="1" applyFill="1" applyBorder="1"/>
    <xf numFmtId="168" fontId="29" fillId="9" borderId="24" xfId="5" applyNumberFormat="1" applyFont="1" applyFill="1" applyBorder="1"/>
    <xf numFmtId="0" fontId="68" fillId="0" borderId="0" xfId="0" applyFont="1"/>
    <xf numFmtId="10" fontId="12" fillId="36" borderId="0" xfId="0" applyNumberFormat="1" applyFont="1" applyFill="1"/>
    <xf numFmtId="9" fontId="0" fillId="0" borderId="0" xfId="0" applyNumberFormat="1"/>
    <xf numFmtId="177" fontId="64" fillId="0" borderId="17" xfId="0" applyNumberFormat="1" applyFont="1" applyBorder="1" applyAlignment="1">
      <alignment horizontal="center"/>
    </xf>
    <xf numFmtId="177" fontId="64" fillId="0" borderId="59" xfId="0" applyNumberFormat="1" applyFont="1" applyBorder="1" applyAlignment="1">
      <alignment horizontal="center"/>
    </xf>
    <xf numFmtId="177" fontId="65" fillId="30" borderId="72" xfId="0" applyNumberFormat="1" applyFont="1" applyFill="1" applyBorder="1" applyAlignment="1">
      <alignment horizontal="center"/>
    </xf>
    <xf numFmtId="177" fontId="64" fillId="0" borderId="83" xfId="0" applyNumberFormat="1" applyFont="1" applyBorder="1" applyAlignment="1">
      <alignment horizontal="center"/>
    </xf>
    <xf numFmtId="177" fontId="64" fillId="0" borderId="84" xfId="0" applyNumberFormat="1" applyFont="1" applyBorder="1" applyAlignment="1">
      <alignment horizontal="center"/>
    </xf>
    <xf numFmtId="177" fontId="65" fillId="30" borderId="86" xfId="0" applyNumberFormat="1" applyFont="1" applyFill="1" applyBorder="1" applyAlignment="1">
      <alignment horizontal="center"/>
    </xf>
    <xf numFmtId="167" fontId="64" fillId="24" borderId="17" xfId="0" applyNumberFormat="1" applyFont="1" applyFill="1" applyBorder="1" applyAlignment="1">
      <alignment horizontal="center"/>
    </xf>
    <xf numFmtId="177" fontId="0" fillId="0" borderId="99" xfId="0" applyNumberFormat="1" applyBorder="1"/>
    <xf numFmtId="0" fontId="54" fillId="0" borderId="0" xfId="0" applyFont="1"/>
    <xf numFmtId="0" fontId="56" fillId="0" borderId="0" xfId="0" applyFont="1"/>
    <xf numFmtId="0" fontId="30" fillId="25" borderId="9" xfId="8" applyFont="1" applyFill="1"/>
    <xf numFmtId="167" fontId="23" fillId="37" borderId="17" xfId="0" applyNumberFormat="1" applyFont="1" applyFill="1" applyBorder="1" applyAlignment="1">
      <alignment horizontal="center"/>
    </xf>
    <xf numFmtId="0" fontId="54" fillId="25" borderId="0" xfId="0" applyFont="1" applyFill="1"/>
    <xf numFmtId="4" fontId="0" fillId="25" borderId="0" xfId="0" applyNumberFormat="1" applyFill="1"/>
    <xf numFmtId="164" fontId="12" fillId="38" borderId="0" xfId="0" applyNumberFormat="1" applyFont="1" applyFill="1"/>
    <xf numFmtId="4" fontId="0" fillId="39" borderId="0" xfId="0" applyNumberFormat="1" applyFill="1"/>
    <xf numFmtId="164" fontId="12" fillId="39" borderId="0" xfId="0" applyNumberFormat="1" applyFont="1" applyFill="1"/>
    <xf numFmtId="164" fontId="12" fillId="39" borderId="11" xfId="0" applyNumberFormat="1" applyFont="1" applyFill="1" applyBorder="1"/>
    <xf numFmtId="0" fontId="11" fillId="40" borderId="3" xfId="0" applyFont="1" applyFill="1" applyBorder="1"/>
    <xf numFmtId="0" fontId="16" fillId="0" borderId="61" xfId="0" applyFont="1" applyBorder="1"/>
    <xf numFmtId="164" fontId="0" fillId="0" borderId="62" xfId="0" applyNumberFormat="1" applyBorder="1"/>
    <xf numFmtId="164" fontId="0" fillId="0" borderId="63" xfId="0" applyNumberFormat="1" applyBorder="1"/>
    <xf numFmtId="168" fontId="19" fillId="0" borderId="18" xfId="0" applyNumberFormat="1" applyFont="1" applyBorder="1" applyAlignment="1">
      <alignment horizontal="center" vertical="center"/>
    </xf>
    <xf numFmtId="0" fontId="25" fillId="0" borderId="19" xfId="0" applyFont="1" applyBorder="1"/>
    <xf numFmtId="0" fontId="24" fillId="0" borderId="0" xfId="0" applyFont="1" applyAlignment="1">
      <alignment horizontal="center"/>
    </xf>
    <xf numFmtId="0" fontId="0" fillId="0" borderId="0" xfId="0"/>
    <xf numFmtId="0" fontId="28" fillId="4" borderId="22" xfId="0" applyFont="1" applyFill="1" applyBorder="1" applyAlignment="1">
      <alignment horizontal="center"/>
    </xf>
    <xf numFmtId="0" fontId="25" fillId="0" borderId="23" xfId="0" applyFont="1" applyBorder="1"/>
    <xf numFmtId="0" fontId="25" fillId="0" borderId="24" xfId="0" applyFont="1" applyBorder="1"/>
    <xf numFmtId="0" fontId="26" fillId="9" borderId="22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5" fillId="0" borderId="11" xfId="0" applyFont="1" applyBorder="1"/>
    <xf numFmtId="0" fontId="50" fillId="0" borderId="30" xfId="5" applyFont="1" applyBorder="1" applyAlignment="1">
      <alignment horizontal="center"/>
    </xf>
    <xf numFmtId="0" fontId="51" fillId="0" borderId="30" xfId="5" applyFont="1" applyBorder="1"/>
    <xf numFmtId="0" fontId="24" fillId="0" borderId="9" xfId="5" applyFont="1" applyAlignment="1">
      <alignment horizontal="center"/>
    </xf>
    <xf numFmtId="0" fontId="2" fillId="0" borderId="9" xfId="5"/>
    <xf numFmtId="0" fontId="66" fillId="29" borderId="9" xfId="5" applyFont="1" applyFill="1" applyAlignment="1">
      <alignment horizontal="center"/>
    </xf>
    <xf numFmtId="0" fontId="47" fillId="4" borderId="22" xfId="5" applyFont="1" applyFill="1" applyBorder="1" applyAlignment="1">
      <alignment horizontal="center"/>
    </xf>
    <xf numFmtId="0" fontId="48" fillId="0" borderId="23" xfId="5" applyFont="1" applyBorder="1"/>
    <xf numFmtId="0" fontId="48" fillId="0" borderId="24" xfId="5" applyFont="1" applyBorder="1"/>
    <xf numFmtId="0" fontId="49" fillId="9" borderId="22" xfId="5" applyFont="1" applyFill="1" applyBorder="1" applyAlignment="1">
      <alignment horizontal="center"/>
    </xf>
    <xf numFmtId="0" fontId="17" fillId="0" borderId="23" xfId="5" applyFont="1" applyBorder="1"/>
    <xf numFmtId="0" fontId="17" fillId="0" borderId="24" xfId="5" applyFont="1" applyBorder="1"/>
    <xf numFmtId="0" fontId="49" fillId="9" borderId="22" xfId="0" applyFont="1" applyFill="1" applyBorder="1" applyAlignment="1">
      <alignment horizontal="center"/>
    </xf>
    <xf numFmtId="0" fontId="17" fillId="0" borderId="23" xfId="0" applyFont="1" applyBorder="1"/>
    <xf numFmtId="0" fontId="17" fillId="0" borderId="24" xfId="0" applyFont="1" applyBorder="1"/>
    <xf numFmtId="0" fontId="50" fillId="0" borderId="11" xfId="0" applyFont="1" applyBorder="1" applyAlignment="1">
      <alignment horizontal="center"/>
    </xf>
    <xf numFmtId="0" fontId="51" fillId="0" borderId="11" xfId="0" applyFont="1" applyBorder="1"/>
    <xf numFmtId="0" fontId="24" fillId="0" borderId="9" xfId="0" applyFont="1" applyBorder="1" applyAlignment="1">
      <alignment horizontal="center"/>
    </xf>
    <xf numFmtId="0" fontId="0" fillId="0" borderId="9" xfId="0" applyBorder="1"/>
    <xf numFmtId="0" fontId="47" fillId="4" borderId="22" xfId="0" applyFont="1" applyFill="1" applyBorder="1" applyAlignment="1">
      <alignment horizontal="center"/>
    </xf>
    <xf numFmtId="0" fontId="48" fillId="0" borderId="23" xfId="0" applyFont="1" applyBorder="1"/>
    <xf numFmtId="0" fontId="48" fillId="0" borderId="24" xfId="0" applyFont="1" applyBorder="1"/>
    <xf numFmtId="0" fontId="33" fillId="0" borderId="0" xfId="0" applyFont="1" applyAlignment="1">
      <alignment horizontal="center"/>
    </xf>
    <xf numFmtId="0" fontId="34" fillId="18" borderId="46" xfId="0" applyFont="1" applyFill="1" applyBorder="1" applyAlignment="1">
      <alignment horizontal="center" vertical="center" wrapText="1"/>
    </xf>
    <xf numFmtId="0" fontId="25" fillId="0" borderId="47" xfId="0" applyFont="1" applyBorder="1"/>
    <xf numFmtId="0" fontId="25" fillId="0" borderId="48" xfId="0" applyFont="1" applyBorder="1"/>
    <xf numFmtId="0" fontId="25" fillId="0" borderId="51" xfId="0" applyFont="1" applyBorder="1"/>
    <xf numFmtId="0" fontId="25" fillId="0" borderId="52" xfId="0" applyFont="1" applyBorder="1"/>
    <xf numFmtId="0" fontId="25" fillId="0" borderId="53" xfId="0" applyFont="1" applyBorder="1"/>
    <xf numFmtId="0" fontId="35" fillId="15" borderId="33" xfId="0" applyFont="1" applyFill="1" applyBorder="1" applyAlignment="1">
      <alignment horizontal="center"/>
    </xf>
    <xf numFmtId="0" fontId="25" fillId="0" borderId="35" xfId="0" applyFont="1" applyBorder="1"/>
    <xf numFmtId="0" fontId="34" fillId="0" borderId="33" xfId="0" applyFont="1" applyBorder="1" applyAlignment="1">
      <alignment horizontal="center"/>
    </xf>
    <xf numFmtId="0" fontId="34" fillId="18" borderId="43" xfId="0" applyFont="1" applyFill="1" applyBorder="1" applyAlignment="1">
      <alignment horizontal="center" vertical="center"/>
    </xf>
    <xf numFmtId="0" fontId="25" fillId="0" borderId="44" xfId="0" applyFont="1" applyBorder="1"/>
    <xf numFmtId="0" fontId="25" fillId="0" borderId="45" xfId="0" applyFont="1" applyBorder="1"/>
    <xf numFmtId="0" fontId="25" fillId="0" borderId="49" xfId="0" applyFont="1" applyBorder="1"/>
    <xf numFmtId="0" fontId="25" fillId="0" borderId="32" xfId="0" applyFont="1" applyBorder="1"/>
    <xf numFmtId="0" fontId="25" fillId="0" borderId="50" xfId="0" applyFont="1" applyBorder="1"/>
    <xf numFmtId="0" fontId="34" fillId="18" borderId="33" xfId="0" applyFont="1" applyFill="1" applyBorder="1" applyAlignment="1">
      <alignment horizontal="center" vertical="center"/>
    </xf>
    <xf numFmtId="0" fontId="34" fillId="17" borderId="33" xfId="0" applyFont="1" applyFill="1" applyBorder="1" applyAlignment="1">
      <alignment horizontal="center"/>
    </xf>
    <xf numFmtId="0" fontId="34" fillId="12" borderId="33" xfId="0" applyFont="1" applyFill="1" applyBorder="1" applyAlignment="1">
      <alignment horizontal="center" vertical="top"/>
    </xf>
    <xf numFmtId="0" fontId="25" fillId="0" borderId="34" xfId="0" applyFont="1" applyBorder="1"/>
    <xf numFmtId="0" fontId="33" fillId="0" borderId="32" xfId="0" applyFont="1" applyBorder="1" applyAlignment="1">
      <alignment horizontal="center"/>
    </xf>
    <xf numFmtId="0" fontId="34" fillId="17" borderId="36" xfId="0" applyFont="1" applyFill="1" applyBorder="1" applyAlignment="1">
      <alignment horizontal="center" vertical="top" wrapText="1"/>
    </xf>
    <xf numFmtId="0" fontId="25" fillId="0" borderId="37" xfId="0" applyFont="1" applyBorder="1"/>
    <xf numFmtId="0" fontId="25" fillId="0" borderId="38" xfId="0" applyFont="1" applyBorder="1"/>
    <xf numFmtId="0" fontId="35" fillId="0" borderId="33" xfId="0" applyFont="1" applyBorder="1" applyAlignment="1">
      <alignment horizontal="center"/>
    </xf>
    <xf numFmtId="0" fontId="34" fillId="13" borderId="33" xfId="0" applyFont="1" applyFill="1" applyBorder="1" applyAlignment="1">
      <alignment horizontal="center"/>
    </xf>
    <xf numFmtId="0" fontId="34" fillId="14" borderId="33" xfId="0" applyFont="1" applyFill="1" applyBorder="1" applyAlignment="1">
      <alignment horizontal="center"/>
    </xf>
    <xf numFmtId="0" fontId="34" fillId="12" borderId="36" xfId="0" applyFont="1" applyFill="1" applyBorder="1" applyAlignment="1">
      <alignment horizontal="center" vertical="top" wrapText="1"/>
    </xf>
    <xf numFmtId="0" fontId="34" fillId="18" borderId="43" xfId="0" applyFont="1" applyFill="1" applyBorder="1" applyAlignment="1">
      <alignment horizontal="center" vertical="center" wrapText="1"/>
    </xf>
    <xf numFmtId="0" fontId="34" fillId="19" borderId="33" xfId="0" applyFont="1" applyFill="1" applyBorder="1" applyAlignment="1">
      <alignment horizontal="center" vertical="top"/>
    </xf>
    <xf numFmtId="0" fontId="34" fillId="4" borderId="43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57" fillId="30" borderId="110" xfId="0" applyFont="1" applyFill="1" applyBorder="1" applyAlignment="1">
      <alignment horizontal="center"/>
    </xf>
    <xf numFmtId="0" fontId="57" fillId="30" borderId="97" xfId="0" applyFont="1" applyFill="1" applyBorder="1" applyAlignment="1">
      <alignment horizontal="center"/>
    </xf>
    <xf numFmtId="0" fontId="57" fillId="30" borderId="98" xfId="0" applyFont="1" applyFill="1" applyBorder="1" applyAlignment="1">
      <alignment horizontal="center"/>
    </xf>
    <xf numFmtId="0" fontId="25" fillId="0" borderId="23" xfId="0" applyFont="1" applyBorder="1" applyAlignment="1"/>
    <xf numFmtId="0" fontId="25" fillId="0" borderId="24" xfId="0" applyFont="1" applyBorder="1" applyAlignment="1"/>
  </cellXfs>
  <cellStyles count="9">
    <cellStyle name="Comma" xfId="2" builtinId="3"/>
    <cellStyle name="Comma 2" xfId="6" xr:uid="{A95CC29C-A730-49AA-9C3D-45860511053F}"/>
    <cellStyle name="Currency" xfId="3" builtinId="4"/>
    <cellStyle name="Hyperlink" xfId="4" builtinId="8"/>
    <cellStyle name="Normal" xfId="0" builtinId="0"/>
    <cellStyle name="Normal 2" xfId="5" xr:uid="{1BBBC9BB-70C2-4288-A6CC-D1B0EF07670C}"/>
    <cellStyle name="Normal 26" xfId="8" xr:uid="{9ADC5295-2C72-427A-A853-D66EDF9DA01B}"/>
    <cellStyle name="Percent" xfId="1" builtinId="5"/>
    <cellStyle name="Percent 2" xfId="7" xr:uid="{5D32C5CA-2480-4FC2-8CC8-7C44123DEB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FA44D0\CP%202025%20Property%20Budget%20Template_Master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29EA9E\CWL%20RATES%202022-2025%20(Ajuste%20Lapa%20Rios)%202026%20(TA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Alejandro%20Oviedo\Escritorio\CRECE%20Centroamerica\Auditoria%2030-jun-12\Cierres%20junio%20masaya\Junio%202012\Cierre_de_Caja_Masaya_16_de_Junio_2012(V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Sales &amp; Reservations"/>
      <sheetName val="Assumptions"/>
      <sheetName val="Summary (rev03-26)"/>
      <sheetName val="Capex Budget 2024"/>
      <sheetName val="Summary"/>
      <sheetName val="Side by Side 2023-2024"/>
      <sheetName val="Sales.24"/>
      <sheetName val="2023-2024 Rec &amp; Assump."/>
      <sheetName val="Reserv.24"/>
      <sheetName val="SK OTB.BUD.FCST"/>
      <sheetName val="Cash Needs 2024"/>
      <sheetName val="Cost of Food"/>
      <sheetName val="SK Daily Forecast"/>
      <sheetName val="Rooms"/>
      <sheetName val="Act &amp; Innoce, SPA"/>
      <sheetName val="Rental Cars"/>
      <sheetName val="F&amp;B"/>
      <sheetName val="Minor Dept (incl Retail)"/>
      <sheetName val="Misc + Rent Income"/>
      <sheetName val="Crowther"/>
      <sheetName val="Rooms Labor Standard"/>
      <sheetName val="Labor"/>
      <sheetName val="Labor Records"/>
      <sheetName val="A&amp;G"/>
      <sheetName val="People Services (incl A&amp;G)"/>
      <sheetName val="Ops &amp; Maintenance"/>
      <sheetName val="Info Telecom"/>
      <sheetName val="S&amp;M"/>
      <sheetName val="Utilities"/>
      <sheetName val="Mgmt.Royalty+Non-Op+ITDA"/>
      <sheetName val="Aproach 2025"/>
      <sheetName val="Rates 2025"/>
      <sheetName val="Occupancy 2023_2024_2025"/>
      <sheetName val="Data"/>
      <sheetName val="CrossfireHiddenWorksheet"/>
      <sheetName val="OfficeConnectCellHighlights"/>
      <sheetName val="AssumptionsSaving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CASA CORCOVADO"/>
      <sheetName val="RATES CWL 2023-2024"/>
      <sheetName val="Copy of RATES CWL 2024-2025"/>
      <sheetName val="RATES CWL 2024-2025 (Updated)"/>
      <sheetName val="RATES 2025-2026"/>
      <sheetName val="2025-2026  3 noches CON AUMENTO"/>
      <sheetName val="2025-2026 4 ncohes"/>
      <sheetName val="Precios Lapa Rios"/>
      <sheetName val="CABIAR TARIFAS"/>
      <sheetName val="comparaciòn 2026"/>
      <sheetName val="Room Hierarchy"/>
      <sheetName val="Final 2026 Rates"/>
      <sheetName val="break 2 pax 3 nigths"/>
      <sheetName val="break 1 pax 3 nigths"/>
      <sheetName val="Analisis Precio Hab "/>
      <sheetName val="4 Nights Pack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-06-12"/>
      <sheetName val="Venta Masaya"/>
      <sheetName val="Credito Masaya"/>
      <sheetName val="Resumen del Mes"/>
      <sheetName val="Tipo Cambi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zoomScale="89" zoomScaleNormal="89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O36" sqref="O36"/>
    </sheetView>
  </sheetViews>
  <sheetFormatPr defaultColWidth="14.42578125" defaultRowHeight="15" customHeight="1"/>
  <cols>
    <col min="1" max="1" width="36.42578125" customWidth="1"/>
    <col min="2" max="3" width="16.7109375" customWidth="1"/>
    <col min="4" max="4" width="21.42578125" customWidth="1"/>
    <col min="5" max="14" width="16.7109375" customWidth="1"/>
    <col min="15" max="15" width="17.42578125" customWidth="1"/>
    <col min="16" max="16" width="15.28515625" customWidth="1"/>
    <col min="17" max="17" width="18.140625" customWidth="1"/>
    <col min="18" max="18" width="13.42578125" customWidth="1"/>
    <col min="19" max="26" width="8.7109375" customWidth="1"/>
  </cols>
  <sheetData>
    <row r="1" spans="1:17" ht="15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3" spans="1:17">
      <c r="A3" s="1" t="s">
        <v>12</v>
      </c>
    </row>
    <row r="5" spans="1:17"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  <c r="L5" s="4" t="s">
        <v>23</v>
      </c>
      <c r="M5" s="4" t="s">
        <v>24</v>
      </c>
      <c r="N5" s="5" t="s">
        <v>25</v>
      </c>
    </row>
    <row r="7" spans="1:17" ht="18.75" customHeight="1">
      <c r="A7" s="6" t="s">
        <v>26</v>
      </c>
    </row>
    <row r="8" spans="1:17" ht="18.75" customHeight="1">
      <c r="A8" s="7"/>
    </row>
    <row r="9" spans="1:17">
      <c r="A9" s="500" t="s">
        <v>27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  <c r="N9" s="5" t="s">
        <v>25</v>
      </c>
    </row>
    <row r="10" spans="1:17">
      <c r="A10" s="9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spans="1:17" ht="15.75" thickBot="1">
      <c r="A11" s="12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7">
      <c r="A12" s="12" t="s">
        <v>29</v>
      </c>
      <c r="B12" s="13">
        <f>+Rooms!C27</f>
        <v>930</v>
      </c>
      <c r="C12" s="13">
        <f>+Rooms!D27</f>
        <v>840</v>
      </c>
      <c r="D12" s="13">
        <f>+Rooms!E27</f>
        <v>930</v>
      </c>
      <c r="E12" s="13">
        <f>+Rooms!F27</f>
        <v>900</v>
      </c>
      <c r="F12" s="13">
        <f>+Rooms!G27</f>
        <v>930</v>
      </c>
      <c r="G12" s="13">
        <f>+Rooms!H27</f>
        <v>900</v>
      </c>
      <c r="H12" s="13">
        <f>+Rooms!I27</f>
        <v>930</v>
      </c>
      <c r="I12" s="13">
        <f>+Rooms!J27</f>
        <v>930</v>
      </c>
      <c r="J12" s="13">
        <f>+Rooms!K27</f>
        <v>900</v>
      </c>
      <c r="K12" s="13">
        <f>+Rooms!L27</f>
        <v>0</v>
      </c>
      <c r="L12" s="13">
        <f>+Rooms!M27</f>
        <v>900</v>
      </c>
      <c r="M12" s="13">
        <f>+Rooms!N27</f>
        <v>930</v>
      </c>
      <c r="N12" s="14">
        <f>+Rooms!O27</f>
        <v>10020</v>
      </c>
      <c r="O12" s="223">
        <f>+N46</f>
        <v>10950</v>
      </c>
      <c r="P12" s="223">
        <f>+N12+O12</f>
        <v>20970</v>
      </c>
    </row>
    <row r="13" spans="1:17">
      <c r="A13" s="12" t="s">
        <v>30</v>
      </c>
      <c r="B13" s="13">
        <f>+Rooms!C28</f>
        <v>697.5</v>
      </c>
      <c r="C13" s="13">
        <f>+Rooms!D28</f>
        <v>638.4</v>
      </c>
      <c r="D13" s="13">
        <f>+Rooms!E28</f>
        <v>607.70000000000005</v>
      </c>
      <c r="E13" s="13">
        <f>+Rooms!F28</f>
        <v>332</v>
      </c>
      <c r="F13" s="13">
        <f>+Rooms!G28</f>
        <v>232.48620689655172</v>
      </c>
      <c r="G13" s="13">
        <f>+Rooms!H28</f>
        <v>167.65517241379311</v>
      </c>
      <c r="H13" s="13">
        <f>+Rooms!I28</f>
        <v>332.1</v>
      </c>
      <c r="I13" s="13">
        <f>+Rooms!J28</f>
        <v>251.32</v>
      </c>
      <c r="J13" s="13">
        <f>+Rooms!K28</f>
        <v>82.320000000000007</v>
      </c>
      <c r="K13" s="13">
        <f>+Rooms!L28</f>
        <v>0</v>
      </c>
      <c r="L13" s="13">
        <f>+Rooms!M28</f>
        <v>410.09999999999997</v>
      </c>
      <c r="M13" s="13">
        <f>+Rooms!N28</f>
        <v>611.70749999999998</v>
      </c>
      <c r="N13" s="15">
        <f>+Rooms!O28</f>
        <v>4363.2888793103448</v>
      </c>
      <c r="O13" s="223">
        <f t="shared" ref="O13:O16" si="0">+N47</f>
        <v>3179</v>
      </c>
    </row>
    <row r="14" spans="1:17">
      <c r="A14" s="12" t="s">
        <v>31</v>
      </c>
      <c r="B14" s="13">
        <f>+Rooms!C29</f>
        <v>1255.5</v>
      </c>
      <c r="C14" s="13">
        <f>+Rooms!D29</f>
        <v>1149.1199999999999</v>
      </c>
      <c r="D14" s="13">
        <f>+Rooms!E29</f>
        <v>1093.8600000000001</v>
      </c>
      <c r="E14" s="13">
        <f>+Rooms!F29</f>
        <v>597.6</v>
      </c>
      <c r="F14" s="13">
        <f>+Rooms!G29</f>
        <v>418.47517241379313</v>
      </c>
      <c r="G14" s="13">
        <f>+Rooms!H29</f>
        <v>301.77931034482759</v>
      </c>
      <c r="H14" s="13">
        <f>+Rooms!I29</f>
        <v>597.78000000000009</v>
      </c>
      <c r="I14" s="13">
        <f>+Rooms!J29</f>
        <v>452.37600000000003</v>
      </c>
      <c r="J14" s="13">
        <f>+Rooms!K29</f>
        <v>148.17600000000002</v>
      </c>
      <c r="K14" s="13">
        <f>+Rooms!L29</f>
        <v>0</v>
      </c>
      <c r="L14" s="13">
        <f>+Rooms!M29</f>
        <v>738.18</v>
      </c>
      <c r="M14" s="13">
        <f>+Rooms!N29</f>
        <v>1101.0735000000002</v>
      </c>
      <c r="N14" s="15">
        <f>+Rooms!O29</f>
        <v>7853.9199827586217</v>
      </c>
      <c r="O14" s="223">
        <f t="shared" si="0"/>
        <v>5677</v>
      </c>
    </row>
    <row r="15" spans="1:17">
      <c r="A15" s="12" t="s">
        <v>32</v>
      </c>
      <c r="B15" s="16">
        <f>+Rooms!C30</f>
        <v>0.75</v>
      </c>
      <c r="C15" s="16">
        <f>+Rooms!D30</f>
        <v>0.76</v>
      </c>
      <c r="D15" s="16">
        <f>+Rooms!E30</f>
        <v>0.65344086021505376</v>
      </c>
      <c r="E15" s="13">
        <f>+Rooms!F30</f>
        <v>0.36888888888888888</v>
      </c>
      <c r="F15" s="13">
        <f>+Rooms!G30</f>
        <v>0.2499851687059696</v>
      </c>
      <c r="G15" s="13">
        <f>+Rooms!H30</f>
        <v>0.18628352490421457</v>
      </c>
      <c r="H15" s="13">
        <f>+Rooms!I30</f>
        <v>0.35709677419354841</v>
      </c>
      <c r="I15" s="16">
        <f>+Rooms!J30</f>
        <v>0.27023655913978495</v>
      </c>
      <c r="J15" s="16">
        <f>+Rooms!K30</f>
        <v>9.1466666666666668E-2</v>
      </c>
      <c r="K15" s="16"/>
      <c r="L15" s="16">
        <f>+Rooms!M30</f>
        <v>0.45566666666666661</v>
      </c>
      <c r="M15" s="16">
        <f>+Rooms!N30</f>
        <v>0.65774999999999995</v>
      </c>
      <c r="N15" s="17">
        <f>+Rooms!O30</f>
        <v>0.43545797198706038</v>
      </c>
      <c r="O15" s="224">
        <f t="shared" si="0"/>
        <v>0.29031963470319633</v>
      </c>
      <c r="P15" s="222">
        <f>+N15-O15</f>
        <v>0.14513833728386405</v>
      </c>
    </row>
    <row r="16" spans="1:17">
      <c r="A16" s="12" t="s">
        <v>33</v>
      </c>
      <c r="B16" s="10">
        <f>+Rooms!C31</f>
        <v>595.27155268817205</v>
      </c>
      <c r="C16" s="10">
        <f>+Rooms!D31</f>
        <v>583.47404761904772</v>
      </c>
      <c r="D16" s="10">
        <f>+Rooms!E31</f>
        <v>590.96203060720745</v>
      </c>
      <c r="E16" s="10">
        <f>+Rooms!F31</f>
        <v>635.29075301204819</v>
      </c>
      <c r="F16" s="10">
        <f>+Rooms!G31</f>
        <v>521.40327776212166</v>
      </c>
      <c r="G16" s="10">
        <f>+Rooms!H31</f>
        <v>553.70169683257927</v>
      </c>
      <c r="H16" s="10">
        <f>+Rooms!I31</f>
        <v>566.23140921409208</v>
      </c>
      <c r="I16" s="10">
        <f>+Rooms!J31</f>
        <v>520.61790227598283</v>
      </c>
      <c r="J16" s="10">
        <f>+Rooms!K31</f>
        <v>485.58682215743437</v>
      </c>
      <c r="K16" s="10"/>
      <c r="L16" s="10">
        <f>+Rooms!M31</f>
        <v>548.40743818580836</v>
      </c>
      <c r="M16" s="10">
        <f>+Rooms!N31</f>
        <v>733.76343507313561</v>
      </c>
      <c r="N16" s="18">
        <f>+Rooms!O31</f>
        <v>596.88852332652982</v>
      </c>
      <c r="O16" s="223">
        <f t="shared" si="0"/>
        <v>484.67681856479595</v>
      </c>
      <c r="P16" s="225">
        <f>+N16-O16</f>
        <v>112.21170476173387</v>
      </c>
      <c r="Q16" s="198">
        <f>+P16/O16</f>
        <v>0.23151861294709808</v>
      </c>
    </row>
    <row r="17" spans="1:26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customHeight="1">
      <c r="A18" s="23" t="s">
        <v>1</v>
      </c>
      <c r="B18" s="496">
        <f>+Rooms!C38</f>
        <v>415201.908</v>
      </c>
      <c r="C18" s="496">
        <f>+Rooms!D38</f>
        <v>372489.83200000005</v>
      </c>
      <c r="D18" s="496">
        <f>+Rooms!E38</f>
        <v>359127.62599999999</v>
      </c>
      <c r="E18" s="496">
        <f>+Rooms!F38</f>
        <v>210916.53</v>
      </c>
      <c r="F18" s="496">
        <f>+Rooms!G38</f>
        <v>121219.07031034485</v>
      </c>
      <c r="G18" s="496">
        <f>+Rooms!H38</f>
        <v>92830.95344827589</v>
      </c>
      <c r="H18" s="496">
        <f>+Rooms!I38</f>
        <v>188045.451</v>
      </c>
      <c r="I18" s="496">
        <f>+Rooms!J38</f>
        <v>130841.6912</v>
      </c>
      <c r="J18" s="496">
        <f>+Rooms!K38</f>
        <v>39973.5072</v>
      </c>
      <c r="K18" s="496">
        <f>+Rooms!L38</f>
        <v>0</v>
      </c>
      <c r="L18" s="496">
        <f>+Rooms!M38</f>
        <v>224901.89039999997</v>
      </c>
      <c r="M18" s="496">
        <f>+Rooms!N38</f>
        <v>448848.59646000009</v>
      </c>
      <c r="N18" s="21">
        <f t="shared" ref="N18:N27" si="1">SUM(B18:M18)</f>
        <v>2604397.0560186207</v>
      </c>
      <c r="O18" s="226">
        <f>+N52</f>
        <v>1540787.6062174863</v>
      </c>
    </row>
    <row r="19" spans="1:26" ht="15.75" customHeight="1">
      <c r="A19" s="23" t="s">
        <v>2</v>
      </c>
      <c r="B19" s="496">
        <f>'Food Revenue'!C38</f>
        <v>113356.584</v>
      </c>
      <c r="C19" s="496">
        <f>'Food Revenue'!D38</f>
        <v>103751.74656</v>
      </c>
      <c r="D19" s="496">
        <f>'Food Revenue'!E38</f>
        <v>98762.431680000009</v>
      </c>
      <c r="E19" s="496">
        <f>'Food Revenue'!F38</f>
        <v>53956.108800000016</v>
      </c>
      <c r="F19" s="496">
        <f>'Food Revenue'!G38</f>
        <v>37783.286366896558</v>
      </c>
      <c r="G19" s="496">
        <f>'Food Revenue'!H38</f>
        <v>27247.050372413796</v>
      </c>
      <c r="H19" s="496">
        <f>'Food Revenue'!I38</f>
        <v>53972.360640000014</v>
      </c>
      <c r="I19" s="496">
        <f>'Food Revenue'!J38</f>
        <v>40844.124288000006</v>
      </c>
      <c r="J19" s="496">
        <f>'Food Revenue'!K38</f>
        <v>13378.514688000003</v>
      </c>
      <c r="K19" s="496">
        <f>'Food Revenue'!L38</f>
        <v>0</v>
      </c>
      <c r="L19" s="496">
        <f>'Food Revenue'!M38</f>
        <v>66648.795840000006</v>
      </c>
      <c r="M19" s="496">
        <f>'Food Revenue'!N38</f>
        <v>99413.724168000015</v>
      </c>
      <c r="N19" s="21">
        <f t="shared" si="1"/>
        <v>709114.72740331048</v>
      </c>
      <c r="O19" s="226">
        <f t="shared" ref="O19:O28" si="2">+N53</f>
        <v>428040.28774590453</v>
      </c>
    </row>
    <row r="20" spans="1:26" ht="15.75" customHeight="1">
      <c r="A20" s="23" t="s">
        <v>3</v>
      </c>
      <c r="B20" s="498">
        <f>'Beverage Revenue'!B38</f>
        <v>38541.238560000005</v>
      </c>
      <c r="C20" s="498">
        <f>'Beverage Revenue'!C38</f>
        <v>35275.593830400001</v>
      </c>
      <c r="D20" s="498">
        <f>'Beverage Revenue'!D38</f>
        <v>33579.226771200003</v>
      </c>
      <c r="E20" s="498">
        <f>'Beverage Revenue'!E38</f>
        <v>18345.076992000006</v>
      </c>
      <c r="F20" s="498">
        <f>'Beverage Revenue'!F38</f>
        <v>12846.317364744831</v>
      </c>
      <c r="G20" s="498">
        <f>'Beverage Revenue'!G38</f>
        <v>9263.9971266206921</v>
      </c>
      <c r="H20" s="498">
        <f>'Beverage Revenue'!H38</f>
        <v>18350.602617600005</v>
      </c>
      <c r="I20" s="498">
        <f>'Beverage Revenue'!I38</f>
        <v>13887.002257920003</v>
      </c>
      <c r="J20" s="498">
        <f>'Beverage Revenue'!J38</f>
        <v>4548.6949939200013</v>
      </c>
      <c r="K20" s="498">
        <f>'Beverage Revenue'!K38</f>
        <v>0</v>
      </c>
      <c r="L20" s="498">
        <f>'Beverage Revenue'!L38</f>
        <v>22660.590585600003</v>
      </c>
      <c r="M20" s="498">
        <f>'Beverage Revenue'!M38</f>
        <v>33800.666217120008</v>
      </c>
      <c r="N20" s="21">
        <f t="shared" si="1"/>
        <v>241099.00731712559</v>
      </c>
      <c r="O20" s="226">
        <f t="shared" si="2"/>
        <v>136270.41276654525</v>
      </c>
    </row>
    <row r="21" spans="1:26" ht="15.75" customHeight="1">
      <c r="A21" s="23" t="s">
        <v>4</v>
      </c>
      <c r="B21" s="498">
        <f>'F&amp;B Mis Revenue'!B38</f>
        <v>0</v>
      </c>
      <c r="C21" s="498">
        <f>'F&amp;B Mis Revenue'!C38</f>
        <v>0</v>
      </c>
      <c r="D21" s="498">
        <f>'F&amp;B Mis Revenue'!D38</f>
        <v>0</v>
      </c>
      <c r="E21" s="498">
        <f>'F&amp;B Mis Revenue'!E38</f>
        <v>0</v>
      </c>
      <c r="F21" s="498">
        <f>'F&amp;B Mis Revenue'!F38</f>
        <v>0</v>
      </c>
      <c r="G21" s="498">
        <f>'F&amp;B Mis Revenue'!G38</f>
        <v>0</v>
      </c>
      <c r="H21" s="498">
        <f>'F&amp;B Mis Revenue'!H38</f>
        <v>0</v>
      </c>
      <c r="I21" s="498">
        <f>'F&amp;B Mis Revenue'!I38</f>
        <v>0</v>
      </c>
      <c r="J21" s="498">
        <f>'F&amp;B Mis Revenue'!J38</f>
        <v>0</v>
      </c>
      <c r="K21" s="498">
        <f>'F&amp;B Mis Revenue'!K38</f>
        <v>0</v>
      </c>
      <c r="L21" s="498">
        <f>'F&amp;B Mis Revenue'!L38</f>
        <v>0</v>
      </c>
      <c r="M21" s="498">
        <f>'F&amp;B Mis Revenue'!M38</f>
        <v>0</v>
      </c>
      <c r="N21" s="21">
        <f t="shared" si="1"/>
        <v>0</v>
      </c>
      <c r="O21" s="226">
        <f t="shared" si="2"/>
        <v>33723.037449050054</v>
      </c>
    </row>
    <row r="22" spans="1:26" ht="15.75" customHeight="1">
      <c r="A22" s="23" t="s">
        <v>5</v>
      </c>
      <c r="B22" s="498">
        <f>'Spa Revenue'!B38</f>
        <v>5812.5</v>
      </c>
      <c r="C22" s="498">
        <f>'Spa Revenue'!C38</f>
        <v>5250</v>
      </c>
      <c r="D22" s="498">
        <f>'Spa Revenue'!D38</f>
        <v>5812.5</v>
      </c>
      <c r="E22" s="498">
        <f>'Spa Revenue'!E38</f>
        <v>5625</v>
      </c>
      <c r="F22" s="498">
        <f>'Spa Revenue'!F38</f>
        <v>5812.5</v>
      </c>
      <c r="G22" s="498">
        <f>'Spa Revenue'!G38</f>
        <v>5625</v>
      </c>
      <c r="H22" s="498">
        <f>'Spa Revenue'!H38</f>
        <v>5812.5</v>
      </c>
      <c r="I22" s="498">
        <f>'Spa Revenue'!I38</f>
        <v>5812.5</v>
      </c>
      <c r="J22" s="498">
        <f>'Spa Revenue'!J38</f>
        <v>5625</v>
      </c>
      <c r="K22" s="498">
        <f>'Spa Revenue'!K38</f>
        <v>0</v>
      </c>
      <c r="L22" s="498">
        <f>'Spa Revenue'!L38</f>
        <v>5625</v>
      </c>
      <c r="M22" s="498">
        <f>'Spa Revenue'!M38</f>
        <v>5812.5</v>
      </c>
      <c r="N22" s="21">
        <f t="shared" si="1"/>
        <v>62625</v>
      </c>
      <c r="O22" s="226">
        <f t="shared" si="2"/>
        <v>32500.473198170526</v>
      </c>
    </row>
    <row r="23" spans="1:26" ht="15.75" customHeight="1">
      <c r="A23" s="23" t="s">
        <v>6</v>
      </c>
      <c r="B23" s="498">
        <f>'Retail Gift Shop'!B38</f>
        <v>4982.422896</v>
      </c>
      <c r="C23" s="498">
        <f>'Retail Gift Shop'!C38</f>
        <v>4469.8779840000007</v>
      </c>
      <c r="D23" s="498">
        <f>'Retail Gift Shop'!D38</f>
        <v>4309.5315119999996</v>
      </c>
      <c r="E23" s="498">
        <f>'Retail Gift Shop'!E38</f>
        <v>2530.99836</v>
      </c>
      <c r="F23" s="498">
        <f>'Retail Gift Shop'!F38</f>
        <v>1454.6288437241383</v>
      </c>
      <c r="G23" s="498">
        <f>'Retail Gift Shop'!G38</f>
        <v>1113.9714413793106</v>
      </c>
      <c r="H23" s="498">
        <f>'Retail Gift Shop'!H38</f>
        <v>2256.5454119999999</v>
      </c>
      <c r="I23" s="498">
        <f>'Retail Gift Shop'!I38</f>
        <v>1570.1002943999999</v>
      </c>
      <c r="J23" s="498">
        <f>'Retail Gift Shop'!J38</f>
        <v>479.6820864</v>
      </c>
      <c r="K23" s="498">
        <f>'Retail Gift Shop'!K38</f>
        <v>0</v>
      </c>
      <c r="L23" s="498">
        <f>'Retail Gift Shop'!L38</f>
        <v>2698.8226847999999</v>
      </c>
      <c r="M23" s="498">
        <f>'Retail Gift Shop'!M38</f>
        <v>5386.1831575200013</v>
      </c>
      <c r="N23" s="21">
        <f t="shared" si="1"/>
        <v>31252.764672223453</v>
      </c>
      <c r="O23" s="226">
        <f t="shared" si="2"/>
        <v>18170.773810055751</v>
      </c>
    </row>
    <row r="24" spans="1:26" ht="15.75" customHeight="1">
      <c r="A24" s="23" t="s">
        <v>7</v>
      </c>
      <c r="B24" s="496">
        <f>Activities!B38</f>
        <v>106009.39800000002</v>
      </c>
      <c r="C24" s="496">
        <f>Activities!C38</f>
        <v>97027.096320000011</v>
      </c>
      <c r="D24" s="496">
        <f>Activities!D38</f>
        <v>92361.162960000016</v>
      </c>
      <c r="E24" s="496">
        <f>Activities!E38</f>
        <v>50458.953600000008</v>
      </c>
      <c r="F24" s="496">
        <f>Activities!F38</f>
        <v>35334.369657931042</v>
      </c>
      <c r="G24" s="496">
        <f>Activities!G38</f>
        <v>25481.037848275868</v>
      </c>
      <c r="H24" s="496">
        <f>Activities!H38</f>
        <v>50474.152080000014</v>
      </c>
      <c r="I24" s="496">
        <f>Activities!I38</f>
        <v>38196.819936000007</v>
      </c>
      <c r="J24" s="496">
        <f>Activities!J38</f>
        <v>12511.388736000001</v>
      </c>
      <c r="K24" s="496">
        <f>Activities!K38</f>
        <v>0</v>
      </c>
      <c r="L24" s="496">
        <f>Activities!L38</f>
        <v>62328.96648000001</v>
      </c>
      <c r="M24" s="496">
        <f>Activities!M38</f>
        <v>92970.242046000028</v>
      </c>
      <c r="N24" s="21">
        <f t="shared" si="1"/>
        <v>663153.58766420698</v>
      </c>
      <c r="O24" s="226">
        <f t="shared" si="2"/>
        <v>303352.17415572907</v>
      </c>
      <c r="P24" s="226">
        <f>+O26</f>
        <v>178974.45758296567</v>
      </c>
      <c r="Q24" s="222">
        <f>+O24+P24</f>
        <v>482326.63173869473</v>
      </c>
      <c r="R24" s="225">
        <f>+N24-Q24</f>
        <v>180826.95592551224</v>
      </c>
    </row>
    <row r="25" spans="1:26" ht="15.75" customHeight="1">
      <c r="A25" s="23" t="s">
        <v>8</v>
      </c>
      <c r="B25" s="496">
        <f>Transportation!B38</f>
        <v>36735.93</v>
      </c>
      <c r="C25" s="496">
        <f>Transportation!C38</f>
        <v>33623.251199999999</v>
      </c>
      <c r="D25" s="496">
        <f>Transportation!D38</f>
        <v>32006.343600000007</v>
      </c>
      <c r="E25" s="496">
        <f>Transportation!E38</f>
        <v>17485.776000000002</v>
      </c>
      <c r="F25" s="496">
        <f>Transportation!F38</f>
        <v>12244.583544827588</v>
      </c>
      <c r="G25" s="496">
        <f>Transportation!G38</f>
        <v>8830.0626206896559</v>
      </c>
      <c r="H25" s="496">
        <f>Transportation!H38</f>
        <v>17491.042800000003</v>
      </c>
      <c r="I25" s="496">
        <f>Transportation!I38</f>
        <v>13236.521760000003</v>
      </c>
      <c r="J25" s="496">
        <f>Transportation!J38</f>
        <v>4335.6297600000007</v>
      </c>
      <c r="K25" s="496">
        <f>Transportation!K38</f>
        <v>0</v>
      </c>
      <c r="L25" s="496">
        <f>Transportation!L38</f>
        <v>21599.146800000002</v>
      </c>
      <c r="M25" s="496">
        <f>Transportation!M38</f>
        <v>32217.41061000001</v>
      </c>
      <c r="N25" s="21">
        <f t="shared" si="1"/>
        <v>229805.69869551726</v>
      </c>
      <c r="O25" s="226">
        <f t="shared" si="2"/>
        <v>121193.3759485773</v>
      </c>
    </row>
    <row r="26" spans="1:26" ht="15.75" customHeight="1">
      <c r="A26" s="23" t="s">
        <v>9</v>
      </c>
      <c r="B26" s="498">
        <f>Innoceanna!B38</f>
        <v>2076.00954</v>
      </c>
      <c r="C26" s="498">
        <f>Innoceanna!C38</f>
        <v>1862.4491600000003</v>
      </c>
      <c r="D26" s="498">
        <f>Innoceanna!D38</f>
        <v>1795.63813</v>
      </c>
      <c r="E26" s="498">
        <f>Innoceanna!E38</f>
        <v>1054.5826500000001</v>
      </c>
      <c r="F26" s="498">
        <f>Innoceanna!F38</f>
        <v>606.09535155172421</v>
      </c>
      <c r="G26" s="498">
        <f>Innoceanna!G38</f>
        <v>464.15476724137943</v>
      </c>
      <c r="H26" s="498">
        <f>Innoceanna!H38</f>
        <v>940.22725500000001</v>
      </c>
      <c r="I26" s="498">
        <f>Innoceanna!I38</f>
        <v>654.20845600000007</v>
      </c>
      <c r="J26" s="498">
        <f>Innoceanna!J38</f>
        <v>199.867536</v>
      </c>
      <c r="K26" s="498">
        <f>Innoceanna!K38</f>
        <v>0</v>
      </c>
      <c r="L26" s="498">
        <f>Innoceanna!L38</f>
        <v>1124.509452</v>
      </c>
      <c r="M26" s="498">
        <f>Innoceanna!M38</f>
        <v>2244.2429823000007</v>
      </c>
      <c r="N26" s="21">
        <f t="shared" si="1"/>
        <v>13021.985280093104</v>
      </c>
      <c r="O26" s="226">
        <f t="shared" si="2"/>
        <v>178974.45758296567</v>
      </c>
    </row>
    <row r="27" spans="1:26" ht="15.75" customHeight="1">
      <c r="A27" s="23" t="s">
        <v>10</v>
      </c>
      <c r="B27" s="496">
        <f>'Sustainability Fee'!B38</f>
        <v>35154</v>
      </c>
      <c r="C27" s="496">
        <f>'Sustainability Fee'!C38</f>
        <v>32175.360000000001</v>
      </c>
      <c r="D27" s="496">
        <f>'Sustainability Fee'!D38</f>
        <v>30628.080000000005</v>
      </c>
      <c r="E27" s="496">
        <f>'Sustainability Fee'!E38</f>
        <v>16732.8</v>
      </c>
      <c r="F27" s="496">
        <f>'Sustainability Fee'!F38</f>
        <v>11717.304827586209</v>
      </c>
      <c r="G27" s="496">
        <f>'Sustainability Fee'!G38</f>
        <v>8449.8206896551728</v>
      </c>
      <c r="H27" s="496">
        <f>'Sustainability Fee'!H38</f>
        <v>16737.840000000004</v>
      </c>
      <c r="I27" s="496">
        <f>'Sustainability Fee'!I38</f>
        <v>12666.528000000002</v>
      </c>
      <c r="J27" s="496">
        <f>'Sustainability Fee'!J38</f>
        <v>4148.9280000000008</v>
      </c>
      <c r="K27" s="496">
        <f>'Sustainability Fee'!K38</f>
        <v>0</v>
      </c>
      <c r="L27" s="496">
        <f>'Sustainability Fee'!L38</f>
        <v>20669.04</v>
      </c>
      <c r="M27" s="496">
        <f>'Sustainability Fee'!M38</f>
        <v>30830.058000000008</v>
      </c>
      <c r="N27" s="21">
        <f t="shared" si="1"/>
        <v>219909.75951724141</v>
      </c>
      <c r="O27" s="226">
        <f t="shared" si="2"/>
        <v>105632.78049724958</v>
      </c>
    </row>
    <row r="28" spans="1:26" ht="16.5" customHeight="1" thickBot="1">
      <c r="A28" s="24" t="s">
        <v>11</v>
      </c>
      <c r="B28" s="499">
        <f>Laundry!B38</f>
        <v>900</v>
      </c>
      <c r="C28" s="499">
        <f>Laundry!C38</f>
        <v>900</v>
      </c>
      <c r="D28" s="499">
        <f>Laundry!D38</f>
        <v>900</v>
      </c>
      <c r="E28" s="499">
        <f>Laundry!E38</f>
        <v>900</v>
      </c>
      <c r="F28" s="499">
        <f>Laundry!F38</f>
        <v>900</v>
      </c>
      <c r="G28" s="499">
        <f>Laundry!G38</f>
        <v>900</v>
      </c>
      <c r="H28" s="499">
        <f>Laundry!H38</f>
        <v>900</v>
      </c>
      <c r="I28" s="499">
        <f>Laundry!I38</f>
        <v>900</v>
      </c>
      <c r="J28" s="499">
        <f>Laundry!J38</f>
        <v>900</v>
      </c>
      <c r="K28" s="499">
        <f>Laundry!K38</f>
        <v>0</v>
      </c>
      <c r="L28" s="499">
        <f>Laundry!L38</f>
        <v>900</v>
      </c>
      <c r="M28" s="499">
        <f>Laundry!M38</f>
        <v>900</v>
      </c>
      <c r="N28" s="26">
        <f t="shared" ref="N28" si="3">SUM(B28:M28)</f>
        <v>9900</v>
      </c>
      <c r="O28" s="226">
        <f t="shared" si="2"/>
        <v>6079.9387722181991</v>
      </c>
    </row>
    <row r="29" spans="1:26" ht="18.75" customHeight="1" thickBot="1">
      <c r="A29" s="27" t="s">
        <v>34</v>
      </c>
      <c r="B29" s="28">
        <f>SUM(B18:B28)</f>
        <v>758769.99099600001</v>
      </c>
      <c r="C29" s="28">
        <f t="shared" ref="C29:M29" si="4">SUM(C18:C28)</f>
        <v>686825.20705440012</v>
      </c>
      <c r="D29" s="28">
        <f t="shared" si="4"/>
        <v>659282.54065320001</v>
      </c>
      <c r="E29" s="28">
        <f t="shared" si="4"/>
        <v>378005.82640200004</v>
      </c>
      <c r="F29" s="28">
        <f t="shared" si="4"/>
        <v>239918.15626760694</v>
      </c>
      <c r="G29" s="28">
        <f t="shared" si="4"/>
        <v>180206.04831455176</v>
      </c>
      <c r="H29" s="28">
        <f t="shared" si="4"/>
        <v>354980.72180460003</v>
      </c>
      <c r="I29" s="28">
        <f t="shared" si="4"/>
        <v>258609.49619232002</v>
      </c>
      <c r="J29" s="28">
        <f t="shared" si="4"/>
        <v>86101.21300032</v>
      </c>
      <c r="K29" s="28">
        <f t="shared" si="4"/>
        <v>0</v>
      </c>
      <c r="L29" s="28">
        <f t="shared" si="4"/>
        <v>429156.76224239997</v>
      </c>
      <c r="M29" s="28">
        <f t="shared" si="4"/>
        <v>752423.62364094018</v>
      </c>
      <c r="N29" s="29">
        <f>SUM(N18:N28)</f>
        <v>4784279.5865683388</v>
      </c>
      <c r="O29" s="29">
        <f>SUM(O18:O28)</f>
        <v>2904725.3181439517</v>
      </c>
      <c r="P29" s="227">
        <f>(N29-O29)/O29</f>
        <v>0.64706781625237331</v>
      </c>
    </row>
    <row r="30" spans="1:26" ht="18.75" customHeight="1">
      <c r="A30" s="30"/>
    </row>
    <row r="31" spans="1:26" ht="18.75" customHeight="1">
      <c r="A31" s="30" t="s">
        <v>265</v>
      </c>
      <c r="B31" s="496">
        <f>+B18+B19+B24+B25+B27</f>
        <v>706457.82000000007</v>
      </c>
      <c r="C31" s="496">
        <f t="shared" ref="C31:M31" si="5">+C18+C19+C24+C25+C27</f>
        <v>639067.28608000011</v>
      </c>
      <c r="D31" s="496">
        <f t="shared" si="5"/>
        <v>612885.64423999994</v>
      </c>
      <c r="E31" s="496">
        <f t="shared" si="5"/>
        <v>349550.16840000002</v>
      </c>
      <c r="F31" s="496">
        <f t="shared" si="5"/>
        <v>218298.61470758624</v>
      </c>
      <c r="G31" s="496">
        <f t="shared" si="5"/>
        <v>162838.92497931037</v>
      </c>
      <c r="H31" s="496">
        <f t="shared" si="5"/>
        <v>326720.84652000008</v>
      </c>
      <c r="I31" s="496">
        <f t="shared" si="5"/>
        <v>235785.685184</v>
      </c>
      <c r="J31" s="496">
        <f t="shared" si="5"/>
        <v>74347.968384000007</v>
      </c>
      <c r="K31" s="496">
        <f t="shared" si="5"/>
        <v>0</v>
      </c>
      <c r="L31" s="496">
        <f t="shared" si="5"/>
        <v>396147.83951999992</v>
      </c>
      <c r="M31" s="496">
        <f t="shared" si="5"/>
        <v>704280.03128400014</v>
      </c>
      <c r="N31" s="496">
        <f t="shared" ref="N31" si="6">+N18+N19+N24+N25+N27</f>
        <v>4426380.8292988967</v>
      </c>
    </row>
    <row r="32" spans="1:26" ht="18.75" customHeight="1">
      <c r="A32" s="30" t="s">
        <v>266</v>
      </c>
      <c r="B32" s="497">
        <f>+B20+B22+B23+B26+B28</f>
        <v>52312.170996000001</v>
      </c>
      <c r="C32" s="497">
        <f t="shared" ref="C32:M32" si="7">+C20+C22+C23+C26+C28</f>
        <v>47757.920974400004</v>
      </c>
      <c r="D32" s="497">
        <f t="shared" si="7"/>
        <v>46396.896413200004</v>
      </c>
      <c r="E32" s="497">
        <f t="shared" si="7"/>
        <v>28455.658002000007</v>
      </c>
      <c r="F32" s="497">
        <f t="shared" si="7"/>
        <v>21619.541560020694</v>
      </c>
      <c r="G32" s="497">
        <f t="shared" si="7"/>
        <v>17367.12333524138</v>
      </c>
      <c r="H32" s="497">
        <f t="shared" si="7"/>
        <v>28259.875284600006</v>
      </c>
      <c r="I32" s="497">
        <f t="shared" si="7"/>
        <v>22823.811008320001</v>
      </c>
      <c r="J32" s="497">
        <f t="shared" si="7"/>
        <v>11753.244616320002</v>
      </c>
      <c r="K32" s="497">
        <f t="shared" si="7"/>
        <v>0</v>
      </c>
      <c r="L32" s="497">
        <f t="shared" si="7"/>
        <v>33008.922722400006</v>
      </c>
      <c r="M32" s="497">
        <f t="shared" si="7"/>
        <v>48143.592356940004</v>
      </c>
      <c r="N32" s="497">
        <f t="shared" ref="N32" si="8">+N20+N22+N23+N26+N28</f>
        <v>357898.75726944214</v>
      </c>
    </row>
    <row r="33" spans="1:16" ht="18.75" customHeight="1" thickBot="1">
      <c r="A33" s="30"/>
    </row>
    <row r="34" spans="1:16" ht="18.75" customHeight="1" thickBot="1">
      <c r="A34" s="501" t="s">
        <v>47</v>
      </c>
      <c r="B34" s="502">
        <f>SUM(B31:B33)</f>
        <v>758769.99099600012</v>
      </c>
      <c r="C34" s="502">
        <f t="shared" ref="C34:N34" si="9">SUM(C31:C33)</f>
        <v>686825.20705440012</v>
      </c>
      <c r="D34" s="502">
        <f t="shared" si="9"/>
        <v>659282.54065319989</v>
      </c>
      <c r="E34" s="502">
        <f t="shared" si="9"/>
        <v>378005.82640200004</v>
      </c>
      <c r="F34" s="502">
        <f t="shared" si="9"/>
        <v>239918.15626760694</v>
      </c>
      <c r="G34" s="502">
        <f t="shared" si="9"/>
        <v>180206.04831455174</v>
      </c>
      <c r="H34" s="502">
        <f t="shared" si="9"/>
        <v>354980.72180460009</v>
      </c>
      <c r="I34" s="502">
        <f t="shared" si="9"/>
        <v>258609.49619232002</v>
      </c>
      <c r="J34" s="502">
        <f t="shared" si="9"/>
        <v>86101.213000320015</v>
      </c>
      <c r="K34" s="502">
        <f t="shared" si="9"/>
        <v>0</v>
      </c>
      <c r="L34" s="502">
        <f t="shared" si="9"/>
        <v>429156.76224239991</v>
      </c>
      <c r="M34" s="502">
        <f t="shared" si="9"/>
        <v>752423.62364094018</v>
      </c>
      <c r="N34" s="503">
        <f t="shared" si="9"/>
        <v>4784279.5865683388</v>
      </c>
    </row>
    <row r="35" spans="1:16" ht="18.75" customHeight="1">
      <c r="A35" s="30"/>
    </row>
    <row r="36" spans="1:16" ht="18.75" customHeight="1">
      <c r="A36" s="30" t="s">
        <v>267</v>
      </c>
      <c r="B36" s="198">
        <f>+B32/B31</f>
        <v>7.4048541208022858E-2</v>
      </c>
      <c r="C36" s="198">
        <f t="shared" ref="C36:N36" si="10">+C32/C31</f>
        <v>7.473066141023145E-2</v>
      </c>
      <c r="D36" s="198">
        <f t="shared" si="10"/>
        <v>7.5702370987549908E-2</v>
      </c>
      <c r="E36" s="198">
        <f t="shared" si="10"/>
        <v>8.1406506345714016E-2</v>
      </c>
      <c r="F36" s="198">
        <f t="shared" si="10"/>
        <v>9.9036549494280326E-2</v>
      </c>
      <c r="G36" s="198">
        <f t="shared" si="10"/>
        <v>0.10665216156056037</v>
      </c>
      <c r="H36" s="198">
        <f t="shared" si="10"/>
        <v>8.6495476446037209E-2</v>
      </c>
      <c r="I36" s="198">
        <f t="shared" si="10"/>
        <v>9.6798968056559465E-2</v>
      </c>
      <c r="J36" s="198">
        <f t="shared" si="10"/>
        <v>0.15808427414742041</v>
      </c>
      <c r="K36" s="198" t="e">
        <f t="shared" si="10"/>
        <v>#DIV/0!</v>
      </c>
      <c r="L36" s="198">
        <f t="shared" si="10"/>
        <v>8.332475765208236E-2</v>
      </c>
      <c r="M36" s="198">
        <f t="shared" si="10"/>
        <v>6.8358593483287544E-2</v>
      </c>
      <c r="N36" s="198">
        <f t="shared" si="10"/>
        <v>8.0855843875984448E-2</v>
      </c>
    </row>
    <row r="37" spans="1:16" ht="18.75" customHeight="1">
      <c r="A37" s="30"/>
    </row>
    <row r="38" spans="1:16" ht="18.75" customHeight="1">
      <c r="A38" s="30" t="s">
        <v>268</v>
      </c>
      <c r="B38" s="198">
        <f>+B32/B18</f>
        <v>0.12599212572982685</v>
      </c>
      <c r="C38" s="198">
        <f t="shared" ref="C38:N38" si="11">+C32/C18</f>
        <v>0.12821268359991098</v>
      </c>
      <c r="D38" s="198">
        <f t="shared" si="11"/>
        <v>0.12919333700382049</v>
      </c>
      <c r="E38" s="198">
        <f t="shared" si="11"/>
        <v>0.13491430947588606</v>
      </c>
      <c r="F38" s="198">
        <f t="shared" si="11"/>
        <v>0.17835099299697962</v>
      </c>
      <c r="G38" s="198">
        <f t="shared" si="11"/>
        <v>0.18708332393589061</v>
      </c>
      <c r="H38" s="198">
        <f t="shared" si="11"/>
        <v>0.15028215324708921</v>
      </c>
      <c r="I38" s="198">
        <f t="shared" si="11"/>
        <v>0.17443836745760438</v>
      </c>
      <c r="J38" s="198">
        <f t="shared" si="11"/>
        <v>0.29402585461202668</v>
      </c>
      <c r="K38" s="198" t="e">
        <f t="shared" si="11"/>
        <v>#DIV/0!</v>
      </c>
      <c r="L38" s="198">
        <f t="shared" si="11"/>
        <v>0.14677032133296827</v>
      </c>
      <c r="M38" s="198">
        <f t="shared" si="11"/>
        <v>0.10726020474752761</v>
      </c>
      <c r="N38" s="198">
        <f t="shared" si="11"/>
        <v>0.13742096522585043</v>
      </c>
    </row>
    <row r="39" spans="1:16" ht="18.75" customHeight="1">
      <c r="A39" s="30"/>
    </row>
    <row r="40" spans="1:16" ht="15.75" customHeight="1">
      <c r="F40" s="481"/>
      <c r="G40" s="481"/>
    </row>
    <row r="41" spans="1:16" ht="18.75" customHeight="1">
      <c r="A41" s="6" t="s">
        <v>193</v>
      </c>
    </row>
    <row r="42" spans="1:16" ht="19.5" customHeight="1">
      <c r="A42" s="7"/>
    </row>
    <row r="43" spans="1:16" ht="15.75" customHeight="1">
      <c r="A43" s="8" t="s">
        <v>187</v>
      </c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18</v>
      </c>
      <c r="H43" s="4" t="s">
        <v>19</v>
      </c>
      <c r="I43" s="4" t="s">
        <v>20</v>
      </c>
      <c r="J43" s="4" t="s">
        <v>21</v>
      </c>
      <c r="K43" s="4" t="s">
        <v>22</v>
      </c>
      <c r="L43" s="4" t="s">
        <v>23</v>
      </c>
      <c r="M43" s="4" t="s">
        <v>24</v>
      </c>
      <c r="N43" s="5" t="s">
        <v>25</v>
      </c>
    </row>
    <row r="44" spans="1:16" ht="15.75" customHeight="1">
      <c r="A44" s="9" t="s">
        <v>28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6" ht="15.75" customHeight="1">
      <c r="A45" s="12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6" ht="15.75" customHeight="1">
      <c r="A46" s="12" t="s">
        <v>29</v>
      </c>
      <c r="B46" s="13">
        <f>+Rooms!C20</f>
        <v>930</v>
      </c>
      <c r="C46" s="13">
        <f>+Rooms!D20</f>
        <v>840</v>
      </c>
      <c r="D46" s="13">
        <f>+Rooms!E20</f>
        <v>930</v>
      </c>
      <c r="E46" s="13">
        <f>+Rooms!F20</f>
        <v>900</v>
      </c>
      <c r="F46" s="13">
        <f>+Rooms!G20</f>
        <v>930</v>
      </c>
      <c r="G46" s="13">
        <f>+Rooms!H20</f>
        <v>900</v>
      </c>
      <c r="H46" s="13">
        <f>+Rooms!I20</f>
        <v>930</v>
      </c>
      <c r="I46" s="13">
        <f>+Rooms!J20</f>
        <v>930</v>
      </c>
      <c r="J46" s="13">
        <f>+Rooms!K20</f>
        <v>900</v>
      </c>
      <c r="K46" s="13"/>
      <c r="L46" s="13">
        <f>+Rooms!M20</f>
        <v>900</v>
      </c>
      <c r="M46" s="13">
        <f>+Rooms!N20</f>
        <v>930</v>
      </c>
      <c r="N46" s="14">
        <f>+Rooms!O20</f>
        <v>10950</v>
      </c>
      <c r="O46" s="31"/>
      <c r="P46" s="16"/>
    </row>
    <row r="47" spans="1:16" ht="15.75" customHeight="1">
      <c r="A47" s="12" t="s">
        <v>30</v>
      </c>
      <c r="B47" s="13">
        <f>+Rooms!C21</f>
        <v>454</v>
      </c>
      <c r="C47" s="13">
        <f>+Rooms!D21</f>
        <v>479</v>
      </c>
      <c r="D47" s="13">
        <f>+Rooms!E21</f>
        <v>519</v>
      </c>
      <c r="E47" s="13">
        <f>+Rooms!F21</f>
        <v>239</v>
      </c>
      <c r="F47" s="13">
        <f>+Rooms!G21</f>
        <v>114</v>
      </c>
      <c r="G47" s="13">
        <f>+Rooms!H21</f>
        <v>102</v>
      </c>
      <c r="H47" s="13">
        <f>+Rooms!I21</f>
        <v>274</v>
      </c>
      <c r="I47" s="13">
        <f>+Rooms!J21</f>
        <v>220</v>
      </c>
      <c r="J47" s="13">
        <f>+Rooms!K21</f>
        <v>28</v>
      </c>
      <c r="K47" s="13"/>
      <c r="L47" s="13">
        <f>+Rooms!M21</f>
        <v>230</v>
      </c>
      <c r="M47" s="13">
        <f>+Rooms!N21</f>
        <v>470</v>
      </c>
      <c r="N47" s="15">
        <f>+Rooms!O21</f>
        <v>3179</v>
      </c>
      <c r="O47" s="31">
        <f>+N13-N47</f>
        <v>1184.2888793103448</v>
      </c>
      <c r="P47" s="16">
        <f>+O47/N47</f>
        <v>0.37253503595795684</v>
      </c>
    </row>
    <row r="48" spans="1:16" ht="15.75" customHeight="1">
      <c r="A48" s="12" t="s">
        <v>31</v>
      </c>
      <c r="B48" s="13">
        <f>+Rooms!C22</f>
        <v>809</v>
      </c>
      <c r="C48" s="13">
        <f>+Rooms!D22</f>
        <v>893</v>
      </c>
      <c r="D48" s="13">
        <f>+Rooms!E22</f>
        <v>962</v>
      </c>
      <c r="E48" s="13">
        <f>+Rooms!F22</f>
        <v>428</v>
      </c>
      <c r="F48" s="13">
        <f>+Rooms!G22</f>
        <v>228</v>
      </c>
      <c r="G48" s="13">
        <f>+Rooms!H22</f>
        <v>183</v>
      </c>
      <c r="H48" s="13">
        <f>+Rooms!I22</f>
        <v>611</v>
      </c>
      <c r="I48" s="13">
        <f>+Rooms!J22</f>
        <v>411</v>
      </c>
      <c r="J48" s="13">
        <f>+Rooms!K22</f>
        <v>27</v>
      </c>
      <c r="K48" s="13"/>
      <c r="L48" s="13">
        <f>+Rooms!M22</f>
        <v>345</v>
      </c>
      <c r="M48" s="13">
        <f>+Rooms!N22</f>
        <v>705</v>
      </c>
      <c r="N48" s="15">
        <f>+Rooms!O22</f>
        <v>5677</v>
      </c>
      <c r="O48" s="31">
        <f>+N14-N48</f>
        <v>2176.9199827586217</v>
      </c>
      <c r="P48" s="16">
        <f>+O48/N48</f>
        <v>0.38346309366894871</v>
      </c>
    </row>
    <row r="49" spans="1:26" ht="15.75" customHeight="1">
      <c r="A49" s="12" t="s">
        <v>32</v>
      </c>
      <c r="B49" s="16">
        <f>+Rooms!C23</f>
        <v>0.48817204301075268</v>
      </c>
      <c r="C49" s="16">
        <f>+Rooms!D23</f>
        <v>0.57023809523809521</v>
      </c>
      <c r="D49" s="16">
        <f>+Rooms!E23</f>
        <v>0.5580645161290323</v>
      </c>
      <c r="E49" s="13">
        <f>+Rooms!F23</f>
        <v>0.26555555555555554</v>
      </c>
      <c r="F49" s="13">
        <f>+Rooms!G23</f>
        <v>0.12258064516129032</v>
      </c>
      <c r="G49" s="13">
        <f>+Rooms!H23</f>
        <v>0.11333333333333333</v>
      </c>
      <c r="H49" s="16">
        <f>+Rooms!I23</f>
        <v>0.29462365591397849</v>
      </c>
      <c r="I49" s="16">
        <f>+Rooms!J23</f>
        <v>0.23655913978494625</v>
      </c>
      <c r="J49" s="16">
        <f>+Rooms!K23</f>
        <v>3.111111111111111E-2</v>
      </c>
      <c r="K49" s="16"/>
      <c r="L49" s="480">
        <f>+Rooms!M23</f>
        <v>0.25555555555555554</v>
      </c>
      <c r="M49" s="480">
        <f>+Rooms!N23</f>
        <v>0.5053763440860215</v>
      </c>
      <c r="N49" s="17">
        <f>+Rooms!O23</f>
        <v>0.29031963470319633</v>
      </c>
      <c r="O49" s="31">
        <f>+N15-N49</f>
        <v>0.14513833728386405</v>
      </c>
      <c r="P49" s="16">
        <f>+O49/N49</f>
        <v>0.49992601234926437</v>
      </c>
    </row>
    <row r="50" spans="1:26" ht="15.75" customHeight="1">
      <c r="A50" s="12" t="s">
        <v>33</v>
      </c>
      <c r="B50" s="10">
        <f>+Rooms!C24</f>
        <v>473.50648957184359</v>
      </c>
      <c r="C50" s="10">
        <f>+Rooms!D24</f>
        <v>550.00104478520893</v>
      </c>
      <c r="D50" s="10">
        <f>+Rooms!E24</f>
        <v>478.48851525645392</v>
      </c>
      <c r="E50" s="10">
        <f>+Rooms!F24</f>
        <v>497.89900998253864</v>
      </c>
      <c r="F50" s="10">
        <f>+Rooms!G24</f>
        <v>482.76038684289654</v>
      </c>
      <c r="G50" s="10">
        <f>+Rooms!H24</f>
        <v>379.47716867497763</v>
      </c>
      <c r="H50" s="10">
        <f>+Rooms!I24</f>
        <v>508.0545146419754</v>
      </c>
      <c r="I50" s="10">
        <f>+Rooms!J24</f>
        <v>371.59365626813036</v>
      </c>
      <c r="J50" s="10">
        <f>+Rooms!K24</f>
        <v>402.95928571428573</v>
      </c>
      <c r="K50" s="10"/>
      <c r="L50" s="10">
        <f>+Rooms!M24</f>
        <v>405</v>
      </c>
      <c r="M50" s="10">
        <f>+Rooms!N24</f>
        <v>545</v>
      </c>
      <c r="N50" s="18">
        <f>+Rooms!O24</f>
        <v>484.67681856479595</v>
      </c>
      <c r="O50" s="31">
        <f>+N16-N50</f>
        <v>112.21170476173387</v>
      </c>
      <c r="P50" s="16">
        <f>+O50/N50</f>
        <v>0.23151861294709808</v>
      </c>
    </row>
    <row r="51" spans="1:26" ht="15.75" customHeight="1" thickBo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hidden="1" customHeight="1">
      <c r="A52" s="23" t="s">
        <v>1</v>
      </c>
      <c r="B52" s="10">
        <f>+Rooms!C37</f>
        <v>214971.94626561698</v>
      </c>
      <c r="C52" s="10">
        <f>+Rooms!D37</f>
        <v>263450.50045211508</v>
      </c>
      <c r="D52" s="10">
        <f>+Rooms!E37</f>
        <v>248335.53941809959</v>
      </c>
      <c r="E52" s="10">
        <f>+Rooms!F37</f>
        <v>118997.86338582674</v>
      </c>
      <c r="F52" s="10">
        <f>+Rooms!G37</f>
        <v>55034.684100090206</v>
      </c>
      <c r="G52" s="10">
        <f>+Rooms!H37</f>
        <v>38706.67120484772</v>
      </c>
      <c r="H52" s="10">
        <f>+Rooms!I37</f>
        <v>139206.93701190126</v>
      </c>
      <c r="I52" s="10">
        <f>+Rooms!J37</f>
        <v>81750.604378988675</v>
      </c>
      <c r="J52" s="10">
        <f>+Rooms!K37</f>
        <v>11282.86</v>
      </c>
      <c r="K52" s="10">
        <f>+Rooms!L37</f>
        <v>19750</v>
      </c>
      <c r="L52" s="10">
        <f>+Rooms!M37</f>
        <v>93150</v>
      </c>
      <c r="M52" s="10">
        <f>+Rooms!N37</f>
        <v>256150</v>
      </c>
      <c r="N52" s="21">
        <f>SUM(B52:M52)</f>
        <v>1540787.6062174863</v>
      </c>
    </row>
    <row r="53" spans="1:26" ht="15.75" hidden="1" customHeight="1">
      <c r="A53" s="23" t="s">
        <v>2</v>
      </c>
      <c r="B53" s="10">
        <f>'Food Revenue'!C37</f>
        <v>55354.293659186151</v>
      </c>
      <c r="C53" s="10">
        <f>'Food Revenue'!D37</f>
        <v>72196.171980657338</v>
      </c>
      <c r="D53" s="10">
        <f>'Food Revenue'!E37</f>
        <v>70786.322940838087</v>
      </c>
      <c r="E53" s="10">
        <f>'Food Revenue'!F37</f>
        <v>36330.097086614172</v>
      </c>
      <c r="F53" s="10">
        <f>'Food Revenue'!G37</f>
        <v>16129.355257481269</v>
      </c>
      <c r="G53" s="10">
        <f>'Food Revenue'!H37</f>
        <v>13689.424588809319</v>
      </c>
      <c r="H53" s="10">
        <f>'Food Revenue'!I37</f>
        <v>46042.42700895053</v>
      </c>
      <c r="I53" s="10">
        <f>'Food Revenue'!J37</f>
        <v>26588.885223367699</v>
      </c>
      <c r="J53" s="10">
        <f>'Food Revenue'!K37</f>
        <v>6403.0499999999984</v>
      </c>
      <c r="K53" s="10">
        <f>'Food Revenue'!L37</f>
        <v>0</v>
      </c>
      <c r="L53" s="10">
        <f>'Food Revenue'!M37</f>
        <v>29454.03</v>
      </c>
      <c r="M53" s="10">
        <f>'Food Revenue'!N37</f>
        <v>55066.23</v>
      </c>
      <c r="N53" s="21">
        <f t="shared" ref="N53:N62" si="12">SUM(B53:M53)</f>
        <v>428040.28774590453</v>
      </c>
    </row>
    <row r="54" spans="1:26" ht="15.75" hidden="1" customHeight="1">
      <c r="A54" s="23" t="s">
        <v>3</v>
      </c>
      <c r="B54" s="10">
        <f>'Beverage Revenue'!B37</f>
        <v>25207.194747973219</v>
      </c>
      <c r="C54" s="10">
        <f>'Beverage Revenue'!C37</f>
        <v>20197.81610709236</v>
      </c>
      <c r="D54" s="10">
        <f>'Beverage Revenue'!D37</f>
        <v>24274.211043017771</v>
      </c>
      <c r="E54" s="10">
        <f>'Beverage Revenue'!E37</f>
        <v>12316.932893700759</v>
      </c>
      <c r="F54" s="10">
        <f>'Beverage Revenue'!F37</f>
        <v>6154.7576969839556</v>
      </c>
      <c r="G54" s="10">
        <f>'Beverage Revenue'!G37</f>
        <v>4103.4463681435409</v>
      </c>
      <c r="H54" s="10">
        <f>'Beverage Revenue'!H37</f>
        <v>10937.432339923291</v>
      </c>
      <c r="I54" s="10">
        <f>'Beverage Revenue'!I37</f>
        <v>10347.79406971036</v>
      </c>
      <c r="J54" s="10">
        <f>'Beverage Revenue'!J37</f>
        <v>1600.7625</v>
      </c>
      <c r="K54" s="10">
        <f>'Beverage Revenue'!K37</f>
        <v>0</v>
      </c>
      <c r="L54" s="10">
        <f>'Beverage Revenue'!L37</f>
        <v>7363.5074999999988</v>
      </c>
      <c r="M54" s="10">
        <f>'Beverage Revenue'!M37</f>
        <v>13766.557500000001</v>
      </c>
      <c r="N54" s="21">
        <f t="shared" si="12"/>
        <v>136270.41276654525</v>
      </c>
    </row>
    <row r="55" spans="1:26" ht="15.75" hidden="1" customHeight="1">
      <c r="A55" s="23" t="s">
        <v>4</v>
      </c>
      <c r="B55" s="10">
        <f>'F&amp;B Mis Revenue'!B37</f>
        <v>0</v>
      </c>
      <c r="C55" s="10">
        <f>'F&amp;B Mis Revenue'!C37</f>
        <v>0</v>
      </c>
      <c r="D55" s="10">
        <f>'F&amp;B Mis Revenue'!D37</f>
        <v>0</v>
      </c>
      <c r="E55" s="10">
        <f>'F&amp;B Mis Revenue'!E37</f>
        <v>0</v>
      </c>
      <c r="F55" s="10">
        <f>'F&amp;B Mis Revenue'!F37</f>
        <v>0</v>
      </c>
      <c r="G55" s="10">
        <f>'F&amp;B Mis Revenue'!G37</f>
        <v>0</v>
      </c>
      <c r="H55" s="10">
        <f>'F&amp;B Mis Revenue'!H37</f>
        <v>33694.581587488938</v>
      </c>
      <c r="I55" s="10">
        <f>'F&amp;B Mis Revenue'!I37</f>
        <v>28.455861561119288</v>
      </c>
      <c r="J55" s="10">
        <f>'F&amp;B Mis Revenue'!J37</f>
        <v>0</v>
      </c>
      <c r="K55" s="10">
        <f>'F&amp;B Mis Revenue'!K37</f>
        <v>0</v>
      </c>
      <c r="L55" s="10">
        <f>'F&amp;B Mis Revenue'!L37</f>
        <v>0</v>
      </c>
      <c r="M55" s="10">
        <f>'F&amp;B Mis Revenue'!M37</f>
        <v>0</v>
      </c>
      <c r="N55" s="21">
        <f t="shared" si="12"/>
        <v>33723.037449050054</v>
      </c>
    </row>
    <row r="56" spans="1:26" ht="15.75" hidden="1" customHeight="1">
      <c r="A56" s="23" t="s">
        <v>5</v>
      </c>
      <c r="B56" s="10">
        <f>'Spa Revenue'!B37</f>
        <v>4663.1676066267173</v>
      </c>
      <c r="C56" s="10">
        <f>'Spa Revenue'!C37</f>
        <v>2486.3909812863649</v>
      </c>
      <c r="D56" s="10">
        <f>'Spa Revenue'!D37</f>
        <v>3391.2717716824332</v>
      </c>
      <c r="E56" s="10">
        <f>'Spa Revenue'!E37</f>
        <v>1621.2288385826771</v>
      </c>
      <c r="F56" s="10">
        <f>'Spa Revenue'!F37</f>
        <v>1606.5791857865629</v>
      </c>
      <c r="G56" s="10">
        <f>'Spa Revenue'!G37</f>
        <v>926.9280711418902</v>
      </c>
      <c r="H56" s="10">
        <f>'Spa Revenue'!H37</f>
        <v>2384.8765614242152</v>
      </c>
      <c r="I56" s="10">
        <f>'Spa Revenue'!I37</f>
        <v>1345.0301816396659</v>
      </c>
      <c r="J56" s="10">
        <f>'Spa Revenue'!J37</f>
        <v>4500</v>
      </c>
      <c r="K56" s="10">
        <f>'Spa Revenue'!K37</f>
        <v>0</v>
      </c>
      <c r="L56" s="10">
        <f>'Spa Revenue'!L37</f>
        <v>3375</v>
      </c>
      <c r="M56" s="10">
        <f>'Spa Revenue'!M37</f>
        <v>6200</v>
      </c>
      <c r="N56" s="21">
        <f t="shared" si="12"/>
        <v>32500.473198170526</v>
      </c>
    </row>
    <row r="57" spans="1:26" ht="15.75" hidden="1" customHeight="1">
      <c r="A57" s="23" t="s">
        <v>6</v>
      </c>
      <c r="B57" s="10">
        <f>'Retail Gift Shop'!B37</f>
        <v>2988.2954216112498</v>
      </c>
      <c r="C57" s="10">
        <f>'Retail Gift Shop'!C37</f>
        <v>2207.0826780940388</v>
      </c>
      <c r="D57" s="10">
        <f>'Retail Gift Shop'!D37</f>
        <v>3171.7132345649629</v>
      </c>
      <c r="E57" s="10">
        <f>'Retail Gift Shop'!E37</f>
        <v>2096.9718503937011</v>
      </c>
      <c r="F57" s="10">
        <f>'Retail Gift Shop'!F37</f>
        <v>814.4908616700003</v>
      </c>
      <c r="G57" s="10">
        <f>'Retail Gift Shop'!G37</f>
        <v>645.62888565357684</v>
      </c>
      <c r="H57" s="10">
        <f>'Retail Gift Shop'!H37</f>
        <v>2120.9385069342002</v>
      </c>
      <c r="I57" s="10">
        <f>'Retail Gift Shop'!I37</f>
        <v>1361.652371134021</v>
      </c>
      <c r="J57" s="10">
        <f>'Retail Gift Shop'!J37</f>
        <v>144</v>
      </c>
      <c r="K57" s="10">
        <f>'Retail Gift Shop'!K37</f>
        <v>0</v>
      </c>
      <c r="L57" s="10">
        <f>'Retail Gift Shop'!L37</f>
        <v>745.2</v>
      </c>
      <c r="M57" s="10">
        <f>'Retail Gift Shop'!M37</f>
        <v>1874.8</v>
      </c>
      <c r="N57" s="21">
        <f t="shared" si="12"/>
        <v>18170.773810055751</v>
      </c>
    </row>
    <row r="58" spans="1:26" ht="15.75" hidden="1" customHeight="1">
      <c r="A58" s="23" t="s">
        <v>7</v>
      </c>
      <c r="B58" s="10">
        <f>Activities!B37</f>
        <v>40198.405573179807</v>
      </c>
      <c r="C58" s="10">
        <f>Activities!C37</f>
        <v>42643.296725114029</v>
      </c>
      <c r="D58" s="10">
        <f>Activities!D37</f>
        <v>49187.766744015411</v>
      </c>
      <c r="E58" s="10">
        <f>Activities!E37</f>
        <v>27966.927499999991</v>
      </c>
      <c r="F58" s="10">
        <f>Activities!F37</f>
        <v>11004.492999176369</v>
      </c>
      <c r="G58" s="10">
        <f>Activities!G37</f>
        <v>8206.2238333202185</v>
      </c>
      <c r="H58" s="10">
        <f>Activities!H37</f>
        <v>25587.58076128651</v>
      </c>
      <c r="I58" s="10">
        <f>Activities!I37</f>
        <v>17736.76001963672</v>
      </c>
      <c r="J58" s="10">
        <f>Activities!J37</f>
        <v>5691.6</v>
      </c>
      <c r="K58" s="10">
        <f>Activities!K37</f>
        <v>0</v>
      </c>
      <c r="L58" s="10">
        <f>Activities!L37</f>
        <v>26181.360000000001</v>
      </c>
      <c r="M58" s="10">
        <f>Activities!M37</f>
        <v>48947.76</v>
      </c>
      <c r="N58" s="21">
        <f t="shared" si="12"/>
        <v>303352.17415572907</v>
      </c>
    </row>
    <row r="59" spans="1:26" ht="15.75" hidden="1" customHeight="1">
      <c r="A59" s="23" t="s">
        <v>8</v>
      </c>
      <c r="B59" s="10">
        <f>Transportation!B37</f>
        <v>11835.55582971056</v>
      </c>
      <c r="C59" s="10">
        <f>Transportation!C37</f>
        <v>14786.667852649791</v>
      </c>
      <c r="D59" s="10">
        <f>Transportation!D37</f>
        <v>17991.068602368079</v>
      </c>
      <c r="E59" s="10">
        <f>Transportation!E37</f>
        <v>18846.318582677181</v>
      </c>
      <c r="F59" s="10">
        <f>Transportation!F37</f>
        <v>4777.0944817037298</v>
      </c>
      <c r="G59" s="10">
        <f>Transportation!G37</f>
        <v>5542.9628157708439</v>
      </c>
      <c r="H59" s="10">
        <f>Transportation!H37</f>
        <v>10251.493164158561</v>
      </c>
      <c r="I59" s="10">
        <f>Transportation!I37</f>
        <v>9337.314619538558</v>
      </c>
      <c r="J59" s="10">
        <f>Transportation!J37</f>
        <v>1959.5</v>
      </c>
      <c r="K59" s="10">
        <f>Transportation!K37</f>
        <v>0</v>
      </c>
      <c r="L59" s="10">
        <f>Transportation!L37</f>
        <v>9013.7000000000007</v>
      </c>
      <c r="M59" s="10">
        <f>Transportation!M37</f>
        <v>16851.7</v>
      </c>
      <c r="N59" s="21">
        <f t="shared" si="12"/>
        <v>121193.3759485773</v>
      </c>
    </row>
    <row r="60" spans="1:26" ht="15.75" hidden="1" customHeight="1">
      <c r="A60" s="23" t="s">
        <v>9</v>
      </c>
      <c r="B60" s="10">
        <f>Innoceanna!B37</f>
        <v>23824.916500215411</v>
      </c>
      <c r="C60" s="10">
        <f>Innoceanna!C37</f>
        <v>29052.609883629499</v>
      </c>
      <c r="D60" s="10">
        <f>Innoceanna!D37</f>
        <v>29098.835267051451</v>
      </c>
      <c r="E60" s="10">
        <f>Innoceanna!E37</f>
        <v>17280.510452755909</v>
      </c>
      <c r="F60" s="10">
        <f>Innoceanna!F37</f>
        <v>6406.4185394360111</v>
      </c>
      <c r="G60" s="10">
        <f>Innoceanna!G37</f>
        <v>8041.9541984732814</v>
      </c>
      <c r="H60" s="10">
        <f>Innoceanna!H37</f>
        <v>18147.842844496899</v>
      </c>
      <c r="I60" s="10">
        <f>Innoceanna!I37</f>
        <v>12571.36989690721</v>
      </c>
      <c r="J60" s="10">
        <f>Innoceanna!J37</f>
        <v>1800</v>
      </c>
      <c r="K60" s="10">
        <f>Innoceanna!K37</f>
        <v>0</v>
      </c>
      <c r="L60" s="10">
        <f>Innoceanna!L37</f>
        <v>9315</v>
      </c>
      <c r="M60" s="10">
        <f>Innoceanna!M37</f>
        <v>23435</v>
      </c>
      <c r="N60" s="21">
        <f t="shared" si="12"/>
        <v>178974.45758296567</v>
      </c>
    </row>
    <row r="61" spans="1:26" ht="15.75" hidden="1" customHeight="1">
      <c r="A61" s="23" t="s">
        <v>10</v>
      </c>
      <c r="B61" s="10">
        <f>'Sustainability Fee'!B37</f>
        <v>12471.268299847259</v>
      </c>
      <c r="C61" s="10">
        <f>'Sustainability Fee'!C37</f>
        <v>15628.97169366253</v>
      </c>
      <c r="D61" s="10">
        <f>'Sustainability Fee'!D37</f>
        <v>16011.263560817921</v>
      </c>
      <c r="E61" s="10">
        <f>'Sustainability Fee'!E37</f>
        <v>10939.195275590549</v>
      </c>
      <c r="F61" s="10">
        <f>'Sustainability Fee'!F37</f>
        <v>5052.0297093775735</v>
      </c>
      <c r="G61" s="10">
        <f>'Sustainability Fee'!G37</f>
        <v>3797.2237546234401</v>
      </c>
      <c r="H61" s="10">
        <f>'Sustainability Fee'!H37</f>
        <v>8661.523084489032</v>
      </c>
      <c r="I61" s="10">
        <f>'Sustainability Fee'!I37</f>
        <v>6901.8360922925885</v>
      </c>
      <c r="J61" s="10">
        <f>'Sustainability Fee'!J37</f>
        <v>1842.9203539823011</v>
      </c>
      <c r="K61" s="10">
        <f>'Sustainability Fee'!K37</f>
        <v>0</v>
      </c>
      <c r="L61" s="10">
        <f>'Sustainability Fee'!L37</f>
        <v>8477.4336283185839</v>
      </c>
      <c r="M61" s="10">
        <f>'Sustainability Fee'!M37</f>
        <v>15849.11504424779</v>
      </c>
      <c r="N61" s="21">
        <f t="shared" si="12"/>
        <v>105632.78049724958</v>
      </c>
    </row>
    <row r="62" spans="1:26" ht="16.5" hidden="1" customHeight="1">
      <c r="A62" s="24" t="s">
        <v>11</v>
      </c>
      <c r="B62" s="25">
        <f>Laundry!B37</f>
        <v>639.97342654603847</v>
      </c>
      <c r="C62" s="25">
        <f>Laundry!C37</f>
        <v>509.78357446139341</v>
      </c>
      <c r="D62" s="25">
        <f>Laundry!D37</f>
        <v>575.97723170901031</v>
      </c>
      <c r="E62" s="25">
        <f>Laundry!E37</f>
        <v>309.64348425196852</v>
      </c>
      <c r="F62" s="25">
        <f>Laundry!F37</f>
        <v>331.48464525238268</v>
      </c>
      <c r="G62" s="25">
        <f>Laundry!G37</f>
        <v>88.58093963956874</v>
      </c>
      <c r="H62" s="25">
        <f>Laundry!H37</f>
        <v>450.38697747614827</v>
      </c>
      <c r="I62" s="25">
        <f>Laundry!I37</f>
        <v>474.10849288168879</v>
      </c>
      <c r="J62" s="25">
        <f>Laundry!J37</f>
        <v>900</v>
      </c>
      <c r="K62" s="25">
        <f>Laundry!K37</f>
        <v>0</v>
      </c>
      <c r="L62" s="25">
        <f>Laundry!L37</f>
        <v>900</v>
      </c>
      <c r="M62" s="25">
        <f>Laundry!M37</f>
        <v>900</v>
      </c>
      <c r="N62" s="26">
        <f t="shared" si="12"/>
        <v>6079.9387722181991</v>
      </c>
    </row>
    <row r="63" spans="1:26" ht="16.5" customHeight="1" thickBot="1">
      <c r="A63" s="27" t="s">
        <v>34</v>
      </c>
      <c r="B63" s="28">
        <f t="shared" ref="B63:M63" si="13">SUM(B52:B62)</f>
        <v>392155.01733051339</v>
      </c>
      <c r="C63" s="28">
        <f t="shared" si="13"/>
        <v>463159.29192876245</v>
      </c>
      <c r="D63" s="28">
        <f t="shared" si="13"/>
        <v>462823.96981416468</v>
      </c>
      <c r="E63" s="28">
        <f t="shared" si="13"/>
        <v>246705.68935039363</v>
      </c>
      <c r="F63" s="28">
        <f t="shared" si="13"/>
        <v>107311.38747695804</v>
      </c>
      <c r="G63" s="28">
        <f t="shared" si="13"/>
        <v>83749.044660423388</v>
      </c>
      <c r="H63" s="28">
        <f t="shared" si="13"/>
        <v>297486.0198485296</v>
      </c>
      <c r="I63" s="28">
        <f t="shared" si="13"/>
        <v>168443.81120765832</v>
      </c>
      <c r="J63" s="28">
        <f t="shared" si="13"/>
        <v>36124.692853982298</v>
      </c>
      <c r="K63" s="28">
        <f t="shared" si="13"/>
        <v>19750</v>
      </c>
      <c r="L63" s="28">
        <f t="shared" si="13"/>
        <v>187975.23112831858</v>
      </c>
      <c r="M63" s="28">
        <f t="shared" si="13"/>
        <v>439041.16254424775</v>
      </c>
      <c r="N63" s="29">
        <f>SUM(N52:N62)</f>
        <v>2904725.3181439517</v>
      </c>
      <c r="O63" s="222">
        <f>+N29-N63</f>
        <v>1879554.2684243871</v>
      </c>
    </row>
    <row r="64" spans="1:26" ht="15.75" customHeight="1"/>
    <row r="65" spans="1:26" ht="15.75" customHeight="1">
      <c r="O65" s="198">
        <f>+O63/N63</f>
        <v>0.64706781625237331</v>
      </c>
    </row>
    <row r="66" spans="1:26" ht="18.75" customHeight="1">
      <c r="A66" s="6" t="s">
        <v>188</v>
      </c>
    </row>
    <row r="67" spans="1:26" ht="19.5" customHeight="1">
      <c r="A67" s="7"/>
    </row>
    <row r="68" spans="1:26" ht="15.75" customHeight="1">
      <c r="A68" s="8" t="s">
        <v>189</v>
      </c>
      <c r="B68" s="4" t="s">
        <v>13</v>
      </c>
      <c r="C68" s="4" t="s">
        <v>14</v>
      </c>
      <c r="D68" s="4" t="s">
        <v>15</v>
      </c>
      <c r="E68" s="4" t="s">
        <v>16</v>
      </c>
      <c r="F68" s="4" t="s">
        <v>17</v>
      </c>
      <c r="G68" s="4" t="s">
        <v>18</v>
      </c>
      <c r="H68" s="4" t="s">
        <v>19</v>
      </c>
      <c r="I68" s="4" t="s">
        <v>20</v>
      </c>
      <c r="J68" s="4" t="s">
        <v>21</v>
      </c>
      <c r="K68" s="4" t="s">
        <v>22</v>
      </c>
      <c r="L68" s="4" t="s">
        <v>23</v>
      </c>
      <c r="M68" s="4" t="s">
        <v>24</v>
      </c>
      <c r="N68" s="5" t="s">
        <v>25</v>
      </c>
    </row>
    <row r="69" spans="1:26" ht="15.75" customHeight="1">
      <c r="A69" s="9" t="s">
        <v>28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26" ht="15.75" customHeight="1">
      <c r="A70" s="1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26" ht="15.75" customHeight="1">
      <c r="A71" s="12" t="s">
        <v>29</v>
      </c>
      <c r="B71" s="13">
        <f>+Rooms!C13</f>
        <v>930</v>
      </c>
      <c r="C71" s="13">
        <f>+Rooms!D13</f>
        <v>870</v>
      </c>
      <c r="D71" s="13">
        <f>+Rooms!E13</f>
        <v>930</v>
      </c>
      <c r="E71" s="13">
        <f>+Rooms!F13</f>
        <v>900</v>
      </c>
      <c r="F71" s="13">
        <f>+Rooms!G13</f>
        <v>930</v>
      </c>
      <c r="G71" s="13">
        <f>+Rooms!H13</f>
        <v>900</v>
      </c>
      <c r="H71" s="13">
        <f>+Rooms!I13</f>
        <v>930</v>
      </c>
      <c r="I71" s="13">
        <f>+Rooms!J13</f>
        <v>930</v>
      </c>
      <c r="J71" s="13">
        <f>+Rooms!K13</f>
        <v>900</v>
      </c>
      <c r="K71" s="13"/>
      <c r="L71" s="13">
        <f>+Rooms!M13</f>
        <v>900</v>
      </c>
      <c r="M71" s="13">
        <f>+Rooms!N13</f>
        <v>930</v>
      </c>
      <c r="N71" s="14">
        <f>+Rooms!O13</f>
        <v>10980</v>
      </c>
    </row>
    <row r="72" spans="1:26" ht="15.75" customHeight="1">
      <c r="A72" s="12" t="s">
        <v>30</v>
      </c>
      <c r="B72" s="13">
        <f>+Rooms!C14</f>
        <v>429</v>
      </c>
      <c r="C72" s="13">
        <f>+Rooms!D14</f>
        <v>456</v>
      </c>
      <c r="D72" s="13">
        <f>+Rooms!E14</f>
        <v>448</v>
      </c>
      <c r="E72" s="13">
        <f>+Rooms!F14</f>
        <v>259</v>
      </c>
      <c r="F72" s="13">
        <f>+Rooms!G14</f>
        <v>176</v>
      </c>
      <c r="G72" s="13">
        <f>+Rooms!H14</f>
        <v>98</v>
      </c>
      <c r="H72" s="13">
        <f>+Rooms!I14</f>
        <v>249</v>
      </c>
      <c r="I72" s="13">
        <f>+Rooms!J14</f>
        <v>157</v>
      </c>
      <c r="J72" s="13">
        <f>+Rooms!K14</f>
        <v>6</v>
      </c>
      <c r="K72" s="13">
        <f>+Rooms!L14</f>
        <v>0</v>
      </c>
      <c r="L72" s="13">
        <f>+Rooms!M14</f>
        <v>179</v>
      </c>
      <c r="M72" s="13">
        <f>+Rooms!N14</f>
        <v>317</v>
      </c>
      <c r="N72" s="15">
        <f>+Rooms!O14</f>
        <v>2774</v>
      </c>
    </row>
    <row r="73" spans="1:26" ht="15.75" customHeight="1">
      <c r="A73" s="12" t="s">
        <v>31</v>
      </c>
      <c r="B73" s="13">
        <f>+Rooms!C15</f>
        <v>711</v>
      </c>
      <c r="C73" s="13">
        <f>+Rooms!D15</f>
        <v>834</v>
      </c>
      <c r="D73" s="13">
        <f>+Rooms!E15</f>
        <v>835</v>
      </c>
      <c r="E73" s="13">
        <f>+Rooms!F15</f>
        <v>544</v>
      </c>
      <c r="F73" s="13">
        <f>+Rooms!G15</f>
        <v>311</v>
      </c>
      <c r="G73" s="13">
        <f>+Rooms!H15</f>
        <v>160</v>
      </c>
      <c r="H73" s="13">
        <f>+Rooms!I15</f>
        <v>429</v>
      </c>
      <c r="I73" s="13">
        <f>+Rooms!J15</f>
        <v>310</v>
      </c>
      <c r="J73" s="13">
        <f>+Rooms!K15</f>
        <v>12</v>
      </c>
      <c r="K73" s="13">
        <f>+Rooms!L15</f>
        <v>0</v>
      </c>
      <c r="L73" s="13">
        <f>+Rooms!M15</f>
        <v>316</v>
      </c>
      <c r="M73" s="13">
        <f>+Rooms!N15</f>
        <v>614</v>
      </c>
      <c r="N73" s="15">
        <f>+Rooms!O15</f>
        <v>5076</v>
      </c>
    </row>
    <row r="74" spans="1:26" ht="15.75" customHeight="1">
      <c r="A74" s="12" t="s">
        <v>32</v>
      </c>
      <c r="B74" s="16">
        <f>+Rooms!C16</f>
        <v>0.46129999999999999</v>
      </c>
      <c r="C74" s="16">
        <f>+Rooms!D16</f>
        <v>0.52410000000000001</v>
      </c>
      <c r="D74" s="16">
        <f>+Rooms!E16</f>
        <v>0.48170000000000002</v>
      </c>
      <c r="E74" s="16">
        <f>+Rooms!F16</f>
        <v>0.2878</v>
      </c>
      <c r="F74" s="16">
        <f>+Rooms!G16</f>
        <v>0.18920000000000001</v>
      </c>
      <c r="G74" s="16">
        <f>+Rooms!H16</f>
        <v>0.1089</v>
      </c>
      <c r="H74" s="16">
        <f>+Rooms!I16</f>
        <v>0.26769999999999999</v>
      </c>
      <c r="I74" s="16">
        <f>+Rooms!J16</f>
        <v>0.16880000000000001</v>
      </c>
      <c r="J74" s="16">
        <f>+Rooms!K16</f>
        <v>6.7000000000000002E-3</v>
      </c>
      <c r="K74" s="16"/>
      <c r="L74" s="16">
        <f>+Rooms!M16</f>
        <v>0.19889999999999999</v>
      </c>
      <c r="M74" s="16">
        <f>+Rooms!N16</f>
        <v>0.34089999999999998</v>
      </c>
      <c r="N74" s="17">
        <f>+Rooms!O16</f>
        <v>0.25264116575591983</v>
      </c>
    </row>
    <row r="75" spans="1:26" ht="15.75" customHeight="1">
      <c r="A75" s="12" t="s">
        <v>33</v>
      </c>
      <c r="B75" s="10">
        <f>+Rooms!C17</f>
        <v>359.84046711929068</v>
      </c>
      <c r="C75" s="10">
        <f>+Rooms!D17</f>
        <v>465.18851781012609</v>
      </c>
      <c r="D75" s="10">
        <f>+Rooms!E17</f>
        <v>389.0031442407261</v>
      </c>
      <c r="E75" s="10">
        <f>+Rooms!F17</f>
        <v>378.95219734631502</v>
      </c>
      <c r="F75" s="10">
        <f>+Rooms!G17</f>
        <v>231.30813710414614</v>
      </c>
      <c r="G75" s="10">
        <f>+Rooms!H17</f>
        <v>291.12236412557161</v>
      </c>
      <c r="H75" s="10">
        <f>+Rooms!I17</f>
        <v>426.03102266001406</v>
      </c>
      <c r="I75" s="10">
        <f>+Rooms!J17</f>
        <v>403.28887685010795</v>
      </c>
      <c r="J75" s="10">
        <f>+Rooms!K17</f>
        <v>434.33012606352167</v>
      </c>
      <c r="K75" s="10"/>
      <c r="L75" s="10">
        <f>+Rooms!M17</f>
        <v>471.30736560972713</v>
      </c>
      <c r="M75" s="10">
        <f>+Rooms!N17</f>
        <v>729.00372239747628</v>
      </c>
      <c r="N75" s="18">
        <f>+Rooms!O17</f>
        <v>431.01010582952512</v>
      </c>
    </row>
    <row r="76" spans="1:26" ht="15.75" customHeight="1">
      <c r="A76" s="19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3" t="s">
        <v>1</v>
      </c>
      <c r="B77" s="10">
        <f>+Rooms!C36</f>
        <v>154371.5603941757</v>
      </c>
      <c r="C77" s="10">
        <f>+Rooms!D36</f>
        <v>212125.96412141749</v>
      </c>
      <c r="D77" s="10">
        <f>+Rooms!E36</f>
        <v>174273.40861984529</v>
      </c>
      <c r="E77" s="10">
        <f>+Rooms!F36</f>
        <v>98148.619112695596</v>
      </c>
      <c r="F77" s="10">
        <f>+Rooms!G36</f>
        <v>40710.232130329721</v>
      </c>
      <c r="G77" s="10">
        <f>+Rooms!H36</f>
        <v>28529.99168430602</v>
      </c>
      <c r="H77" s="10">
        <f>+Rooms!I36</f>
        <v>106081.7246423435</v>
      </c>
      <c r="I77" s="10">
        <f>+Rooms!J36</f>
        <v>63316.353665466951</v>
      </c>
      <c r="J77" s="10">
        <f>+Rooms!K36</f>
        <v>2605.98075638113</v>
      </c>
      <c r="K77" s="10">
        <f>+Rooms!L36</f>
        <v>0</v>
      </c>
      <c r="L77" s="10">
        <f>+Rooms!M36</f>
        <v>84364.018444141155</v>
      </c>
      <c r="M77" s="10">
        <f>+Rooms!N36</f>
        <v>231094.18</v>
      </c>
      <c r="N77" s="21">
        <f t="shared" ref="N77:N87" si="14">SUM(B77:M77)</f>
        <v>1195622.0335711027</v>
      </c>
    </row>
    <row r="78" spans="1:26" ht="15.75" customHeight="1">
      <c r="A78" s="23" t="s">
        <v>2</v>
      </c>
      <c r="B78" s="10">
        <f>'Food Revenue'!C36</f>
        <v>40539.55897268431</v>
      </c>
      <c r="C78" s="10">
        <f>'Food Revenue'!D36</f>
        <v>51930.05293245818</v>
      </c>
      <c r="D78" s="10">
        <f>'Food Revenue'!E36</f>
        <v>51479.404505828192</v>
      </c>
      <c r="E78" s="10">
        <f>'Food Revenue'!F36</f>
        <v>31261.324242424242</v>
      </c>
      <c r="F78" s="10">
        <f>'Food Revenue'!G36</f>
        <v>12340.602482656481</v>
      </c>
      <c r="G78" s="10">
        <f>'Food Revenue'!H36</f>
        <v>10377.84156713033</v>
      </c>
      <c r="H78" s="10">
        <f>'Food Revenue'!I36</f>
        <v>27201.50537430929</v>
      </c>
      <c r="I78" s="10">
        <f>'Food Revenue'!J36</f>
        <v>20146.527921954919</v>
      </c>
      <c r="J78" s="10">
        <f>'Food Revenue'!K36</f>
        <v>879.4413050533592</v>
      </c>
      <c r="K78" s="10">
        <f>'Food Revenue'!L36</f>
        <v>0</v>
      </c>
      <c r="L78" s="10">
        <f>'Food Revenue'!M36</f>
        <v>23570.4825697017</v>
      </c>
      <c r="M78" s="10">
        <f>'Food Revenue'!N36</f>
        <v>48192.130398117282</v>
      </c>
      <c r="N78" s="21">
        <f t="shared" si="14"/>
        <v>317918.87227231829</v>
      </c>
      <c r="O78" s="32"/>
    </row>
    <row r="79" spans="1:26" ht="15.75" customHeight="1">
      <c r="A79" s="23" t="s">
        <v>3</v>
      </c>
      <c r="B79" s="10">
        <f>'Beverage Revenue'!B36</f>
        <v>13382.93812670483</v>
      </c>
      <c r="C79" s="10">
        <f>'Beverage Revenue'!C36</f>
        <v>18605.557773372089</v>
      </c>
      <c r="D79" s="10">
        <f>'Beverage Revenue'!D36</f>
        <v>15732.72802429229</v>
      </c>
      <c r="E79" s="10">
        <f>'Beverage Revenue'!E36</f>
        <v>9825.4251931075451</v>
      </c>
      <c r="F79" s="10">
        <f>'Beverage Revenue'!F36</f>
        <v>6010.1143503001013</v>
      </c>
      <c r="G79" s="10">
        <f>'Beverage Revenue'!G36</f>
        <v>1924.1242629271239</v>
      </c>
      <c r="H79" s="10">
        <f>'Beverage Revenue'!H36</f>
        <v>5599.9202936946476</v>
      </c>
      <c r="I79" s="10">
        <f>'Beverage Revenue'!I36</f>
        <v>5103.798143587801</v>
      </c>
      <c r="J79" s="10">
        <f>'Beverage Revenue'!J36</f>
        <v>221.69824936522789</v>
      </c>
      <c r="K79" s="10">
        <f>'Beverage Revenue'!K36</f>
        <v>0</v>
      </c>
      <c r="L79" s="10">
        <f>'Beverage Revenue'!L36</f>
        <v>7805.944219146033</v>
      </c>
      <c r="M79" s="10">
        <f>'Beverage Revenue'!M36</f>
        <v>11187.446165914889</v>
      </c>
      <c r="N79" s="21">
        <f t="shared" si="14"/>
        <v>95399.694802412603</v>
      </c>
    </row>
    <row r="80" spans="1:26" ht="15.75" customHeight="1">
      <c r="A80" s="23" t="s">
        <v>4</v>
      </c>
      <c r="B80" s="10">
        <f>'F&amp;B Mis Revenue'!B36</f>
        <v>0</v>
      </c>
      <c r="C80" s="10">
        <f>'F&amp;B Mis Revenue'!C36</f>
        <v>0</v>
      </c>
      <c r="D80" s="10">
        <f>'F&amp;B Mis Revenue'!D36</f>
        <v>0</v>
      </c>
      <c r="E80" s="10">
        <f>'F&amp;B Mis Revenue'!E36</f>
        <v>0</v>
      </c>
      <c r="F80" s="10">
        <f>'F&amp;B Mis Revenue'!F36</f>
        <v>0</v>
      </c>
      <c r="G80" s="10">
        <f>'F&amp;B Mis Revenue'!G36</f>
        <v>0</v>
      </c>
      <c r="H80" s="10">
        <f>'F&amp;B Mis Revenue'!H36</f>
        <v>0</v>
      </c>
      <c r="I80" s="10">
        <f>'F&amp;B Mis Revenue'!I36</f>
        <v>0</v>
      </c>
      <c r="J80" s="10">
        <f>'F&amp;B Mis Revenue'!J36</f>
        <v>0</v>
      </c>
      <c r="K80" s="10">
        <f>'F&amp;B Mis Revenue'!K36</f>
        <v>0</v>
      </c>
      <c r="L80" s="10">
        <f>'F&amp;B Mis Revenue'!L36</f>
        <v>0</v>
      </c>
      <c r="M80" s="10">
        <v>2745.8275688117101</v>
      </c>
      <c r="N80" s="21">
        <f t="shared" si="14"/>
        <v>2745.8275688117101</v>
      </c>
      <c r="O80" s="32"/>
    </row>
    <row r="81" spans="1:14" ht="15.75" customHeight="1">
      <c r="A81" s="23" t="s">
        <v>5</v>
      </c>
      <c r="B81" s="10">
        <f>'Spa Revenue'!B36</f>
        <v>2609.9180913596369</v>
      </c>
      <c r="C81" s="10">
        <f>'Spa Revenue'!C36</f>
        <v>2686.451446499721</v>
      </c>
      <c r="D81" s="10">
        <f>'Spa Revenue'!D36</f>
        <v>2436.6407091781762</v>
      </c>
      <c r="E81" s="10">
        <f>'Spa Revenue'!E36</f>
        <v>2246.1570806100221</v>
      </c>
      <c r="F81" s="10">
        <f>'Spa Revenue'!F36</f>
        <v>1706.7846480629819</v>
      </c>
      <c r="G81" s="10">
        <f>'Spa Revenue'!G36</f>
        <v>829.79373299062593</v>
      </c>
      <c r="H81" s="10">
        <f>'Spa Revenue'!H36</f>
        <v>780.02352206494584</v>
      </c>
      <c r="I81" s="10">
        <f>'Spa Revenue'!I36</f>
        <v>1309.875734040538</v>
      </c>
      <c r="J81" s="10">
        <f>'Spa Revenue'!J36</f>
        <v>0</v>
      </c>
      <c r="K81" s="10">
        <f>'Spa Revenue'!K36</f>
        <v>0</v>
      </c>
      <c r="L81" s="10">
        <f>'Spa Revenue'!L36</f>
        <v>690.99204523298897</v>
      </c>
      <c r="M81" s="10">
        <f>'Spa Revenue'!M36</f>
        <v>2891.0676799372432</v>
      </c>
      <c r="N81" s="21">
        <f t="shared" si="14"/>
        <v>18187.704689976883</v>
      </c>
    </row>
    <row r="82" spans="1:14" ht="15.75" customHeight="1">
      <c r="A82" s="23" t="s">
        <v>6</v>
      </c>
      <c r="B82" s="10">
        <f>'Retail Gift Shop'!B36</f>
        <v>778.5</v>
      </c>
      <c r="C82" s="10">
        <f>'Retail Gift Shop'!C36</f>
        <v>778.5</v>
      </c>
      <c r="D82" s="10">
        <f>'Retail Gift Shop'!D36</f>
        <v>778.5</v>
      </c>
      <c r="E82" s="10">
        <f>'Retail Gift Shop'!E36</f>
        <v>778.5</v>
      </c>
      <c r="F82" s="10">
        <f>'Retail Gift Shop'!F36</f>
        <v>778.5</v>
      </c>
      <c r="G82" s="10">
        <f>'Retail Gift Shop'!G36</f>
        <v>778.5</v>
      </c>
      <c r="H82" s="10">
        <f>'Retail Gift Shop'!H36</f>
        <v>778.5</v>
      </c>
      <c r="I82" s="10">
        <f>'Retail Gift Shop'!I36</f>
        <v>778.5</v>
      </c>
      <c r="J82" s="10">
        <f>'Retail Gift Shop'!J36</f>
        <v>778.5</v>
      </c>
      <c r="K82" s="10">
        <f>'Retail Gift Shop'!K36</f>
        <v>778.5</v>
      </c>
      <c r="L82" s="10">
        <f>'Retail Gift Shop'!L36</f>
        <v>778.5</v>
      </c>
      <c r="M82" s="10">
        <f>'Retail Gift Shop'!M36</f>
        <v>778.5</v>
      </c>
      <c r="N82" s="21">
        <f t="shared" si="14"/>
        <v>9342</v>
      </c>
    </row>
    <row r="83" spans="1:14" ht="15.75" customHeight="1">
      <c r="A83" s="23" t="s">
        <v>7</v>
      </c>
      <c r="B83" s="10">
        <f>Activities!B36</f>
        <v>23251.897556571519</v>
      </c>
      <c r="C83" s="10">
        <f>Activities!C36</f>
        <v>35457.988470348188</v>
      </c>
      <c r="D83" s="10">
        <f>Activities!D36</f>
        <v>29360.588774610638</v>
      </c>
      <c r="E83" s="10">
        <f>Activities!E36</f>
        <v>19914.132343038229</v>
      </c>
      <c r="F83" s="10">
        <f>Activities!F36</f>
        <v>4278.6450814560758</v>
      </c>
      <c r="G83" s="10">
        <f>Activities!G36</f>
        <v>4884.2610938917451</v>
      </c>
      <c r="H83" s="10">
        <f>Activities!H36</f>
        <v>12683.71463174627</v>
      </c>
      <c r="I83" s="10">
        <f>Activities!I36</f>
        <v>11513.627694639141</v>
      </c>
      <c r="J83" s="10">
        <f>Activities!J36</f>
        <v>513.19230255245225</v>
      </c>
      <c r="K83" s="10">
        <f>Activities!K36</f>
        <v>792.42503287183865</v>
      </c>
      <c r="L83" s="10">
        <f>Activities!L36</f>
        <v>15512.892708130241</v>
      </c>
      <c r="M83" s="10">
        <f>Activities!M36</f>
        <v>28389.368478133001</v>
      </c>
      <c r="N83" s="21">
        <f t="shared" si="14"/>
        <v>186552.73416798934</v>
      </c>
    </row>
    <row r="84" spans="1:14" ht="15.75" customHeight="1">
      <c r="A84" s="23" t="s">
        <v>8</v>
      </c>
      <c r="B84" s="10">
        <f>Transportation!B36</f>
        <v>6839.4117138576203</v>
      </c>
      <c r="C84" s="10">
        <f>Transportation!C36</f>
        <v>8643.1189536696638</v>
      </c>
      <c r="D84" s="10">
        <f>Transportation!D36</f>
        <v>9479.849485747869</v>
      </c>
      <c r="E84" s="10">
        <f>Transportation!E36</f>
        <v>4705.2109130520903</v>
      </c>
      <c r="F84" s="10">
        <f>Transportation!F36</f>
        <v>971.64708862732869</v>
      </c>
      <c r="G84" s="10">
        <f>Transportation!G36</f>
        <v>1180.513210613849</v>
      </c>
      <c r="H84" s="10">
        <f>Transportation!H36</f>
        <v>18097.012394973881</v>
      </c>
      <c r="I84" s="10">
        <f>Transportation!I36</f>
        <v>2716.938738397424</v>
      </c>
      <c r="J84" s="10">
        <f>Transportation!J36</f>
        <v>1088.308642446689</v>
      </c>
      <c r="K84" s="10">
        <f>Transportation!K36</f>
        <v>68.442551628122828</v>
      </c>
      <c r="L84" s="10">
        <f>Transportation!L36</f>
        <v>3294.4656073308638</v>
      </c>
      <c r="M84" s="10">
        <f>Transportation!M36</f>
        <v>7363.2469896058064</v>
      </c>
      <c r="N84" s="21">
        <f t="shared" si="14"/>
        <v>64448.166289951216</v>
      </c>
    </row>
    <row r="85" spans="1:14" ht="15.75" customHeight="1">
      <c r="A85" s="23" t="s">
        <v>9</v>
      </c>
      <c r="B85" s="10">
        <f>Innoceanna!B36</f>
        <v>19035.440278151291</v>
      </c>
      <c r="C85" s="10">
        <f>Innoceanna!C36</f>
        <v>24083.111119665849</v>
      </c>
      <c r="D85" s="10">
        <f>Innoceanna!D36</f>
        <v>23552.044803604669</v>
      </c>
      <c r="E85" s="10">
        <f>Innoceanna!E36</f>
        <v>14307.942701525049</v>
      </c>
      <c r="F85" s="10">
        <f>Innoceanna!F36</f>
        <v>5683.7655896796332</v>
      </c>
      <c r="G85" s="10">
        <f>Innoceanna!G36</f>
        <v>6108.9313577260345</v>
      </c>
      <c r="H85" s="10">
        <f>Innoceanna!H36</f>
        <v>11978.497653470589</v>
      </c>
      <c r="I85" s="10">
        <f>Innoceanna!I36</f>
        <v>9877.4202311043755</v>
      </c>
      <c r="J85" s="10">
        <f>Innoceanna!J36</f>
        <v>514.0933162788034</v>
      </c>
      <c r="K85" s="10">
        <f>Innoceanna!K36</f>
        <v>0</v>
      </c>
      <c r="L85" s="10">
        <f>Innoceanna!L36</f>
        <v>7821.1374926886338</v>
      </c>
      <c r="M85" s="10">
        <f>Innoceanna!M36</f>
        <v>18996.75</v>
      </c>
      <c r="N85" s="21">
        <f t="shared" si="14"/>
        <v>141959.13454389494</v>
      </c>
    </row>
    <row r="86" spans="1:14" ht="15.75" customHeight="1">
      <c r="A86" s="23" t="s">
        <v>10</v>
      </c>
      <c r="B86" s="10">
        <f>'Sustainability Fee'!B36</f>
        <v>0</v>
      </c>
      <c r="C86" s="10">
        <f>'Sustainability Fee'!C36</f>
        <v>0</v>
      </c>
      <c r="D86" s="10">
        <f>'Sustainability Fee'!D36</f>
        <v>0</v>
      </c>
      <c r="E86" s="10">
        <f>'Sustainability Fee'!E36</f>
        <v>0</v>
      </c>
      <c r="F86" s="10">
        <f>'Sustainability Fee'!F36</f>
        <v>0</v>
      </c>
      <c r="G86" s="10">
        <f>'Sustainability Fee'!G36</f>
        <v>44.357877230117928</v>
      </c>
      <c r="H86" s="10">
        <f>'Sustainability Fee'!H36</f>
        <v>753.07830595715689</v>
      </c>
      <c r="I86" s="10">
        <f>'Sustainability Fee'!I36</f>
        <v>1265.73205152491</v>
      </c>
      <c r="J86" s="10">
        <f>'Sustainability Fee'!J36</f>
        <v>0</v>
      </c>
      <c r="K86" s="10">
        <f>'Sustainability Fee'!K36</f>
        <v>0</v>
      </c>
      <c r="L86" s="10">
        <f>'Sustainability Fee'!L36</f>
        <v>4006.181438876974</v>
      </c>
      <c r="M86" s="10">
        <f>'Sustainability Fee'!M36</f>
        <v>7524.7718376152197</v>
      </c>
      <c r="N86" s="21">
        <f t="shared" si="14"/>
        <v>13594.121511204379</v>
      </c>
    </row>
    <row r="87" spans="1:14" ht="16.5" customHeight="1">
      <c r="A87" s="24" t="s">
        <v>11</v>
      </c>
      <c r="B87" s="25">
        <f>Laundry!B36</f>
        <v>1057.577740212839</v>
      </c>
      <c r="C87" s="25">
        <f>Laundry!C36</f>
        <v>1705.9949762285139</v>
      </c>
      <c r="D87" s="25">
        <f>Laundry!D36</f>
        <v>2060.9847781369381</v>
      </c>
      <c r="E87" s="25">
        <f>Laundry!E36</f>
        <v>1412.549990097049</v>
      </c>
      <c r="F87" s="25">
        <f>Laundry!F36</f>
        <v>445.89118403616811</v>
      </c>
      <c r="G87" s="25">
        <f>Laundry!G36</f>
        <v>569.43434381614748</v>
      </c>
      <c r="H87" s="25">
        <f>Laundry!H36</f>
        <v>421.22070622965703</v>
      </c>
      <c r="I87" s="25">
        <f>Laundry!I36</f>
        <v>338.19588937298732</v>
      </c>
      <c r="J87" s="25">
        <f>Laundry!J36</f>
        <v>44.072602661270309</v>
      </c>
      <c r="K87" s="25">
        <f>Laundry!K36</f>
        <v>1065.1839276046101</v>
      </c>
      <c r="L87" s="25">
        <f>Laundry!L36</f>
        <v>762.07087151491521</v>
      </c>
      <c r="M87" s="25">
        <f>Laundry!M36</f>
        <v>33.479999999999997</v>
      </c>
      <c r="N87" s="26">
        <f t="shared" si="14"/>
        <v>9916.6570099110941</v>
      </c>
    </row>
    <row r="88" spans="1:14" ht="16.5" customHeight="1">
      <c r="A88" s="27" t="s">
        <v>34</v>
      </c>
      <c r="B88" s="28">
        <f t="shared" ref="B88:N88" si="15">SUM(B77:B87)</f>
        <v>261866.80287371774</v>
      </c>
      <c r="C88" s="28">
        <f t="shared" si="15"/>
        <v>356016.73979365971</v>
      </c>
      <c r="D88" s="28">
        <f t="shared" si="15"/>
        <v>309154.14970124408</v>
      </c>
      <c r="E88" s="28">
        <f t="shared" si="15"/>
        <v>182599.86157654983</v>
      </c>
      <c r="F88" s="28">
        <f t="shared" si="15"/>
        <v>72926.182555148494</v>
      </c>
      <c r="G88" s="28">
        <f t="shared" si="15"/>
        <v>55227.749130631986</v>
      </c>
      <c r="H88" s="28">
        <f t="shared" si="15"/>
        <v>184375.19752478992</v>
      </c>
      <c r="I88" s="28">
        <f t="shared" si="15"/>
        <v>116366.97007008907</v>
      </c>
      <c r="J88" s="28">
        <f t="shared" si="15"/>
        <v>6645.2871747389318</v>
      </c>
      <c r="K88" s="28">
        <f t="shared" si="15"/>
        <v>2704.5515121045714</v>
      </c>
      <c r="L88" s="28">
        <f t="shared" si="15"/>
        <v>148606.68539676353</v>
      </c>
      <c r="M88" s="28">
        <f t="shared" si="15"/>
        <v>359196.76911813515</v>
      </c>
      <c r="N88" s="29">
        <f t="shared" si="15"/>
        <v>2055686.946427573</v>
      </c>
    </row>
    <row r="89" spans="1:14" ht="15.75" customHeight="1"/>
    <row r="90" spans="1:14" ht="15.75" customHeight="1"/>
    <row r="91" spans="1:14" ht="15.75" customHeight="1"/>
    <row r="92" spans="1:14" ht="15.75" customHeight="1"/>
    <row r="93" spans="1:14" ht="18.75" customHeight="1">
      <c r="A93" s="6" t="s">
        <v>35</v>
      </c>
      <c r="D93" s="33" t="s">
        <v>190</v>
      </c>
    </row>
    <row r="94" spans="1:14" ht="19.5" customHeight="1" thickBot="1">
      <c r="A94" s="7"/>
    </row>
    <row r="95" spans="1:14" ht="15.75" customHeight="1">
      <c r="A95" s="8"/>
      <c r="B95" s="4" t="s">
        <v>13</v>
      </c>
      <c r="C95" s="4" t="s">
        <v>14</v>
      </c>
      <c r="D95" s="4" t="s">
        <v>15</v>
      </c>
      <c r="E95" s="4" t="s">
        <v>16</v>
      </c>
      <c r="F95" s="4" t="s">
        <v>17</v>
      </c>
      <c r="G95" s="4" t="s">
        <v>18</v>
      </c>
      <c r="H95" s="4" t="s">
        <v>19</v>
      </c>
      <c r="I95" s="4" t="s">
        <v>20</v>
      </c>
      <c r="J95" s="4" t="s">
        <v>21</v>
      </c>
      <c r="K95" s="4" t="s">
        <v>22</v>
      </c>
      <c r="L95" s="4" t="s">
        <v>23</v>
      </c>
      <c r="M95" s="4" t="s">
        <v>24</v>
      </c>
      <c r="N95" s="5" t="s">
        <v>25</v>
      </c>
    </row>
    <row r="96" spans="1:14" ht="15.75" customHeight="1">
      <c r="A96" s="9" t="s">
        <v>28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>
        <f t="shared" ref="N96:N100" si="16">SUM(B96:M96)</f>
        <v>0</v>
      </c>
    </row>
    <row r="97" spans="1:26" ht="15.75" customHeight="1" thickBot="1">
      <c r="A97" s="12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>
        <f t="shared" si="16"/>
        <v>0</v>
      </c>
    </row>
    <row r="98" spans="1:26" ht="15.75" customHeight="1" thickBot="1">
      <c r="A98" s="12" t="s">
        <v>29</v>
      </c>
      <c r="B98" s="13">
        <f>30*31</f>
        <v>930</v>
      </c>
      <c r="C98" s="13">
        <f>30*29</f>
        <v>870</v>
      </c>
      <c r="D98" s="13">
        <f>30*31</f>
        <v>930</v>
      </c>
      <c r="E98" s="13">
        <f>+Rooms!F40</f>
        <v>0</v>
      </c>
      <c r="F98" s="13">
        <f>+Rooms!G40</f>
        <v>0</v>
      </c>
      <c r="G98" s="13">
        <f>+Rooms!H40</f>
        <v>0</v>
      </c>
      <c r="H98" s="13">
        <f>+Rooms!I40</f>
        <v>0</v>
      </c>
      <c r="I98" s="13">
        <f>+Rooms!J40</f>
        <v>0</v>
      </c>
      <c r="J98" s="13">
        <f>+Rooms!K40</f>
        <v>0</v>
      </c>
      <c r="K98" s="13">
        <f>+Rooms!L40</f>
        <v>0</v>
      </c>
      <c r="L98" s="13">
        <f>+Rooms!M40</f>
        <v>0</v>
      </c>
      <c r="M98" s="13">
        <f>+Rooms!N40</f>
        <v>0</v>
      </c>
      <c r="N98" s="14">
        <f t="shared" si="16"/>
        <v>2730</v>
      </c>
    </row>
    <row r="99" spans="1:26" ht="15.75" customHeight="1" thickBot="1">
      <c r="A99" s="12" t="s">
        <v>30</v>
      </c>
      <c r="B99" s="13">
        <v>403</v>
      </c>
      <c r="C99" s="13">
        <v>278</v>
      </c>
      <c r="D99" s="13">
        <v>240</v>
      </c>
      <c r="E99" s="13">
        <f>+Rooms!F41</f>
        <v>0.77243963882061806</v>
      </c>
      <c r="F99" s="13">
        <f>+Rooms!G41</f>
        <v>1.2025940966588771</v>
      </c>
      <c r="G99" s="13">
        <f>+Rooms!H41</f>
        <v>1.3983192188495277</v>
      </c>
      <c r="H99" s="13">
        <f>+Rooms!I41</f>
        <v>0.35083390983542273</v>
      </c>
      <c r="I99" s="13">
        <f>+Rooms!J41</f>
        <v>0.60049815159077391</v>
      </c>
      <c r="J99" s="13">
        <f>+Rooms!K41</f>
        <v>2.5428523619011489</v>
      </c>
      <c r="K99" s="13">
        <f>+Rooms!L41</f>
        <v>-1</v>
      </c>
      <c r="L99" s="13">
        <f>+Rooms!M41</f>
        <v>1.4144056940418677</v>
      </c>
      <c r="M99" s="13">
        <f>+Rooms!N41</f>
        <v>0.75228809861409363</v>
      </c>
      <c r="N99" s="14">
        <f t="shared" si="16"/>
        <v>929.03423117031241</v>
      </c>
    </row>
    <row r="100" spans="1:26" ht="15.75" customHeight="1">
      <c r="A100" s="12" t="s">
        <v>31</v>
      </c>
      <c r="B100" s="13">
        <v>775</v>
      </c>
      <c r="C100" s="13">
        <v>547</v>
      </c>
      <c r="D100" s="13">
        <v>437</v>
      </c>
      <c r="E100" s="13">
        <f>+Rooms!F42</f>
        <v>91918.666614173257</v>
      </c>
      <c r="F100" s="13">
        <f>+Rooms!G42</f>
        <v>66184.386210254641</v>
      </c>
      <c r="G100" s="13">
        <f>+Rooms!H42</f>
        <v>54124.28224342817</v>
      </c>
      <c r="H100" s="13">
        <f>+Rooms!I42</f>
        <v>48838.513988098741</v>
      </c>
      <c r="I100" s="13">
        <f>+Rooms!J42</f>
        <v>49091.086821011326</v>
      </c>
      <c r="J100" s="13">
        <f>+Rooms!K42</f>
        <v>28690.647199999999</v>
      </c>
      <c r="K100" s="13">
        <f>+Rooms!L42</f>
        <v>-19750</v>
      </c>
      <c r="L100" s="13">
        <f>+Rooms!M42</f>
        <v>131751.89039999997</v>
      </c>
      <c r="M100" s="13">
        <f>+Rooms!O42</f>
        <v>1063609.4498011344</v>
      </c>
      <c r="N100" s="14">
        <f t="shared" si="16"/>
        <v>1516217.9232781006</v>
      </c>
    </row>
    <row r="101" spans="1:26" ht="15.75" customHeight="1">
      <c r="A101" s="12" t="s">
        <v>32</v>
      </c>
      <c r="B101" s="16">
        <f t="shared" ref="B101:D101" si="17">+B99/B98</f>
        <v>0.43333333333333335</v>
      </c>
      <c r="C101" s="16">
        <f t="shared" si="17"/>
        <v>0.31954022988505748</v>
      </c>
      <c r="D101" s="16">
        <f t="shared" si="17"/>
        <v>0.25806451612903225</v>
      </c>
      <c r="E101" s="16">
        <f>+Rooms!F43</f>
        <v>0</v>
      </c>
      <c r="F101" s="16">
        <f>+Rooms!G43</f>
        <v>0</v>
      </c>
      <c r="G101" s="16">
        <f>+Rooms!H43</f>
        <v>0</v>
      </c>
      <c r="H101" s="16">
        <f>+Rooms!I43</f>
        <v>0</v>
      </c>
      <c r="I101" s="16">
        <f>+Rooms!J43</f>
        <v>0</v>
      </c>
      <c r="J101" s="16">
        <f>+Rooms!K43</f>
        <v>0</v>
      </c>
      <c r="K101" s="16">
        <f>+Rooms!L43</f>
        <v>0</v>
      </c>
      <c r="L101" s="16">
        <f>+Rooms!M43</f>
        <v>0</v>
      </c>
      <c r="M101" s="16">
        <f>+Rooms!N43</f>
        <v>0</v>
      </c>
      <c r="N101" s="17">
        <f>+Rooms!O43</f>
        <v>0</v>
      </c>
    </row>
    <row r="102" spans="1:26" ht="15.75" customHeight="1">
      <c r="A102" s="12" t="s">
        <v>33</v>
      </c>
      <c r="B102" s="10">
        <f t="shared" ref="B102:E102" si="18">+B104/B99</f>
        <v>1398.5691563275434</v>
      </c>
      <c r="C102" s="10">
        <f t="shared" si="18"/>
        <v>1187.3068345323741</v>
      </c>
      <c r="D102" s="10">
        <f t="shared" si="18"/>
        <v>1178.0147083333334</v>
      </c>
      <c r="E102" s="10">
        <f t="shared" si="18"/>
        <v>140494.70605327416</v>
      </c>
      <c r="F102" s="10">
        <f>+Rooms!G44</f>
        <v>0</v>
      </c>
      <c r="G102" s="10">
        <f>+Rooms!H44</f>
        <v>0</v>
      </c>
      <c r="H102" s="10">
        <f>+Rooms!I44</f>
        <v>0</v>
      </c>
      <c r="I102" s="10">
        <f>+Rooms!J44</f>
        <v>0</v>
      </c>
      <c r="J102" s="10">
        <f>+Rooms!K44</f>
        <v>0</v>
      </c>
      <c r="K102" s="10">
        <f>+Rooms!L44</f>
        <v>0</v>
      </c>
      <c r="L102" s="10">
        <f>+Rooms!M44</f>
        <v>0</v>
      </c>
      <c r="M102" s="10">
        <f>+Rooms!N44</f>
        <v>0</v>
      </c>
      <c r="N102" s="18">
        <f>+Rooms!O44</f>
        <v>0</v>
      </c>
    </row>
    <row r="103" spans="1:26" ht="15.75" customHeight="1">
      <c r="A103" s="19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1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38" t="s">
        <v>34</v>
      </c>
      <c r="B104" s="10">
        <v>563623.37</v>
      </c>
      <c r="C104" s="10">
        <v>330071.3</v>
      </c>
      <c r="D104" s="10">
        <v>282723.53000000003</v>
      </c>
      <c r="E104" s="10">
        <v>108523.68</v>
      </c>
      <c r="F104" s="10">
        <v>64106.33</v>
      </c>
      <c r="G104" s="10">
        <v>13553.99</v>
      </c>
      <c r="H104" s="10">
        <v>5023</v>
      </c>
      <c r="I104" s="10">
        <v>8704.33</v>
      </c>
      <c r="J104" s="10">
        <v>4941.49</v>
      </c>
      <c r="K104" s="10">
        <v>0</v>
      </c>
      <c r="L104" s="10">
        <v>57721.5</v>
      </c>
      <c r="M104" s="10">
        <v>5798.2</v>
      </c>
      <c r="N104" s="21">
        <f>SUM(B104:M104)</f>
        <v>1444790.72</v>
      </c>
    </row>
    <row r="105" spans="1:26" ht="15.75" customHeight="1" thickBot="1">
      <c r="A105" s="23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21">
        <f t="shared" ref="N105" si="19">SUM(B105:M105)</f>
        <v>0</v>
      </c>
      <c r="O105" s="32"/>
    </row>
    <row r="106" spans="1:26" ht="16.5" customHeight="1" thickBot="1">
      <c r="A106" s="27" t="s">
        <v>34</v>
      </c>
      <c r="B106" s="28">
        <f>SUM(B104:B105)</f>
        <v>563623.37</v>
      </c>
      <c r="C106" s="28">
        <f t="shared" ref="C106:N106" si="20">SUM(C104:C105)</f>
        <v>330071.3</v>
      </c>
      <c r="D106" s="28">
        <f t="shared" si="20"/>
        <v>282723.53000000003</v>
      </c>
      <c r="E106" s="28">
        <f t="shared" si="20"/>
        <v>108523.68</v>
      </c>
      <c r="F106" s="28">
        <f t="shared" si="20"/>
        <v>64106.33</v>
      </c>
      <c r="G106" s="28">
        <f t="shared" si="20"/>
        <v>13553.99</v>
      </c>
      <c r="H106" s="28">
        <f t="shared" si="20"/>
        <v>5023</v>
      </c>
      <c r="I106" s="28">
        <f t="shared" si="20"/>
        <v>8704.33</v>
      </c>
      <c r="J106" s="28">
        <f t="shared" si="20"/>
        <v>4941.49</v>
      </c>
      <c r="K106" s="28">
        <f t="shared" si="20"/>
        <v>0</v>
      </c>
      <c r="L106" s="28">
        <f t="shared" si="20"/>
        <v>57721.5</v>
      </c>
      <c r="M106" s="28">
        <f t="shared" si="20"/>
        <v>5798.2</v>
      </c>
      <c r="N106" s="29">
        <f t="shared" si="20"/>
        <v>1444790.72</v>
      </c>
    </row>
    <row r="107" spans="1:26" ht="15.75" customHeight="1"/>
    <row r="108" spans="1:26" ht="15.75" customHeight="1">
      <c r="A108" s="34" t="s">
        <v>36</v>
      </c>
      <c r="B108" s="253">
        <f t="shared" ref="B108:M108" si="21">+B104-B29</f>
        <v>-195146.62099600001</v>
      </c>
      <c r="C108" s="253">
        <f t="shared" si="21"/>
        <v>-356753.90705440013</v>
      </c>
      <c r="D108" s="253">
        <f t="shared" si="21"/>
        <v>-376559.01065319998</v>
      </c>
      <c r="E108" s="253">
        <f t="shared" si="21"/>
        <v>-269482.14640200004</v>
      </c>
      <c r="F108" s="253">
        <f t="shared" si="21"/>
        <v>-175811.82626760693</v>
      </c>
      <c r="G108" s="253">
        <f t="shared" si="21"/>
        <v>-166652.05831455177</v>
      </c>
      <c r="H108" s="253">
        <f t="shared" si="21"/>
        <v>-349957.72180460003</v>
      </c>
      <c r="I108" s="253">
        <f t="shared" si="21"/>
        <v>-249905.16619232003</v>
      </c>
      <c r="J108" s="253">
        <f t="shared" si="21"/>
        <v>-81159.723000319995</v>
      </c>
      <c r="K108" s="253">
        <f t="shared" si="21"/>
        <v>0</v>
      </c>
      <c r="L108" s="253">
        <f t="shared" si="21"/>
        <v>-371435.26224239997</v>
      </c>
      <c r="M108" s="253">
        <f t="shared" si="21"/>
        <v>-746625.42364094022</v>
      </c>
      <c r="N108" s="254">
        <f>SUM(B108:M108)</f>
        <v>-3339488.8665683395</v>
      </c>
    </row>
    <row r="109" spans="1:26" ht="15.75" customHeight="1">
      <c r="B109" s="255"/>
      <c r="C109" s="255"/>
      <c r="D109" s="124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</row>
    <row r="110" spans="1:26" ht="15.75" customHeight="1">
      <c r="B110" s="35"/>
      <c r="C110" s="10"/>
      <c r="D110" s="220"/>
    </row>
    <row r="111" spans="1:26" ht="15.75" customHeight="1">
      <c r="B111" s="263"/>
      <c r="C111" s="263"/>
      <c r="D111" s="263"/>
    </row>
    <row r="112" spans="1:26" ht="15.75" customHeight="1"/>
    <row r="113" spans="1:4" ht="15.75" customHeight="1"/>
    <row r="114" spans="1:4" ht="15.75" customHeight="1">
      <c r="D114" s="263"/>
    </row>
    <row r="115" spans="1:4" ht="15.75" customHeight="1"/>
    <row r="116" spans="1:4" ht="15.75" customHeight="1">
      <c r="D116" s="222"/>
    </row>
    <row r="117" spans="1:4" ht="15.75" customHeight="1"/>
    <row r="118" spans="1:4" ht="15.75" customHeight="1">
      <c r="D118" s="263"/>
    </row>
    <row r="119" spans="1:4" ht="15.75" customHeight="1"/>
    <row r="120" spans="1:4" ht="15.75" customHeight="1"/>
    <row r="121" spans="1:4" ht="15.75" customHeight="1">
      <c r="A121" s="406"/>
    </row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hyperlinks>
    <hyperlink ref="B1" location="Rooms!A10" display="Rooms" xr:uid="{00000000-0004-0000-0000-000000000000}"/>
    <hyperlink ref="C1" location="'Food Revenue'!A10" display="Food Revenue" xr:uid="{00000000-0004-0000-0000-000001000000}"/>
    <hyperlink ref="D1" location="'Beverage Revenue'!A10" display="Beverage Revenue" xr:uid="{00000000-0004-0000-0000-000002000000}"/>
    <hyperlink ref="E1" location="'F&amp;B Mis Revenue'!A1" display="F&amp;B Mis Revenue" xr:uid="{00000000-0004-0000-0000-000003000000}"/>
    <hyperlink ref="F1" location="'Spa Revenue'!A10" display="Spa Revenue" xr:uid="{00000000-0004-0000-0000-000004000000}"/>
    <hyperlink ref="G1" location="'Retail Gift Shop'!A10" display="Retail Gift Shop" xr:uid="{00000000-0004-0000-0000-000005000000}"/>
    <hyperlink ref="H1" location="Activities!A10" display="Activities" xr:uid="{00000000-0004-0000-0000-000006000000}"/>
    <hyperlink ref="I1" location="Transportation!A10" display="Transportation" xr:uid="{00000000-0004-0000-0000-000007000000}"/>
    <hyperlink ref="J1" location="Innoceanna!A10" display="Innoceanna" xr:uid="{00000000-0004-0000-0000-000008000000}"/>
    <hyperlink ref="K1" location="'Sustainability Fee'!A10" display="Sustainability Fee" xr:uid="{00000000-0004-0000-0000-000009000000}"/>
    <hyperlink ref="L1" location="Laundry!A10" display="Laundry" xr:uid="{00000000-0004-0000-0000-00000A000000}"/>
    <hyperlink ref="A18" location="Rooms!A1" display="Rooms" xr:uid="{00000000-0004-0000-0000-00000B000000}"/>
    <hyperlink ref="A19" location="'Food Revenue'!A1" display="Food Revenue" xr:uid="{00000000-0004-0000-0000-00000C000000}"/>
    <hyperlink ref="A20" location="'Beverage Revenue'!A1" display="Beverage Revenue" xr:uid="{00000000-0004-0000-0000-00000D000000}"/>
    <hyperlink ref="A21" location="'F&amp;B Mis Revenue'!A1" display="F&amp;B Mis Revenue" xr:uid="{00000000-0004-0000-0000-00000E000000}"/>
    <hyperlink ref="A22" location="'Spa Revenue'!A1" display="Spa Revenue" xr:uid="{00000000-0004-0000-0000-00000F000000}"/>
    <hyperlink ref="A23" location="'Retail Gift Shop'!A1" display="Retail Gift Shop" xr:uid="{00000000-0004-0000-0000-000010000000}"/>
    <hyperlink ref="A24" location="Activities!A10" display="Activities" xr:uid="{00000000-0004-0000-0000-000011000000}"/>
    <hyperlink ref="A25" location="Transportation!A1" display="Transportation" xr:uid="{00000000-0004-0000-0000-000012000000}"/>
    <hyperlink ref="A26" location="Innoceanna!A1" display="Innoceanna" xr:uid="{00000000-0004-0000-0000-000013000000}"/>
    <hyperlink ref="A27" location="'Sustainability Fee'!A1" display="Sustainability Fee" xr:uid="{00000000-0004-0000-0000-000014000000}"/>
    <hyperlink ref="A28" location="Laundry!A10" display="Laundry" xr:uid="{00000000-0004-0000-0000-000015000000}"/>
    <hyperlink ref="A52" location="Rooms!A1" display="Rooms" xr:uid="{00000000-0004-0000-0000-000016000000}"/>
    <hyperlink ref="A53" location="'Food Revenue'!A1" display="Food Revenue" xr:uid="{00000000-0004-0000-0000-000017000000}"/>
    <hyperlink ref="A54" location="'Beverage Revenue'!A1" display="Beverage Revenue" xr:uid="{00000000-0004-0000-0000-000018000000}"/>
    <hyperlink ref="A55" location="'F&amp;B Mis Revenue'!A1" display="F&amp;B Mis Revenue" xr:uid="{00000000-0004-0000-0000-000019000000}"/>
    <hyperlink ref="A56" location="'Spa Revenue'!A1" display="Spa Revenue" xr:uid="{00000000-0004-0000-0000-00001A000000}"/>
    <hyperlink ref="A57" location="'Retail Gift Shop'!A1" display="Retail Gift Shop" xr:uid="{00000000-0004-0000-0000-00001B000000}"/>
    <hyperlink ref="A58" location="Activities!A10" display="Activities" xr:uid="{00000000-0004-0000-0000-00001C000000}"/>
    <hyperlink ref="A59" location="Transportation!A1" display="Transportation" xr:uid="{00000000-0004-0000-0000-00001D000000}"/>
    <hyperlink ref="A60" location="Innoceanna!A1" display="Innoceanna" xr:uid="{00000000-0004-0000-0000-00001E000000}"/>
    <hyperlink ref="A61" location="'Sustainability Fee'!A1" display="Sustainability Fee" xr:uid="{00000000-0004-0000-0000-00001F000000}"/>
    <hyperlink ref="A62" location="Laundry!A10" display="Laundry" xr:uid="{00000000-0004-0000-0000-000020000000}"/>
    <hyperlink ref="A77" location="Rooms!A1" display="Rooms" xr:uid="{00000000-0004-0000-0000-000021000000}"/>
    <hyperlink ref="A78" location="'Food Revenue'!A1" display="Food Revenue" xr:uid="{00000000-0004-0000-0000-000022000000}"/>
    <hyperlink ref="A79" location="'Beverage Revenue'!A1" display="Beverage Revenue" xr:uid="{00000000-0004-0000-0000-000023000000}"/>
    <hyperlink ref="A80" location="'F&amp;B Mis Revenue'!A1" display="F&amp;B Mis Revenue" xr:uid="{00000000-0004-0000-0000-000024000000}"/>
    <hyperlink ref="A81" location="'Spa Revenue'!A1" display="Spa Revenue" xr:uid="{00000000-0004-0000-0000-000025000000}"/>
    <hyperlink ref="A82" location="'Retail Gift Shop'!A1" display="Retail Gift Shop" xr:uid="{00000000-0004-0000-0000-000026000000}"/>
    <hyperlink ref="A83" location="Activities!A10" display="Activities" xr:uid="{00000000-0004-0000-0000-000027000000}"/>
    <hyperlink ref="A84" location="Transportation!A1" display="Transportation" xr:uid="{00000000-0004-0000-0000-000028000000}"/>
    <hyperlink ref="A85" location="Innoceanna!A1" display="Innoceanna" xr:uid="{00000000-0004-0000-0000-000029000000}"/>
    <hyperlink ref="A86" location="'Sustainability Fee'!A1" display="Sustainability Fee" xr:uid="{00000000-0004-0000-0000-00002A000000}"/>
    <hyperlink ref="A87" location="Laundry!A10" display="Laundry" xr:uid="{00000000-0004-0000-0000-00002B000000}"/>
    <hyperlink ref="A104" location="Rooms!A1" display="Rooms" xr:uid="{00000000-0004-0000-0000-00002C000000}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8813-6316-49F5-A8A8-073B0FBFEB2C}">
  <dimension ref="A1:AE60"/>
  <sheetViews>
    <sheetView showGridLines="0" tabSelected="1" zoomScale="107" zoomScaleNormal="107" workbookViewId="0">
      <pane xSplit="2" ySplit="4" topLeftCell="C45" activePane="bottomRight" state="frozen"/>
      <selection pane="topRight" activeCell="C1" sqref="C1"/>
      <selection pane="bottomLeft" activeCell="A5" sqref="A5"/>
      <selection pane="bottomRight" activeCell="E63" sqref="E63"/>
    </sheetView>
  </sheetViews>
  <sheetFormatPr defaultColWidth="14.42578125" defaultRowHeight="15" customHeight="1"/>
  <cols>
    <col min="1" max="1" width="2" customWidth="1"/>
    <col min="2" max="2" width="32.42578125" customWidth="1"/>
    <col min="3" max="3" width="18.42578125" customWidth="1"/>
    <col min="4" max="4" width="16.5703125" customWidth="1"/>
    <col min="5" max="5" width="16.140625" customWidth="1"/>
    <col min="6" max="7" width="15" customWidth="1"/>
    <col min="8" max="8" width="16.140625" customWidth="1"/>
    <col min="9" max="9" width="15.42578125" customWidth="1"/>
    <col min="10" max="10" width="14.7109375" customWidth="1"/>
    <col min="11" max="11" width="16.140625" customWidth="1"/>
    <col min="12" max="12" width="18.7109375" customWidth="1"/>
    <col min="13" max="13" width="13.85546875" customWidth="1"/>
    <col min="14" max="14" width="16.85546875" customWidth="1"/>
    <col min="15" max="15" width="14.7109375" customWidth="1"/>
    <col min="16" max="16" width="17.140625" customWidth="1"/>
    <col min="17" max="17" width="17" customWidth="1"/>
    <col min="18" max="18" width="17.5703125" customWidth="1"/>
    <col min="19" max="19" width="13.7109375" customWidth="1"/>
    <col min="20" max="26" width="11.5703125" customWidth="1"/>
    <col min="27" max="27" width="14.140625" customWidth="1"/>
    <col min="28" max="28" width="16.140625" customWidth="1"/>
    <col min="29" max="30" width="11.5703125" customWidth="1"/>
  </cols>
  <sheetData>
    <row r="1" spans="1:30" ht="12.7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6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12.7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ht="15.75" customHeight="1">
      <c r="A4" s="36"/>
      <c r="B4" s="36"/>
      <c r="C4" s="37">
        <v>46023</v>
      </c>
      <c r="D4" s="37">
        <v>46024</v>
      </c>
      <c r="E4" s="37">
        <v>46025</v>
      </c>
      <c r="F4" s="38">
        <v>46026</v>
      </c>
      <c r="G4" s="38">
        <v>46027</v>
      </c>
      <c r="H4" s="38">
        <v>46028</v>
      </c>
      <c r="I4" s="39">
        <v>46029</v>
      </c>
      <c r="J4" s="39">
        <v>46030</v>
      </c>
      <c r="K4" s="39">
        <v>46031</v>
      </c>
      <c r="L4" s="40">
        <v>46032</v>
      </c>
      <c r="M4" s="40">
        <v>46033</v>
      </c>
      <c r="N4" s="40">
        <v>46034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 ht="12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 ht="12.75" customHeight="1">
      <c r="A6" s="36"/>
      <c r="B6" s="36" t="s">
        <v>37</v>
      </c>
      <c r="C6" s="36">
        <v>30</v>
      </c>
      <c r="D6" s="36">
        <v>30</v>
      </c>
      <c r="E6" s="36">
        <v>30</v>
      </c>
      <c r="F6" s="36">
        <v>30</v>
      </c>
      <c r="G6" s="36">
        <v>30</v>
      </c>
      <c r="H6" s="36">
        <v>30</v>
      </c>
      <c r="I6" s="36">
        <v>30</v>
      </c>
      <c r="J6" s="36">
        <v>30</v>
      </c>
      <c r="K6" s="36">
        <v>30</v>
      </c>
      <c r="L6" s="36">
        <v>30</v>
      </c>
      <c r="M6" s="36">
        <v>30</v>
      </c>
      <c r="N6" s="36">
        <v>30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 ht="12.75" customHeight="1">
      <c r="A7" s="36"/>
      <c r="B7" s="36" t="s">
        <v>38</v>
      </c>
      <c r="C7" s="36">
        <v>31</v>
      </c>
      <c r="D7" s="36">
        <v>28</v>
      </c>
      <c r="E7" s="36">
        <v>31</v>
      </c>
      <c r="F7" s="36">
        <v>30</v>
      </c>
      <c r="G7" s="36">
        <v>31</v>
      </c>
      <c r="H7" s="36">
        <v>30</v>
      </c>
      <c r="I7" s="36">
        <v>31</v>
      </c>
      <c r="J7" s="36">
        <v>31</v>
      </c>
      <c r="K7" s="36">
        <v>30</v>
      </c>
      <c r="L7" s="36">
        <v>31</v>
      </c>
      <c r="M7" s="36">
        <v>30</v>
      </c>
      <c r="N7" s="36">
        <v>31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 ht="12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 ht="12.75" customHeight="1">
      <c r="A9" s="36"/>
      <c r="B9" s="36" t="s">
        <v>39</v>
      </c>
      <c r="C9" s="36">
        <f t="shared" ref="C9:N9" si="0">+C6*C7</f>
        <v>930</v>
      </c>
      <c r="D9" s="36">
        <f t="shared" si="0"/>
        <v>840</v>
      </c>
      <c r="E9" s="36">
        <f t="shared" si="0"/>
        <v>930</v>
      </c>
      <c r="F9" s="36">
        <f t="shared" si="0"/>
        <v>900</v>
      </c>
      <c r="G9" s="36">
        <f t="shared" si="0"/>
        <v>930</v>
      </c>
      <c r="H9" s="36">
        <f t="shared" si="0"/>
        <v>900</v>
      </c>
      <c r="I9" s="36">
        <f t="shared" si="0"/>
        <v>930</v>
      </c>
      <c r="J9" s="36">
        <f t="shared" si="0"/>
        <v>930</v>
      </c>
      <c r="K9" s="36">
        <f t="shared" si="0"/>
        <v>900</v>
      </c>
      <c r="L9" s="36">
        <f t="shared" si="0"/>
        <v>930</v>
      </c>
      <c r="M9" s="36">
        <f t="shared" si="0"/>
        <v>900</v>
      </c>
      <c r="N9" s="36">
        <f t="shared" si="0"/>
        <v>930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ht="12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 ht="12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 ht="30" customHeight="1">
      <c r="A12" s="36"/>
      <c r="B12" s="41" t="s">
        <v>40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 ht="12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 ht="12.75" customHeight="1">
      <c r="A14" s="36">
        <v>1</v>
      </c>
      <c r="B14" s="36" t="s">
        <v>41</v>
      </c>
      <c r="C14" s="36">
        <v>6</v>
      </c>
      <c r="D14" s="36">
        <v>6</v>
      </c>
      <c r="E14" s="36">
        <v>6</v>
      </c>
      <c r="F14" s="36">
        <v>6</v>
      </c>
      <c r="G14" s="36">
        <v>6</v>
      </c>
      <c r="H14" s="36">
        <v>6</v>
      </c>
      <c r="I14" s="36">
        <v>6</v>
      </c>
      <c r="J14" s="36">
        <v>6</v>
      </c>
      <c r="K14" s="36">
        <v>6</v>
      </c>
      <c r="L14" s="36">
        <v>6</v>
      </c>
      <c r="M14" s="36">
        <v>6</v>
      </c>
      <c r="N14" s="36">
        <v>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 ht="12.75" customHeight="1">
      <c r="A15" s="36">
        <v>2</v>
      </c>
      <c r="B15" s="36" t="s">
        <v>42</v>
      </c>
      <c r="C15" s="36">
        <v>2</v>
      </c>
      <c r="D15" s="36">
        <v>2</v>
      </c>
      <c r="E15" s="36">
        <v>2</v>
      </c>
      <c r="F15" s="36">
        <v>2</v>
      </c>
      <c r="G15" s="36">
        <v>2</v>
      </c>
      <c r="H15" s="36">
        <v>2</v>
      </c>
      <c r="I15" s="36">
        <v>2</v>
      </c>
      <c r="J15" s="36">
        <v>2</v>
      </c>
      <c r="K15" s="36">
        <v>2</v>
      </c>
      <c r="L15" s="36">
        <v>2</v>
      </c>
      <c r="M15" s="36">
        <v>2</v>
      </c>
      <c r="N15" s="36">
        <v>2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 ht="12.75" customHeight="1">
      <c r="A16" s="36">
        <v>3</v>
      </c>
      <c r="B16" s="36" t="s">
        <v>43</v>
      </c>
      <c r="C16" s="36">
        <v>4</v>
      </c>
      <c r="D16" s="36">
        <v>4</v>
      </c>
      <c r="E16" s="36">
        <v>4</v>
      </c>
      <c r="F16" s="36">
        <v>4</v>
      </c>
      <c r="G16" s="36">
        <v>4</v>
      </c>
      <c r="H16" s="36">
        <v>4</v>
      </c>
      <c r="I16" s="36">
        <v>4</v>
      </c>
      <c r="J16" s="36">
        <v>4</v>
      </c>
      <c r="K16" s="36">
        <v>4</v>
      </c>
      <c r="L16" s="36">
        <v>4</v>
      </c>
      <c r="M16" s="36">
        <v>4</v>
      </c>
      <c r="N16" s="36">
        <v>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ht="12.75" customHeight="1">
      <c r="A17" s="36">
        <v>4</v>
      </c>
      <c r="B17" s="36" t="s">
        <v>44</v>
      </c>
      <c r="C17" s="36">
        <v>8</v>
      </c>
      <c r="D17" s="36">
        <v>8</v>
      </c>
      <c r="E17" s="36">
        <v>8</v>
      </c>
      <c r="F17" s="36">
        <v>8</v>
      </c>
      <c r="G17" s="36">
        <v>8</v>
      </c>
      <c r="H17" s="36">
        <v>8</v>
      </c>
      <c r="I17" s="36">
        <v>8</v>
      </c>
      <c r="J17" s="36">
        <v>8</v>
      </c>
      <c r="K17" s="36">
        <v>8</v>
      </c>
      <c r="L17" s="36">
        <v>8</v>
      </c>
      <c r="M17" s="36">
        <v>8</v>
      </c>
      <c r="N17" s="36">
        <v>8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ht="12.75" customHeight="1">
      <c r="A18" s="36">
        <v>5</v>
      </c>
      <c r="B18" s="36" t="s">
        <v>45</v>
      </c>
      <c r="C18" s="36">
        <v>5</v>
      </c>
      <c r="D18" s="36">
        <v>5</v>
      </c>
      <c r="E18" s="36">
        <v>5</v>
      </c>
      <c r="F18" s="36">
        <v>5</v>
      </c>
      <c r="G18" s="36">
        <v>5</v>
      </c>
      <c r="H18" s="36">
        <v>5</v>
      </c>
      <c r="I18" s="36">
        <v>5</v>
      </c>
      <c r="J18" s="36">
        <v>5</v>
      </c>
      <c r="K18" s="36">
        <v>5</v>
      </c>
      <c r="L18" s="36">
        <v>5</v>
      </c>
      <c r="M18" s="36">
        <v>5</v>
      </c>
      <c r="N18" s="36">
        <v>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ht="13.5" customHeight="1" thickBot="1">
      <c r="A19" s="36">
        <v>6</v>
      </c>
      <c r="B19" s="36" t="s">
        <v>46</v>
      </c>
      <c r="C19" s="36">
        <v>5</v>
      </c>
      <c r="D19" s="36">
        <v>5</v>
      </c>
      <c r="E19" s="36">
        <v>5</v>
      </c>
      <c r="F19" s="36">
        <v>5</v>
      </c>
      <c r="G19" s="36">
        <v>5</v>
      </c>
      <c r="H19" s="36">
        <v>5</v>
      </c>
      <c r="I19" s="36">
        <v>5</v>
      </c>
      <c r="J19" s="36">
        <v>5</v>
      </c>
      <c r="K19" s="36">
        <v>5</v>
      </c>
      <c r="L19" s="36">
        <v>5</v>
      </c>
      <c r="M19" s="36">
        <v>5</v>
      </c>
      <c r="N19" s="36">
        <v>5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ht="13.5" customHeight="1" thickBot="1">
      <c r="A20" s="36"/>
      <c r="B20" s="42" t="s">
        <v>47</v>
      </c>
      <c r="C20" s="43">
        <f t="shared" ref="C20:N20" si="1">SUM(C14:C19)</f>
        <v>30</v>
      </c>
      <c r="D20" s="43">
        <f t="shared" si="1"/>
        <v>30</v>
      </c>
      <c r="E20" s="43">
        <f t="shared" si="1"/>
        <v>30</v>
      </c>
      <c r="F20" s="43">
        <f t="shared" si="1"/>
        <v>30</v>
      </c>
      <c r="G20" s="43">
        <f t="shared" si="1"/>
        <v>30</v>
      </c>
      <c r="H20" s="43">
        <f t="shared" si="1"/>
        <v>30</v>
      </c>
      <c r="I20" s="43">
        <f t="shared" si="1"/>
        <v>30</v>
      </c>
      <c r="J20" s="43">
        <f t="shared" si="1"/>
        <v>30</v>
      </c>
      <c r="K20" s="43">
        <f t="shared" si="1"/>
        <v>30</v>
      </c>
      <c r="L20" s="43">
        <f t="shared" si="1"/>
        <v>30</v>
      </c>
      <c r="M20" s="43">
        <f t="shared" si="1"/>
        <v>30</v>
      </c>
      <c r="N20" s="44">
        <f t="shared" si="1"/>
        <v>30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ht="12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ht="12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spans="1:30" ht="30" customHeight="1">
      <c r="A23" s="36"/>
      <c r="B23" s="41" t="s">
        <v>48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2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 ht="12.75" customHeight="1">
      <c r="A25" s="36">
        <v>1</v>
      </c>
      <c r="B25" s="36" t="s">
        <v>41</v>
      </c>
      <c r="C25" s="36">
        <f t="shared" ref="C25:N30" si="2">+C14*C$7</f>
        <v>186</v>
      </c>
      <c r="D25" s="36">
        <f t="shared" si="2"/>
        <v>168</v>
      </c>
      <c r="E25" s="36">
        <f t="shared" si="2"/>
        <v>186</v>
      </c>
      <c r="F25" s="36">
        <f t="shared" si="2"/>
        <v>180</v>
      </c>
      <c r="G25" s="36">
        <f t="shared" si="2"/>
        <v>186</v>
      </c>
      <c r="H25" s="36">
        <f t="shared" si="2"/>
        <v>180</v>
      </c>
      <c r="I25" s="36">
        <f t="shared" si="2"/>
        <v>186</v>
      </c>
      <c r="J25" s="36">
        <f t="shared" si="2"/>
        <v>186</v>
      </c>
      <c r="K25" s="36">
        <f t="shared" si="2"/>
        <v>180</v>
      </c>
      <c r="L25" s="257"/>
      <c r="M25" s="36">
        <f t="shared" si="2"/>
        <v>180</v>
      </c>
      <c r="N25" s="36">
        <f t="shared" si="2"/>
        <v>186</v>
      </c>
      <c r="O25" s="36">
        <f t="shared" ref="O25:O30" si="3">SUM(C25:N25)</f>
        <v>2004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ht="12.75" customHeight="1">
      <c r="A26" s="36">
        <v>2</v>
      </c>
      <c r="B26" s="36" t="s">
        <v>42</v>
      </c>
      <c r="C26" s="36">
        <f t="shared" si="2"/>
        <v>62</v>
      </c>
      <c r="D26" s="36">
        <f t="shared" si="2"/>
        <v>56</v>
      </c>
      <c r="E26" s="36">
        <f t="shared" si="2"/>
        <v>62</v>
      </c>
      <c r="F26" s="36">
        <f t="shared" si="2"/>
        <v>60</v>
      </c>
      <c r="G26" s="36">
        <f t="shared" si="2"/>
        <v>62</v>
      </c>
      <c r="H26" s="36">
        <f t="shared" si="2"/>
        <v>60</v>
      </c>
      <c r="I26" s="36">
        <f t="shared" si="2"/>
        <v>62</v>
      </c>
      <c r="J26" s="36">
        <f t="shared" si="2"/>
        <v>62</v>
      </c>
      <c r="K26" s="36">
        <f t="shared" si="2"/>
        <v>60</v>
      </c>
      <c r="L26" s="257"/>
      <c r="M26" s="36">
        <f t="shared" si="2"/>
        <v>60</v>
      </c>
      <c r="N26" s="36">
        <f t="shared" si="2"/>
        <v>62</v>
      </c>
      <c r="O26" s="36">
        <f t="shared" si="3"/>
        <v>668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 ht="12.75" customHeight="1">
      <c r="A27" s="36">
        <v>3</v>
      </c>
      <c r="B27" s="36" t="s">
        <v>43</v>
      </c>
      <c r="C27" s="36">
        <f t="shared" si="2"/>
        <v>124</v>
      </c>
      <c r="D27" s="36">
        <f t="shared" si="2"/>
        <v>112</v>
      </c>
      <c r="E27" s="36">
        <f t="shared" si="2"/>
        <v>124</v>
      </c>
      <c r="F27" s="36">
        <f t="shared" si="2"/>
        <v>120</v>
      </c>
      <c r="G27" s="36">
        <f t="shared" si="2"/>
        <v>124</v>
      </c>
      <c r="H27" s="36">
        <f t="shared" si="2"/>
        <v>120</v>
      </c>
      <c r="I27" s="36">
        <f t="shared" si="2"/>
        <v>124</v>
      </c>
      <c r="J27" s="36">
        <f t="shared" si="2"/>
        <v>124</v>
      </c>
      <c r="K27" s="36">
        <f t="shared" si="2"/>
        <v>120</v>
      </c>
      <c r="L27" s="257"/>
      <c r="M27" s="36">
        <f t="shared" si="2"/>
        <v>120</v>
      </c>
      <c r="N27" s="36">
        <f t="shared" si="2"/>
        <v>124</v>
      </c>
      <c r="O27" s="36">
        <f t="shared" si="3"/>
        <v>1336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 ht="12.75" customHeight="1">
      <c r="A28" s="36">
        <v>4</v>
      </c>
      <c r="B28" s="36" t="s">
        <v>44</v>
      </c>
      <c r="C28" s="36">
        <f t="shared" si="2"/>
        <v>248</v>
      </c>
      <c r="D28" s="36">
        <f t="shared" si="2"/>
        <v>224</v>
      </c>
      <c r="E28" s="36">
        <f t="shared" si="2"/>
        <v>248</v>
      </c>
      <c r="F28" s="36">
        <f t="shared" si="2"/>
        <v>240</v>
      </c>
      <c r="G28" s="36">
        <f t="shared" si="2"/>
        <v>248</v>
      </c>
      <c r="H28" s="36">
        <f t="shared" si="2"/>
        <v>240</v>
      </c>
      <c r="I28" s="36">
        <f t="shared" si="2"/>
        <v>248</v>
      </c>
      <c r="J28" s="36">
        <f t="shared" si="2"/>
        <v>248</v>
      </c>
      <c r="K28" s="36">
        <f t="shared" si="2"/>
        <v>240</v>
      </c>
      <c r="L28" s="257"/>
      <c r="M28" s="36">
        <f t="shared" si="2"/>
        <v>240</v>
      </c>
      <c r="N28" s="36">
        <f t="shared" si="2"/>
        <v>248</v>
      </c>
      <c r="O28" s="36">
        <f t="shared" si="3"/>
        <v>2672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 ht="12.75" customHeight="1">
      <c r="A29" s="36">
        <v>5</v>
      </c>
      <c r="B29" s="36" t="s">
        <v>45</v>
      </c>
      <c r="C29" s="36">
        <f t="shared" si="2"/>
        <v>155</v>
      </c>
      <c r="D29" s="36">
        <f t="shared" si="2"/>
        <v>140</v>
      </c>
      <c r="E29" s="36">
        <f t="shared" si="2"/>
        <v>155</v>
      </c>
      <c r="F29" s="36">
        <f t="shared" si="2"/>
        <v>150</v>
      </c>
      <c r="G29" s="36">
        <f t="shared" si="2"/>
        <v>155</v>
      </c>
      <c r="H29" s="36">
        <f t="shared" si="2"/>
        <v>150</v>
      </c>
      <c r="I29" s="36">
        <f t="shared" si="2"/>
        <v>155</v>
      </c>
      <c r="J29" s="36">
        <f t="shared" si="2"/>
        <v>155</v>
      </c>
      <c r="K29" s="36">
        <f t="shared" si="2"/>
        <v>150</v>
      </c>
      <c r="L29" s="257"/>
      <c r="M29" s="36">
        <f t="shared" si="2"/>
        <v>150</v>
      </c>
      <c r="N29" s="36">
        <f t="shared" si="2"/>
        <v>155</v>
      </c>
      <c r="O29" s="36">
        <f t="shared" si="3"/>
        <v>1670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 ht="12.75" customHeight="1">
      <c r="A30" s="36">
        <v>6</v>
      </c>
      <c r="B30" s="36" t="s">
        <v>46</v>
      </c>
      <c r="C30" s="36">
        <f t="shared" si="2"/>
        <v>155</v>
      </c>
      <c r="D30" s="36">
        <f t="shared" si="2"/>
        <v>140</v>
      </c>
      <c r="E30" s="36">
        <f t="shared" si="2"/>
        <v>155</v>
      </c>
      <c r="F30" s="36">
        <f t="shared" si="2"/>
        <v>150</v>
      </c>
      <c r="G30" s="36">
        <f t="shared" si="2"/>
        <v>155</v>
      </c>
      <c r="H30" s="36">
        <f t="shared" si="2"/>
        <v>150</v>
      </c>
      <c r="I30" s="36">
        <f t="shared" si="2"/>
        <v>155</v>
      </c>
      <c r="J30" s="36">
        <f t="shared" si="2"/>
        <v>155</v>
      </c>
      <c r="K30" s="36">
        <f t="shared" si="2"/>
        <v>150</v>
      </c>
      <c r="L30" s="257"/>
      <c r="M30" s="36">
        <f t="shared" si="2"/>
        <v>150</v>
      </c>
      <c r="N30" s="36">
        <f t="shared" si="2"/>
        <v>155</v>
      </c>
      <c r="O30" s="36">
        <f t="shared" si="3"/>
        <v>1670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 ht="13.5" customHeight="1" thickBo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 ht="13.5" customHeight="1" thickBot="1">
      <c r="A32" s="36"/>
      <c r="B32" s="45" t="s">
        <v>47</v>
      </c>
      <c r="C32" s="46">
        <f t="shared" ref="C32:O32" si="4">SUM(C25:C31)</f>
        <v>930</v>
      </c>
      <c r="D32" s="46">
        <f t="shared" si="4"/>
        <v>840</v>
      </c>
      <c r="E32" s="46">
        <f t="shared" si="4"/>
        <v>930</v>
      </c>
      <c r="F32" s="46">
        <f t="shared" si="4"/>
        <v>900</v>
      </c>
      <c r="G32" s="46">
        <f t="shared" si="4"/>
        <v>930</v>
      </c>
      <c r="H32" s="46">
        <f t="shared" si="4"/>
        <v>900</v>
      </c>
      <c r="I32" s="46">
        <f t="shared" si="4"/>
        <v>930</v>
      </c>
      <c r="J32" s="46">
        <f t="shared" si="4"/>
        <v>930</v>
      </c>
      <c r="K32" s="46">
        <f t="shared" si="4"/>
        <v>900</v>
      </c>
      <c r="L32" s="46">
        <f t="shared" si="4"/>
        <v>0</v>
      </c>
      <c r="M32" s="46">
        <f t="shared" si="4"/>
        <v>900</v>
      </c>
      <c r="N32" s="47">
        <f t="shared" si="4"/>
        <v>930</v>
      </c>
      <c r="O32" s="47">
        <f t="shared" si="4"/>
        <v>10020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 spans="1:31" ht="12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1" ht="12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 spans="1:31" ht="30" customHeight="1">
      <c r="A35" s="36"/>
      <c r="B35" s="41" t="s">
        <v>49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41" t="s">
        <v>49</v>
      </c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 spans="1:31" ht="12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 spans="1:31" ht="18.75" customHeight="1">
      <c r="A37" s="36"/>
      <c r="B37" s="48" t="s">
        <v>50</v>
      </c>
      <c r="C37" s="49" t="s">
        <v>13</v>
      </c>
      <c r="D37" s="49" t="s">
        <v>14</v>
      </c>
      <c r="E37" s="49" t="s">
        <v>15</v>
      </c>
      <c r="F37" s="49" t="s">
        <v>16</v>
      </c>
      <c r="G37" s="49" t="s">
        <v>51</v>
      </c>
      <c r="H37" s="49" t="s">
        <v>18</v>
      </c>
      <c r="I37" s="49" t="s">
        <v>19</v>
      </c>
      <c r="J37" s="49" t="s">
        <v>20</v>
      </c>
      <c r="K37" s="49" t="s">
        <v>21</v>
      </c>
      <c r="L37" s="49" t="s">
        <v>22</v>
      </c>
      <c r="M37" s="49" t="s">
        <v>23</v>
      </c>
      <c r="N37" s="49" t="s">
        <v>24</v>
      </c>
      <c r="O37" s="36"/>
      <c r="P37" s="36"/>
      <c r="Q37" s="36"/>
      <c r="R37" s="48" t="s">
        <v>50</v>
      </c>
      <c r="S37" s="49" t="s">
        <v>13</v>
      </c>
      <c r="T37" s="49" t="s">
        <v>14</v>
      </c>
      <c r="U37" s="49" t="s">
        <v>15</v>
      </c>
      <c r="V37" s="49" t="s">
        <v>16</v>
      </c>
      <c r="W37" s="49" t="s">
        <v>51</v>
      </c>
      <c r="X37" s="49" t="s">
        <v>18</v>
      </c>
      <c r="Y37" s="49" t="s">
        <v>19</v>
      </c>
      <c r="Z37" s="49" t="s">
        <v>20</v>
      </c>
      <c r="AA37" s="49" t="s">
        <v>21</v>
      </c>
      <c r="AB37" s="49" t="s">
        <v>22</v>
      </c>
      <c r="AC37" s="49" t="s">
        <v>23</v>
      </c>
      <c r="AD37" s="49" t="s">
        <v>24</v>
      </c>
    </row>
    <row r="38" spans="1:31" ht="12.75" customHeight="1">
      <c r="A38" s="36">
        <v>1</v>
      </c>
      <c r="B38" s="50" t="s">
        <v>41</v>
      </c>
      <c r="C38" s="493">
        <v>725</v>
      </c>
      <c r="D38" s="493">
        <v>725</v>
      </c>
      <c r="E38" s="493">
        <v>725</v>
      </c>
      <c r="F38" s="493">
        <v>725</v>
      </c>
      <c r="G38" s="493">
        <v>615</v>
      </c>
      <c r="H38" s="493">
        <v>615</v>
      </c>
      <c r="I38" s="493">
        <v>615</v>
      </c>
      <c r="J38" s="493">
        <v>615</v>
      </c>
      <c r="K38" s="493">
        <v>560</v>
      </c>
      <c r="L38" s="493">
        <v>560</v>
      </c>
      <c r="M38" s="493">
        <v>575</v>
      </c>
      <c r="N38" s="493">
        <v>830</v>
      </c>
      <c r="O38" s="36"/>
      <c r="P38" s="36"/>
      <c r="Q38" s="36"/>
      <c r="R38" s="50" t="s">
        <v>41</v>
      </c>
      <c r="S38" s="51">
        <v>525</v>
      </c>
      <c r="T38" s="51">
        <v>525</v>
      </c>
      <c r="U38" s="51">
        <v>525</v>
      </c>
      <c r="V38" s="51">
        <v>505</v>
      </c>
      <c r="W38" s="51">
        <v>455</v>
      </c>
      <c r="X38" s="51">
        <v>440</v>
      </c>
      <c r="Y38" s="51">
        <v>440</v>
      </c>
      <c r="Z38" s="51">
        <v>440</v>
      </c>
      <c r="AA38" s="51">
        <v>405</v>
      </c>
      <c r="AB38" s="51">
        <v>395</v>
      </c>
      <c r="AC38" s="51">
        <v>415</v>
      </c>
      <c r="AD38" s="51">
        <v>575</v>
      </c>
    </row>
    <row r="39" spans="1:31" ht="12.75" customHeight="1">
      <c r="A39" s="36">
        <v>2</v>
      </c>
      <c r="B39" s="50" t="s">
        <v>42</v>
      </c>
      <c r="C39" s="493">
        <v>670</v>
      </c>
      <c r="D39" s="493">
        <v>670</v>
      </c>
      <c r="E39" s="493">
        <v>670</v>
      </c>
      <c r="F39" s="493">
        <v>635</v>
      </c>
      <c r="G39" s="493">
        <v>565</v>
      </c>
      <c r="H39" s="493">
        <v>565</v>
      </c>
      <c r="I39" s="493">
        <v>565</v>
      </c>
      <c r="J39" s="493">
        <v>565</v>
      </c>
      <c r="K39" s="493">
        <v>515</v>
      </c>
      <c r="L39" s="493">
        <v>515</v>
      </c>
      <c r="M39" s="493">
        <v>535</v>
      </c>
      <c r="N39" s="493">
        <v>775</v>
      </c>
      <c r="O39" s="36"/>
      <c r="P39" s="36"/>
      <c r="Q39" s="36"/>
      <c r="R39" s="50" t="s">
        <v>42</v>
      </c>
      <c r="S39" s="51">
        <v>485</v>
      </c>
      <c r="T39" s="51">
        <v>485</v>
      </c>
      <c r="U39" s="51">
        <v>485</v>
      </c>
      <c r="V39" s="51">
        <v>460</v>
      </c>
      <c r="W39" s="51">
        <v>435</v>
      </c>
      <c r="X39" s="51">
        <v>420</v>
      </c>
      <c r="Y39" s="51">
        <v>420</v>
      </c>
      <c r="Z39" s="51">
        <v>420</v>
      </c>
      <c r="AA39" s="51">
        <v>395</v>
      </c>
      <c r="AB39" s="51">
        <v>375</v>
      </c>
      <c r="AC39" s="51">
        <v>440</v>
      </c>
      <c r="AD39" s="51">
        <v>520</v>
      </c>
    </row>
    <row r="40" spans="1:31" ht="12.75" customHeight="1">
      <c r="A40" s="36">
        <v>3</v>
      </c>
      <c r="B40" s="50" t="s">
        <v>43</v>
      </c>
      <c r="C40" s="493">
        <v>540</v>
      </c>
      <c r="D40" s="493">
        <v>540</v>
      </c>
      <c r="E40" s="493">
        <v>540</v>
      </c>
      <c r="F40" s="493">
        <v>510</v>
      </c>
      <c r="G40" s="493">
        <v>445</v>
      </c>
      <c r="H40" s="493">
        <v>445</v>
      </c>
      <c r="I40" s="493">
        <v>445</v>
      </c>
      <c r="J40" s="493">
        <v>445</v>
      </c>
      <c r="K40" s="493">
        <v>405</v>
      </c>
      <c r="L40" s="493">
        <v>405</v>
      </c>
      <c r="M40" s="493">
        <v>415</v>
      </c>
      <c r="N40" s="493">
        <v>630</v>
      </c>
      <c r="O40" s="36"/>
      <c r="P40" s="36"/>
      <c r="Q40" s="36"/>
      <c r="R40" s="50" t="s">
        <v>43</v>
      </c>
      <c r="S40" s="51">
        <v>445</v>
      </c>
      <c r="T40" s="51">
        <v>445</v>
      </c>
      <c r="U40" s="51">
        <v>445</v>
      </c>
      <c r="V40" s="51">
        <v>415</v>
      </c>
      <c r="W40" s="51">
        <v>395</v>
      </c>
      <c r="X40" s="51">
        <v>375</v>
      </c>
      <c r="Y40" s="51">
        <v>375</v>
      </c>
      <c r="Z40" s="51">
        <v>375</v>
      </c>
      <c r="AA40" s="51">
        <v>355</v>
      </c>
      <c r="AB40" s="51">
        <v>330</v>
      </c>
      <c r="AC40" s="51">
        <v>360</v>
      </c>
      <c r="AD40" s="51">
        <v>485</v>
      </c>
    </row>
    <row r="41" spans="1:31" ht="12.75" customHeight="1">
      <c r="A41" s="36">
        <v>4</v>
      </c>
      <c r="B41" s="50" t="s">
        <v>44</v>
      </c>
      <c r="C41" s="493">
        <v>485</v>
      </c>
      <c r="D41" s="493">
        <v>485</v>
      </c>
      <c r="E41" s="493">
        <v>485</v>
      </c>
      <c r="F41" s="493">
        <v>445</v>
      </c>
      <c r="G41" s="493">
        <v>395</v>
      </c>
      <c r="H41" s="493">
        <v>395</v>
      </c>
      <c r="I41" s="493">
        <v>395</v>
      </c>
      <c r="J41" s="493">
        <v>395</v>
      </c>
      <c r="K41" s="493">
        <v>360</v>
      </c>
      <c r="L41" s="493">
        <v>360</v>
      </c>
      <c r="M41" s="493">
        <v>375</v>
      </c>
      <c r="N41" s="493">
        <v>575</v>
      </c>
      <c r="O41" s="36"/>
      <c r="P41" s="36"/>
      <c r="Q41" s="36"/>
      <c r="R41" s="50" t="s">
        <v>44</v>
      </c>
      <c r="S41" s="51">
        <v>395</v>
      </c>
      <c r="T41" s="51">
        <v>395</v>
      </c>
      <c r="U41" s="51">
        <v>395</v>
      </c>
      <c r="V41" s="51">
        <v>360</v>
      </c>
      <c r="W41" s="51">
        <v>330</v>
      </c>
      <c r="X41" s="51">
        <v>315</v>
      </c>
      <c r="Y41" s="51">
        <v>315</v>
      </c>
      <c r="Z41" s="51">
        <v>315</v>
      </c>
      <c r="AA41" s="51">
        <v>290</v>
      </c>
      <c r="AB41" s="51">
        <v>275</v>
      </c>
      <c r="AC41" s="51">
        <v>295</v>
      </c>
      <c r="AD41" s="51">
        <v>410</v>
      </c>
    </row>
    <row r="42" spans="1:31" ht="12.75" customHeight="1">
      <c r="A42" s="36">
        <v>5</v>
      </c>
      <c r="B42" s="50" t="s">
        <v>45</v>
      </c>
      <c r="C42" s="493">
        <v>1015</v>
      </c>
      <c r="D42" s="493">
        <v>1015</v>
      </c>
      <c r="E42" s="493">
        <v>1015</v>
      </c>
      <c r="F42" s="493">
        <v>970</v>
      </c>
      <c r="G42" s="493">
        <v>875</v>
      </c>
      <c r="H42" s="493">
        <v>875</v>
      </c>
      <c r="I42" s="493">
        <v>875</v>
      </c>
      <c r="J42" s="493">
        <v>875</v>
      </c>
      <c r="K42" s="493">
        <v>810</v>
      </c>
      <c r="L42" s="493">
        <v>810</v>
      </c>
      <c r="M42" s="493">
        <v>845</v>
      </c>
      <c r="N42" s="493">
        <v>1150</v>
      </c>
      <c r="O42" s="36"/>
      <c r="P42" s="36"/>
      <c r="Q42" s="36"/>
      <c r="R42" s="50" t="s">
        <v>45</v>
      </c>
      <c r="S42" s="51">
        <v>795</v>
      </c>
      <c r="T42" s="51">
        <v>795</v>
      </c>
      <c r="U42" s="51">
        <v>795</v>
      </c>
      <c r="V42" s="51">
        <v>725</v>
      </c>
      <c r="W42" s="51">
        <v>655</v>
      </c>
      <c r="X42" s="51">
        <v>620</v>
      </c>
      <c r="Y42" s="51">
        <v>620</v>
      </c>
      <c r="Z42" s="51">
        <v>620</v>
      </c>
      <c r="AA42" s="51">
        <v>585</v>
      </c>
      <c r="AB42" s="51">
        <v>530</v>
      </c>
      <c r="AC42" s="51">
        <v>605</v>
      </c>
      <c r="AD42" s="51">
        <v>785</v>
      </c>
    </row>
    <row r="43" spans="1:31" ht="12.75" customHeight="1">
      <c r="A43" s="36">
        <v>6</v>
      </c>
      <c r="B43" s="50" t="s">
        <v>46</v>
      </c>
      <c r="C43" s="493">
        <v>1130</v>
      </c>
      <c r="D43" s="493">
        <v>1130</v>
      </c>
      <c r="E43" s="493">
        <v>1130</v>
      </c>
      <c r="F43" s="493">
        <v>1065</v>
      </c>
      <c r="G43" s="493">
        <v>980</v>
      </c>
      <c r="H43" s="493">
        <v>980</v>
      </c>
      <c r="I43" s="493">
        <v>980</v>
      </c>
      <c r="J43" s="493">
        <v>980</v>
      </c>
      <c r="K43" s="493">
        <v>910</v>
      </c>
      <c r="L43" s="493">
        <v>910</v>
      </c>
      <c r="M43" s="493">
        <v>965</v>
      </c>
      <c r="N43" s="493">
        <v>1282</v>
      </c>
      <c r="O43" s="36"/>
      <c r="P43" s="36"/>
      <c r="Q43" s="36"/>
      <c r="R43" s="50" t="s">
        <v>46</v>
      </c>
      <c r="S43" s="51">
        <v>895</v>
      </c>
      <c r="T43" s="51">
        <v>895</v>
      </c>
      <c r="U43" s="51">
        <v>895</v>
      </c>
      <c r="V43" s="51">
        <v>830</v>
      </c>
      <c r="W43" s="51">
        <v>740</v>
      </c>
      <c r="X43" s="51">
        <v>685</v>
      </c>
      <c r="Y43" s="51">
        <v>685</v>
      </c>
      <c r="Z43" s="51">
        <v>685</v>
      </c>
      <c r="AA43" s="51">
        <v>630</v>
      </c>
      <c r="AB43" s="51">
        <v>605</v>
      </c>
      <c r="AC43" s="51">
        <v>685</v>
      </c>
      <c r="AD43" s="51">
        <v>895</v>
      </c>
    </row>
    <row r="44" spans="1:31" ht="12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1" ht="12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1" ht="12.75" customHeight="1" thickBo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1" ht="36" customHeight="1" thickBot="1">
      <c r="A47" s="36"/>
      <c r="B47" s="41" t="s">
        <v>269</v>
      </c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36"/>
      <c r="Q47" s="80" t="e">
        <f>+#REF!/#REF!</f>
        <v>#REF!</v>
      </c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>
        <v>500</v>
      </c>
    </row>
    <row r="48" spans="1:31" ht="12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222" t="e">
        <f>+#REF!/AE47</f>
        <v>#REF!</v>
      </c>
    </row>
    <row r="49" spans="1:31" ht="12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1" ht="12.75" customHeight="1">
      <c r="A50" s="36"/>
      <c r="B50" s="36" t="s">
        <v>80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1" ht="18.75" customHeight="1">
      <c r="A51" s="36"/>
      <c r="B51" s="48" t="s">
        <v>50</v>
      </c>
      <c r="C51" s="49" t="s">
        <v>13</v>
      </c>
      <c r="D51" s="49" t="s">
        <v>14</v>
      </c>
      <c r="E51" s="49" t="s">
        <v>15</v>
      </c>
      <c r="F51" s="49" t="s">
        <v>16</v>
      </c>
      <c r="G51" s="49" t="s">
        <v>51</v>
      </c>
      <c r="H51" s="49" t="s">
        <v>18</v>
      </c>
      <c r="I51" s="49" t="s">
        <v>19</v>
      </c>
      <c r="J51" s="49" t="s">
        <v>20</v>
      </c>
      <c r="K51" s="49" t="s">
        <v>21</v>
      </c>
      <c r="L51" s="49" t="s">
        <v>22</v>
      </c>
      <c r="M51" s="49" t="s">
        <v>23</v>
      </c>
      <c r="N51" s="49" t="s">
        <v>24</v>
      </c>
      <c r="O51" s="49" t="s">
        <v>25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>
        <v>650</v>
      </c>
    </row>
    <row r="52" spans="1:31" ht="12.75" customHeight="1">
      <c r="A52" s="36"/>
      <c r="B52" s="50" t="s">
        <v>41</v>
      </c>
      <c r="C52" s="70">
        <v>606.1</v>
      </c>
      <c r="D52" s="70">
        <v>606.10000000000014</v>
      </c>
      <c r="E52" s="70">
        <v>606.10000000000014</v>
      </c>
      <c r="F52" s="70">
        <v>606.1</v>
      </c>
      <c r="G52" s="70">
        <v>514.1400000000001</v>
      </c>
      <c r="H52" s="70">
        <v>514.14</v>
      </c>
      <c r="I52" s="70">
        <v>514.1400000000001</v>
      </c>
      <c r="J52" s="70">
        <v>514.14</v>
      </c>
      <c r="K52" s="70">
        <v>468.16</v>
      </c>
      <c r="L52" s="70"/>
      <c r="M52" s="70">
        <v>480.70000000000005</v>
      </c>
      <c r="N52" s="70">
        <v>693.88</v>
      </c>
      <c r="O52" s="70">
        <v>589.66079547503159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1" ht="12.75" customHeight="1">
      <c r="A53" s="36"/>
      <c r="B53" s="50" t="s">
        <v>42</v>
      </c>
      <c r="C53" s="70">
        <v>560.12</v>
      </c>
      <c r="D53" s="70">
        <v>560.12</v>
      </c>
      <c r="E53" s="70">
        <v>560.12</v>
      </c>
      <c r="F53" s="70">
        <v>530.86</v>
      </c>
      <c r="G53" s="70">
        <v>472.34</v>
      </c>
      <c r="H53" s="70">
        <v>472.34000000000003</v>
      </c>
      <c r="I53" s="70">
        <v>472.34000000000003</v>
      </c>
      <c r="J53" s="70">
        <v>472.34000000000003</v>
      </c>
      <c r="K53" s="70">
        <v>430.54</v>
      </c>
      <c r="L53" s="70"/>
      <c r="M53" s="70">
        <v>447.26000000000005</v>
      </c>
      <c r="N53" s="70">
        <v>647.90000000000009</v>
      </c>
      <c r="O53" s="70">
        <v>537.6272815012527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225">
        <v>676.41</v>
      </c>
    </row>
    <row r="54" spans="1:31" ht="12.75" customHeight="1">
      <c r="A54" s="36"/>
      <c r="B54" s="50" t="s">
        <v>43</v>
      </c>
      <c r="C54" s="70">
        <v>451.44000000000005</v>
      </c>
      <c r="D54" s="70">
        <v>451.44</v>
      </c>
      <c r="E54" s="70">
        <v>451.44000000000005</v>
      </c>
      <c r="F54" s="70">
        <v>426.36</v>
      </c>
      <c r="G54" s="70">
        <v>372.02000000000004</v>
      </c>
      <c r="H54" s="70">
        <v>372.02000000000004</v>
      </c>
      <c r="I54" s="70">
        <v>372.02000000000004</v>
      </c>
      <c r="J54" s="70">
        <v>372.02</v>
      </c>
      <c r="K54" s="70">
        <v>338.58</v>
      </c>
      <c r="L54" s="70"/>
      <c r="M54" s="70">
        <v>346.94000000000005</v>
      </c>
      <c r="N54" s="70">
        <v>526.68000000000006</v>
      </c>
      <c r="O54" s="70">
        <v>431.54041488637068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225"/>
    </row>
    <row r="55" spans="1:31" ht="12.75" customHeight="1">
      <c r="A55" s="36"/>
      <c r="B55" s="50" t="s">
        <v>44</v>
      </c>
      <c r="C55" s="70">
        <v>405.46000000000004</v>
      </c>
      <c r="D55" s="70">
        <v>405.46000000000004</v>
      </c>
      <c r="E55" s="70">
        <v>405.46000000000004</v>
      </c>
      <c r="F55" s="70">
        <v>372.02000000000004</v>
      </c>
      <c r="G55" s="70">
        <v>330.22</v>
      </c>
      <c r="H55" s="70">
        <v>330.21999999999997</v>
      </c>
      <c r="I55" s="70">
        <v>330.22</v>
      </c>
      <c r="J55" s="70">
        <v>330.22</v>
      </c>
      <c r="K55" s="70"/>
      <c r="L55" s="70"/>
      <c r="M55" s="70">
        <v>313.50000000000006</v>
      </c>
      <c r="N55" s="70">
        <v>480.70000000000005</v>
      </c>
      <c r="O55" s="70">
        <v>388.71625791526031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225"/>
    </row>
    <row r="56" spans="1:31" ht="12.75" customHeight="1">
      <c r="A56" s="36"/>
      <c r="B56" s="50" t="s">
        <v>45</v>
      </c>
      <c r="C56" s="70">
        <v>848.54</v>
      </c>
      <c r="D56" s="70">
        <v>848.54000000000019</v>
      </c>
      <c r="E56" s="70">
        <v>848.54000000000008</v>
      </c>
      <c r="F56" s="70">
        <v>810.92000000000007</v>
      </c>
      <c r="G56" s="70">
        <v>731.50000000000011</v>
      </c>
      <c r="H56" s="70">
        <v>731.50000000000011</v>
      </c>
      <c r="I56" s="70">
        <v>731.50000000000011</v>
      </c>
      <c r="J56" s="70">
        <v>731.5</v>
      </c>
      <c r="K56" s="70"/>
      <c r="L56" s="70"/>
      <c r="M56" s="70">
        <v>706.42000000000007</v>
      </c>
      <c r="N56" s="70">
        <v>961.4000000000002</v>
      </c>
      <c r="O56" s="70">
        <v>806.34693356577748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225"/>
    </row>
    <row r="57" spans="1:31" ht="13.5" customHeight="1" thickBot="1">
      <c r="A57" s="36"/>
      <c r="B57" s="50" t="s">
        <v>46</v>
      </c>
      <c r="C57" s="275">
        <v>944.68000000000018</v>
      </c>
      <c r="D57" s="70">
        <v>944.68000000000006</v>
      </c>
      <c r="E57" s="70">
        <v>944.68000000000006</v>
      </c>
      <c r="F57" s="70">
        <v>890.34</v>
      </c>
      <c r="G57" s="70">
        <v>819.28000000000009</v>
      </c>
      <c r="H57" s="70">
        <v>819.28000000000009</v>
      </c>
      <c r="I57" s="70">
        <v>819.28000000000009</v>
      </c>
      <c r="J57" s="70">
        <v>819.28000000000009</v>
      </c>
      <c r="K57" s="70"/>
      <c r="L57" s="70"/>
      <c r="M57" s="70">
        <v>806.74000000000012</v>
      </c>
      <c r="N57" s="70">
        <v>1071.7520000000002</v>
      </c>
      <c r="O57" s="81">
        <v>909.38828100393926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1" ht="18.75" customHeight="1" thickBot="1">
      <c r="A58" s="36"/>
      <c r="B58" s="72" t="s">
        <v>25</v>
      </c>
      <c r="C58" s="82">
        <v>595.27155268817205</v>
      </c>
      <c r="D58" s="82">
        <v>583.47404761904772</v>
      </c>
      <c r="E58" s="82">
        <v>590.96203060720745</v>
      </c>
      <c r="F58" s="82">
        <v>635.29075301204819</v>
      </c>
      <c r="G58" s="82">
        <v>521.40327776212166</v>
      </c>
      <c r="H58" s="82">
        <v>553.70169683257927</v>
      </c>
      <c r="I58" s="82">
        <v>566.23140921409208</v>
      </c>
      <c r="J58" s="82">
        <v>520.61790227598283</v>
      </c>
      <c r="K58" s="82">
        <v>485.58682215743437</v>
      </c>
      <c r="L58" s="82"/>
      <c r="M58" s="82">
        <v>548.40743818580836</v>
      </c>
      <c r="N58" s="83">
        <v>733.76343507313561</v>
      </c>
      <c r="O58" s="84">
        <v>596.88852332652982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1" ht="12.75" customHeight="1">
      <c r="A59" s="36"/>
      <c r="B59" s="36"/>
      <c r="C59" s="36"/>
      <c r="D59" s="273"/>
      <c r="E59" s="273"/>
      <c r="F59" s="273"/>
      <c r="G59" s="273"/>
      <c r="H59" s="274"/>
      <c r="I59" s="273"/>
      <c r="J59" s="274"/>
      <c r="K59" s="273"/>
      <c r="L59" s="272"/>
      <c r="M59" s="274"/>
      <c r="N59" s="274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1" ht="12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1"/>
  <sheetViews>
    <sheetView showGridLines="0" zoomScale="107" zoomScaleNormal="107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66" sqref="H66"/>
    </sheetView>
  </sheetViews>
  <sheetFormatPr defaultColWidth="14.42578125" defaultRowHeight="15" customHeight="1"/>
  <cols>
    <col min="1" max="1" width="2" customWidth="1"/>
    <col min="2" max="2" width="32.42578125" customWidth="1"/>
    <col min="3" max="3" width="18.42578125" customWidth="1"/>
    <col min="4" max="4" width="16.5703125" customWidth="1"/>
    <col min="5" max="5" width="16.140625" customWidth="1"/>
    <col min="6" max="7" width="15" customWidth="1"/>
    <col min="8" max="8" width="16.140625" customWidth="1"/>
    <col min="9" max="9" width="15.42578125" customWidth="1"/>
    <col min="10" max="10" width="14.7109375" customWidth="1"/>
    <col min="11" max="11" width="16.140625" customWidth="1"/>
    <col min="12" max="12" width="18.7109375" customWidth="1"/>
    <col min="13" max="13" width="13.85546875" customWidth="1"/>
    <col min="14" max="14" width="16.85546875" customWidth="1"/>
    <col min="15" max="15" width="14.7109375" customWidth="1"/>
    <col min="16" max="16" width="17.140625" customWidth="1"/>
    <col min="17" max="17" width="17" customWidth="1"/>
    <col min="18" max="18" width="17.5703125" customWidth="1"/>
    <col min="19" max="19" width="13.7109375" customWidth="1"/>
    <col min="20" max="26" width="11.5703125" customWidth="1"/>
    <col min="27" max="27" width="14.140625" customWidth="1"/>
    <col min="28" max="28" width="16.140625" customWidth="1"/>
    <col min="29" max="30" width="11.5703125" customWidth="1"/>
  </cols>
  <sheetData>
    <row r="1" spans="1:30" ht="12.7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6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12.7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ht="15.75" customHeight="1">
      <c r="A4" s="36"/>
      <c r="B4" s="36"/>
      <c r="C4" s="37">
        <v>46023</v>
      </c>
      <c r="D4" s="37">
        <v>46024</v>
      </c>
      <c r="E4" s="37">
        <v>46025</v>
      </c>
      <c r="F4" s="38">
        <v>46026</v>
      </c>
      <c r="G4" s="38">
        <v>46027</v>
      </c>
      <c r="H4" s="38">
        <v>46028</v>
      </c>
      <c r="I4" s="39">
        <v>46029</v>
      </c>
      <c r="J4" s="39">
        <v>46030</v>
      </c>
      <c r="K4" s="39">
        <v>46031</v>
      </c>
      <c r="L4" s="40">
        <v>46032</v>
      </c>
      <c r="M4" s="40">
        <v>46033</v>
      </c>
      <c r="N4" s="40">
        <v>46034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 ht="12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 ht="12.75" customHeight="1">
      <c r="A6" s="36"/>
      <c r="B6" s="36" t="s">
        <v>37</v>
      </c>
      <c r="C6" s="36">
        <v>30</v>
      </c>
      <c r="D6" s="36">
        <v>30</v>
      </c>
      <c r="E6" s="36">
        <v>30</v>
      </c>
      <c r="F6" s="36">
        <v>30</v>
      </c>
      <c r="G6" s="36">
        <v>30</v>
      </c>
      <c r="H6" s="36">
        <v>30</v>
      </c>
      <c r="I6" s="36">
        <v>30</v>
      </c>
      <c r="J6" s="36">
        <v>30</v>
      </c>
      <c r="K6" s="36">
        <v>30</v>
      </c>
      <c r="L6" s="36">
        <v>30</v>
      </c>
      <c r="M6" s="36">
        <v>30</v>
      </c>
      <c r="N6" s="36">
        <v>30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 ht="12.75" customHeight="1">
      <c r="A7" s="36"/>
      <c r="B7" s="36" t="s">
        <v>38</v>
      </c>
      <c r="C7" s="36">
        <v>31</v>
      </c>
      <c r="D7" s="36">
        <v>28</v>
      </c>
      <c r="E7" s="36">
        <v>31</v>
      </c>
      <c r="F7" s="36">
        <v>30</v>
      </c>
      <c r="G7" s="36">
        <v>31</v>
      </c>
      <c r="H7" s="36">
        <v>30</v>
      </c>
      <c r="I7" s="36">
        <v>31</v>
      </c>
      <c r="J7" s="36">
        <v>31</v>
      </c>
      <c r="K7" s="36">
        <v>30</v>
      </c>
      <c r="L7" s="36">
        <v>31</v>
      </c>
      <c r="M7" s="36">
        <v>30</v>
      </c>
      <c r="N7" s="36">
        <v>31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 ht="12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 ht="12.75" customHeight="1">
      <c r="A9" s="36"/>
      <c r="B9" s="36" t="s">
        <v>39</v>
      </c>
      <c r="C9" s="36">
        <f t="shared" ref="C9:N9" si="0">+C6*C7</f>
        <v>930</v>
      </c>
      <c r="D9" s="36">
        <f t="shared" si="0"/>
        <v>840</v>
      </c>
      <c r="E9" s="36">
        <f t="shared" si="0"/>
        <v>930</v>
      </c>
      <c r="F9" s="36">
        <f t="shared" si="0"/>
        <v>900</v>
      </c>
      <c r="G9" s="36">
        <f t="shared" si="0"/>
        <v>930</v>
      </c>
      <c r="H9" s="36">
        <f t="shared" si="0"/>
        <v>900</v>
      </c>
      <c r="I9" s="36">
        <f t="shared" si="0"/>
        <v>930</v>
      </c>
      <c r="J9" s="36">
        <f t="shared" si="0"/>
        <v>930</v>
      </c>
      <c r="K9" s="36">
        <f t="shared" si="0"/>
        <v>900</v>
      </c>
      <c r="L9" s="36">
        <f t="shared" si="0"/>
        <v>930</v>
      </c>
      <c r="M9" s="36">
        <f t="shared" si="0"/>
        <v>900</v>
      </c>
      <c r="N9" s="36">
        <f t="shared" si="0"/>
        <v>930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ht="12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 ht="12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 ht="30" customHeight="1">
      <c r="A12" s="36"/>
      <c r="B12" s="41" t="s">
        <v>40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 ht="12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 ht="12.75" customHeight="1">
      <c r="A14" s="36">
        <v>1</v>
      </c>
      <c r="B14" s="36" t="s">
        <v>41</v>
      </c>
      <c r="C14" s="36">
        <v>6</v>
      </c>
      <c r="D14" s="36">
        <v>6</v>
      </c>
      <c r="E14" s="36">
        <v>6</v>
      </c>
      <c r="F14" s="36">
        <v>6</v>
      </c>
      <c r="G14" s="36">
        <v>6</v>
      </c>
      <c r="H14" s="36">
        <v>6</v>
      </c>
      <c r="I14" s="36">
        <v>6</v>
      </c>
      <c r="J14" s="36">
        <v>6</v>
      </c>
      <c r="K14" s="36">
        <v>6</v>
      </c>
      <c r="L14" s="36">
        <v>6</v>
      </c>
      <c r="M14" s="36">
        <v>6</v>
      </c>
      <c r="N14" s="36">
        <v>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 ht="12.75" customHeight="1">
      <c r="A15" s="36">
        <v>2</v>
      </c>
      <c r="B15" s="36" t="s">
        <v>42</v>
      </c>
      <c r="C15" s="36">
        <v>2</v>
      </c>
      <c r="D15" s="36">
        <v>2</v>
      </c>
      <c r="E15" s="36">
        <v>2</v>
      </c>
      <c r="F15" s="36">
        <v>2</v>
      </c>
      <c r="G15" s="36">
        <v>2</v>
      </c>
      <c r="H15" s="36">
        <v>2</v>
      </c>
      <c r="I15" s="36">
        <v>2</v>
      </c>
      <c r="J15" s="36">
        <v>2</v>
      </c>
      <c r="K15" s="36">
        <v>2</v>
      </c>
      <c r="L15" s="36">
        <v>2</v>
      </c>
      <c r="M15" s="36">
        <v>2</v>
      </c>
      <c r="N15" s="36">
        <v>2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 ht="12.75" customHeight="1">
      <c r="A16" s="36">
        <v>3</v>
      </c>
      <c r="B16" s="36" t="s">
        <v>43</v>
      </c>
      <c r="C16" s="36">
        <v>4</v>
      </c>
      <c r="D16" s="36">
        <v>4</v>
      </c>
      <c r="E16" s="36">
        <v>4</v>
      </c>
      <c r="F16" s="36">
        <v>4</v>
      </c>
      <c r="G16" s="36">
        <v>4</v>
      </c>
      <c r="H16" s="36">
        <v>4</v>
      </c>
      <c r="I16" s="36">
        <v>4</v>
      </c>
      <c r="J16" s="36">
        <v>4</v>
      </c>
      <c r="K16" s="36">
        <v>4</v>
      </c>
      <c r="L16" s="36">
        <v>4</v>
      </c>
      <c r="M16" s="36">
        <v>4</v>
      </c>
      <c r="N16" s="36">
        <v>4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ht="12.75" customHeight="1">
      <c r="A17" s="36">
        <v>4</v>
      </c>
      <c r="B17" s="36" t="s">
        <v>44</v>
      </c>
      <c r="C17" s="36">
        <v>8</v>
      </c>
      <c r="D17" s="36">
        <v>8</v>
      </c>
      <c r="E17" s="36">
        <v>8</v>
      </c>
      <c r="F17" s="36">
        <v>8</v>
      </c>
      <c r="G17" s="36">
        <v>8</v>
      </c>
      <c r="H17" s="36">
        <v>8</v>
      </c>
      <c r="I17" s="36">
        <v>8</v>
      </c>
      <c r="J17" s="36">
        <v>8</v>
      </c>
      <c r="K17" s="36">
        <v>8</v>
      </c>
      <c r="L17" s="36">
        <v>8</v>
      </c>
      <c r="M17" s="36">
        <v>8</v>
      </c>
      <c r="N17" s="36">
        <v>8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ht="12.75" customHeight="1">
      <c r="A18" s="36">
        <v>5</v>
      </c>
      <c r="B18" s="36" t="s">
        <v>45</v>
      </c>
      <c r="C18" s="36">
        <v>5</v>
      </c>
      <c r="D18" s="36">
        <v>5</v>
      </c>
      <c r="E18" s="36">
        <v>5</v>
      </c>
      <c r="F18" s="36">
        <v>5</v>
      </c>
      <c r="G18" s="36">
        <v>5</v>
      </c>
      <c r="H18" s="36">
        <v>5</v>
      </c>
      <c r="I18" s="36">
        <v>5</v>
      </c>
      <c r="J18" s="36">
        <v>5</v>
      </c>
      <c r="K18" s="36">
        <v>5</v>
      </c>
      <c r="L18" s="36">
        <v>5</v>
      </c>
      <c r="M18" s="36">
        <v>5</v>
      </c>
      <c r="N18" s="36">
        <v>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ht="13.5" customHeight="1">
      <c r="A19" s="36">
        <v>6</v>
      </c>
      <c r="B19" s="36" t="s">
        <v>46</v>
      </c>
      <c r="C19" s="36">
        <v>5</v>
      </c>
      <c r="D19" s="36">
        <v>5</v>
      </c>
      <c r="E19" s="36">
        <v>5</v>
      </c>
      <c r="F19" s="36">
        <v>5</v>
      </c>
      <c r="G19" s="36">
        <v>5</v>
      </c>
      <c r="H19" s="36">
        <v>5</v>
      </c>
      <c r="I19" s="36">
        <v>5</v>
      </c>
      <c r="J19" s="36">
        <v>5</v>
      </c>
      <c r="K19" s="36">
        <v>5</v>
      </c>
      <c r="L19" s="36">
        <v>5</v>
      </c>
      <c r="M19" s="36">
        <v>5</v>
      </c>
      <c r="N19" s="36">
        <v>5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ht="13.5" customHeight="1">
      <c r="A20" s="36"/>
      <c r="B20" s="42" t="s">
        <v>47</v>
      </c>
      <c r="C20" s="43">
        <f t="shared" ref="C20:N20" si="1">SUM(C14:C19)</f>
        <v>30</v>
      </c>
      <c r="D20" s="43">
        <f t="shared" si="1"/>
        <v>30</v>
      </c>
      <c r="E20" s="43">
        <f t="shared" si="1"/>
        <v>30</v>
      </c>
      <c r="F20" s="43">
        <f t="shared" si="1"/>
        <v>30</v>
      </c>
      <c r="G20" s="43">
        <f t="shared" si="1"/>
        <v>30</v>
      </c>
      <c r="H20" s="43">
        <f t="shared" si="1"/>
        <v>30</v>
      </c>
      <c r="I20" s="43">
        <f t="shared" si="1"/>
        <v>30</v>
      </c>
      <c r="J20" s="43">
        <f t="shared" si="1"/>
        <v>30</v>
      </c>
      <c r="K20" s="43">
        <f t="shared" si="1"/>
        <v>30</v>
      </c>
      <c r="L20" s="43">
        <f t="shared" si="1"/>
        <v>30</v>
      </c>
      <c r="M20" s="43">
        <f t="shared" si="1"/>
        <v>30</v>
      </c>
      <c r="N20" s="44">
        <f t="shared" si="1"/>
        <v>30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ht="12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ht="12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spans="1:30" ht="30" customHeight="1">
      <c r="A23" s="36"/>
      <c r="B23" s="41" t="s">
        <v>48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2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 ht="12.75" customHeight="1">
      <c r="A25" s="36">
        <v>1</v>
      </c>
      <c r="B25" s="36" t="s">
        <v>41</v>
      </c>
      <c r="C25" s="36">
        <f t="shared" ref="C25:N25" si="2">+C14*C$7</f>
        <v>186</v>
      </c>
      <c r="D25" s="36">
        <f t="shared" si="2"/>
        <v>168</v>
      </c>
      <c r="E25" s="36">
        <f t="shared" si="2"/>
        <v>186</v>
      </c>
      <c r="F25" s="36">
        <f t="shared" si="2"/>
        <v>180</v>
      </c>
      <c r="G25" s="36">
        <f t="shared" si="2"/>
        <v>186</v>
      </c>
      <c r="H25" s="36">
        <f t="shared" si="2"/>
        <v>180</v>
      </c>
      <c r="I25" s="36">
        <f t="shared" si="2"/>
        <v>186</v>
      </c>
      <c r="J25" s="36">
        <f t="shared" si="2"/>
        <v>186</v>
      </c>
      <c r="K25" s="36">
        <f t="shared" si="2"/>
        <v>180</v>
      </c>
      <c r="L25" s="257"/>
      <c r="M25" s="36">
        <f t="shared" si="2"/>
        <v>180</v>
      </c>
      <c r="N25" s="36">
        <f t="shared" si="2"/>
        <v>186</v>
      </c>
      <c r="O25" s="36">
        <f t="shared" ref="O25:O30" si="3">SUM(C25:N25)</f>
        <v>2004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ht="12.75" customHeight="1">
      <c r="A26" s="36">
        <v>2</v>
      </c>
      <c r="B26" s="36" t="s">
        <v>42</v>
      </c>
      <c r="C26" s="36">
        <f t="shared" ref="C26:N26" si="4">+C15*C$7</f>
        <v>62</v>
      </c>
      <c r="D26" s="36">
        <f t="shared" si="4"/>
        <v>56</v>
      </c>
      <c r="E26" s="36">
        <f t="shared" si="4"/>
        <v>62</v>
      </c>
      <c r="F26" s="36">
        <f t="shared" si="4"/>
        <v>60</v>
      </c>
      <c r="G26" s="36">
        <f t="shared" si="4"/>
        <v>62</v>
      </c>
      <c r="H26" s="36">
        <f t="shared" si="4"/>
        <v>60</v>
      </c>
      <c r="I26" s="36">
        <f t="shared" si="4"/>
        <v>62</v>
      </c>
      <c r="J26" s="36">
        <f t="shared" si="4"/>
        <v>62</v>
      </c>
      <c r="K26" s="36">
        <f t="shared" si="4"/>
        <v>60</v>
      </c>
      <c r="L26" s="257"/>
      <c r="M26" s="36">
        <f t="shared" si="4"/>
        <v>60</v>
      </c>
      <c r="N26" s="36">
        <f t="shared" si="4"/>
        <v>62</v>
      </c>
      <c r="O26" s="36">
        <f t="shared" si="3"/>
        <v>668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 ht="12.75" customHeight="1">
      <c r="A27" s="36">
        <v>3</v>
      </c>
      <c r="B27" s="36" t="s">
        <v>43</v>
      </c>
      <c r="C27" s="36">
        <f t="shared" ref="C27:N27" si="5">+C16*C$7</f>
        <v>124</v>
      </c>
      <c r="D27" s="36">
        <f t="shared" si="5"/>
        <v>112</v>
      </c>
      <c r="E27" s="36">
        <f t="shared" si="5"/>
        <v>124</v>
      </c>
      <c r="F27" s="36">
        <f t="shared" si="5"/>
        <v>120</v>
      </c>
      <c r="G27" s="36">
        <f t="shared" si="5"/>
        <v>124</v>
      </c>
      <c r="H27" s="36">
        <f t="shared" si="5"/>
        <v>120</v>
      </c>
      <c r="I27" s="36">
        <f t="shared" si="5"/>
        <v>124</v>
      </c>
      <c r="J27" s="36">
        <f t="shared" si="5"/>
        <v>124</v>
      </c>
      <c r="K27" s="36">
        <f t="shared" si="5"/>
        <v>120</v>
      </c>
      <c r="L27" s="257"/>
      <c r="M27" s="36">
        <f t="shared" si="5"/>
        <v>120</v>
      </c>
      <c r="N27" s="36">
        <f t="shared" si="5"/>
        <v>124</v>
      </c>
      <c r="O27" s="36">
        <f t="shared" si="3"/>
        <v>1336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 ht="12.75" customHeight="1">
      <c r="A28" s="36">
        <v>4</v>
      </c>
      <c r="B28" s="36" t="s">
        <v>44</v>
      </c>
      <c r="C28" s="36">
        <f t="shared" ref="C28:N28" si="6">+C17*C$7</f>
        <v>248</v>
      </c>
      <c r="D28" s="36">
        <f t="shared" si="6"/>
        <v>224</v>
      </c>
      <c r="E28" s="36">
        <f t="shared" si="6"/>
        <v>248</v>
      </c>
      <c r="F28" s="36">
        <f t="shared" si="6"/>
        <v>240</v>
      </c>
      <c r="G28" s="36">
        <f t="shared" si="6"/>
        <v>248</v>
      </c>
      <c r="H28" s="36">
        <f t="shared" si="6"/>
        <v>240</v>
      </c>
      <c r="I28" s="36">
        <f t="shared" si="6"/>
        <v>248</v>
      </c>
      <c r="J28" s="36">
        <f t="shared" si="6"/>
        <v>248</v>
      </c>
      <c r="K28" s="36">
        <f t="shared" si="6"/>
        <v>240</v>
      </c>
      <c r="L28" s="257"/>
      <c r="M28" s="36">
        <f t="shared" si="6"/>
        <v>240</v>
      </c>
      <c r="N28" s="36">
        <f t="shared" si="6"/>
        <v>248</v>
      </c>
      <c r="O28" s="36">
        <f t="shared" si="3"/>
        <v>2672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 ht="12.75" customHeight="1">
      <c r="A29" s="36">
        <v>5</v>
      </c>
      <c r="B29" s="36" t="s">
        <v>45</v>
      </c>
      <c r="C29" s="36">
        <f t="shared" ref="C29:N29" si="7">+C18*C$7</f>
        <v>155</v>
      </c>
      <c r="D29" s="36">
        <f t="shared" si="7"/>
        <v>140</v>
      </c>
      <c r="E29" s="36">
        <f t="shared" si="7"/>
        <v>155</v>
      </c>
      <c r="F29" s="36">
        <f t="shared" si="7"/>
        <v>150</v>
      </c>
      <c r="G29" s="36">
        <f t="shared" si="7"/>
        <v>155</v>
      </c>
      <c r="H29" s="36">
        <f t="shared" si="7"/>
        <v>150</v>
      </c>
      <c r="I29" s="36">
        <f t="shared" si="7"/>
        <v>155</v>
      </c>
      <c r="J29" s="36">
        <f t="shared" si="7"/>
        <v>155</v>
      </c>
      <c r="K29" s="36">
        <f t="shared" si="7"/>
        <v>150</v>
      </c>
      <c r="L29" s="257"/>
      <c r="M29" s="36">
        <f t="shared" si="7"/>
        <v>150</v>
      </c>
      <c r="N29" s="36">
        <f t="shared" si="7"/>
        <v>155</v>
      </c>
      <c r="O29" s="36">
        <f t="shared" si="3"/>
        <v>1670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 ht="12.75" customHeight="1">
      <c r="A30" s="36">
        <v>6</v>
      </c>
      <c r="B30" s="36" t="s">
        <v>46</v>
      </c>
      <c r="C30" s="36">
        <f t="shared" ref="C30:N30" si="8">+C19*C$7</f>
        <v>155</v>
      </c>
      <c r="D30" s="36">
        <f t="shared" si="8"/>
        <v>140</v>
      </c>
      <c r="E30" s="36">
        <f t="shared" si="8"/>
        <v>155</v>
      </c>
      <c r="F30" s="36">
        <f t="shared" si="8"/>
        <v>150</v>
      </c>
      <c r="G30" s="36">
        <f t="shared" si="8"/>
        <v>155</v>
      </c>
      <c r="H30" s="36">
        <f t="shared" si="8"/>
        <v>150</v>
      </c>
      <c r="I30" s="36">
        <f t="shared" si="8"/>
        <v>155</v>
      </c>
      <c r="J30" s="36">
        <f t="shared" si="8"/>
        <v>155</v>
      </c>
      <c r="K30" s="36">
        <f t="shared" si="8"/>
        <v>150</v>
      </c>
      <c r="L30" s="257"/>
      <c r="M30" s="36">
        <f t="shared" si="8"/>
        <v>150</v>
      </c>
      <c r="N30" s="36">
        <f t="shared" si="8"/>
        <v>155</v>
      </c>
      <c r="O30" s="36">
        <f t="shared" si="3"/>
        <v>1670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 ht="13.5" customHeight="1">
      <c r="A32" s="36"/>
      <c r="B32" s="45" t="s">
        <v>47</v>
      </c>
      <c r="C32" s="46">
        <f t="shared" ref="C32:O32" si="9">SUM(C25:C31)</f>
        <v>930</v>
      </c>
      <c r="D32" s="46">
        <f t="shared" si="9"/>
        <v>840</v>
      </c>
      <c r="E32" s="46">
        <f t="shared" si="9"/>
        <v>930</v>
      </c>
      <c r="F32" s="46">
        <f t="shared" si="9"/>
        <v>900</v>
      </c>
      <c r="G32" s="46">
        <f t="shared" si="9"/>
        <v>930</v>
      </c>
      <c r="H32" s="46">
        <f t="shared" si="9"/>
        <v>900</v>
      </c>
      <c r="I32" s="46">
        <f t="shared" si="9"/>
        <v>930</v>
      </c>
      <c r="J32" s="46">
        <f t="shared" si="9"/>
        <v>930</v>
      </c>
      <c r="K32" s="46">
        <f t="shared" si="9"/>
        <v>900</v>
      </c>
      <c r="L32" s="46">
        <f t="shared" si="9"/>
        <v>0</v>
      </c>
      <c r="M32" s="46">
        <f t="shared" si="9"/>
        <v>900</v>
      </c>
      <c r="N32" s="47">
        <f t="shared" si="9"/>
        <v>930</v>
      </c>
      <c r="O32" s="47">
        <f t="shared" si="9"/>
        <v>10020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 spans="1:30" ht="12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ht="12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 spans="1:30" ht="30" customHeight="1">
      <c r="A35" s="36"/>
      <c r="B35" s="41" t="s">
        <v>49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41" t="s">
        <v>49</v>
      </c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 spans="1:30" ht="12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 spans="1:30" ht="18.75" customHeight="1">
      <c r="A37" s="36"/>
      <c r="B37" s="48" t="s">
        <v>50</v>
      </c>
      <c r="C37" s="49" t="s">
        <v>13</v>
      </c>
      <c r="D37" s="49" t="s">
        <v>14</v>
      </c>
      <c r="E37" s="49" t="s">
        <v>15</v>
      </c>
      <c r="F37" s="49" t="s">
        <v>16</v>
      </c>
      <c r="G37" s="49" t="s">
        <v>51</v>
      </c>
      <c r="H37" s="49" t="s">
        <v>18</v>
      </c>
      <c r="I37" s="49" t="s">
        <v>19</v>
      </c>
      <c r="J37" s="49" t="s">
        <v>20</v>
      </c>
      <c r="K37" s="49" t="s">
        <v>21</v>
      </c>
      <c r="L37" s="49" t="s">
        <v>22</v>
      </c>
      <c r="M37" s="49" t="s">
        <v>23</v>
      </c>
      <c r="N37" s="49" t="s">
        <v>24</v>
      </c>
      <c r="O37" s="36"/>
      <c r="P37" s="36"/>
      <c r="Q37" s="36"/>
      <c r="R37" s="48" t="s">
        <v>50</v>
      </c>
      <c r="S37" s="49" t="s">
        <v>13</v>
      </c>
      <c r="T37" s="49" t="s">
        <v>14</v>
      </c>
      <c r="U37" s="49" t="s">
        <v>15</v>
      </c>
      <c r="V37" s="49" t="s">
        <v>16</v>
      </c>
      <c r="W37" s="49" t="s">
        <v>51</v>
      </c>
      <c r="X37" s="49" t="s">
        <v>18</v>
      </c>
      <c r="Y37" s="49" t="s">
        <v>19</v>
      </c>
      <c r="Z37" s="49" t="s">
        <v>20</v>
      </c>
      <c r="AA37" s="49" t="s">
        <v>21</v>
      </c>
      <c r="AB37" s="49" t="s">
        <v>22</v>
      </c>
      <c r="AC37" s="49" t="s">
        <v>23</v>
      </c>
      <c r="AD37" s="49" t="s">
        <v>24</v>
      </c>
    </row>
    <row r="38" spans="1:30" ht="12.75" customHeight="1">
      <c r="A38" s="36">
        <v>1</v>
      </c>
      <c r="B38" s="50" t="s">
        <v>41</v>
      </c>
      <c r="C38" s="493">
        <v>725</v>
      </c>
      <c r="D38" s="493">
        <v>725</v>
      </c>
      <c r="E38" s="493">
        <v>725</v>
      </c>
      <c r="F38" s="493">
        <v>725</v>
      </c>
      <c r="G38" s="493">
        <v>615</v>
      </c>
      <c r="H38" s="493">
        <v>615</v>
      </c>
      <c r="I38" s="493">
        <v>615</v>
      </c>
      <c r="J38" s="493">
        <v>615</v>
      </c>
      <c r="K38" s="493">
        <v>560</v>
      </c>
      <c r="L38" s="493">
        <v>560</v>
      </c>
      <c r="M38" s="493">
        <v>575</v>
      </c>
      <c r="N38" s="493">
        <v>830</v>
      </c>
      <c r="O38" s="36"/>
      <c r="P38" s="36"/>
      <c r="Q38" s="36"/>
      <c r="R38" s="50" t="s">
        <v>41</v>
      </c>
      <c r="S38" s="51">
        <v>525</v>
      </c>
      <c r="T38" s="51">
        <v>525</v>
      </c>
      <c r="U38" s="51">
        <v>525</v>
      </c>
      <c r="V38" s="51">
        <v>505</v>
      </c>
      <c r="W38" s="51">
        <v>455</v>
      </c>
      <c r="X38" s="51">
        <v>440</v>
      </c>
      <c r="Y38" s="51">
        <v>440</v>
      </c>
      <c r="Z38" s="51">
        <v>440</v>
      </c>
      <c r="AA38" s="51">
        <v>405</v>
      </c>
      <c r="AB38" s="51">
        <v>395</v>
      </c>
      <c r="AC38" s="51">
        <v>415</v>
      </c>
      <c r="AD38" s="51">
        <v>575</v>
      </c>
    </row>
    <row r="39" spans="1:30" ht="12.75" customHeight="1">
      <c r="A39" s="36">
        <v>2</v>
      </c>
      <c r="B39" s="50" t="s">
        <v>42</v>
      </c>
      <c r="C39" s="493">
        <v>670</v>
      </c>
      <c r="D39" s="493">
        <v>670</v>
      </c>
      <c r="E39" s="493">
        <v>670</v>
      </c>
      <c r="F39" s="493">
        <v>635</v>
      </c>
      <c r="G39" s="493">
        <v>565</v>
      </c>
      <c r="H39" s="493">
        <v>565</v>
      </c>
      <c r="I39" s="493">
        <v>565</v>
      </c>
      <c r="J39" s="493">
        <v>565</v>
      </c>
      <c r="K39" s="493">
        <v>515</v>
      </c>
      <c r="L39" s="493">
        <v>515</v>
      </c>
      <c r="M39" s="493">
        <v>535</v>
      </c>
      <c r="N39" s="493">
        <v>775</v>
      </c>
      <c r="O39" s="36"/>
      <c r="P39" s="36"/>
      <c r="Q39" s="36"/>
      <c r="R39" s="50" t="s">
        <v>42</v>
      </c>
      <c r="S39" s="51">
        <v>485</v>
      </c>
      <c r="T39" s="51">
        <v>485</v>
      </c>
      <c r="U39" s="51">
        <v>485</v>
      </c>
      <c r="V39" s="51">
        <v>460</v>
      </c>
      <c r="W39" s="51">
        <v>435</v>
      </c>
      <c r="X39" s="51">
        <v>420</v>
      </c>
      <c r="Y39" s="51">
        <v>420</v>
      </c>
      <c r="Z39" s="51">
        <v>420</v>
      </c>
      <c r="AA39" s="51">
        <v>395</v>
      </c>
      <c r="AB39" s="51">
        <v>375</v>
      </c>
      <c r="AC39" s="51">
        <v>440</v>
      </c>
      <c r="AD39" s="51">
        <v>520</v>
      </c>
    </row>
    <row r="40" spans="1:30" ht="12.75" customHeight="1">
      <c r="A40" s="36">
        <v>3</v>
      </c>
      <c r="B40" s="50" t="s">
        <v>43</v>
      </c>
      <c r="C40" s="493">
        <v>540</v>
      </c>
      <c r="D40" s="493">
        <v>540</v>
      </c>
      <c r="E40" s="493">
        <v>540</v>
      </c>
      <c r="F40" s="493">
        <v>510</v>
      </c>
      <c r="G40" s="493">
        <v>445</v>
      </c>
      <c r="H40" s="493">
        <v>445</v>
      </c>
      <c r="I40" s="493">
        <v>445</v>
      </c>
      <c r="J40" s="493">
        <v>445</v>
      </c>
      <c r="K40" s="493">
        <v>405</v>
      </c>
      <c r="L40" s="493">
        <v>405</v>
      </c>
      <c r="M40" s="493">
        <v>415</v>
      </c>
      <c r="N40" s="493">
        <v>630</v>
      </c>
      <c r="O40" s="36"/>
      <c r="P40" s="36"/>
      <c r="Q40" s="36"/>
      <c r="R40" s="50" t="s">
        <v>43</v>
      </c>
      <c r="S40" s="51">
        <v>445</v>
      </c>
      <c r="T40" s="51">
        <v>445</v>
      </c>
      <c r="U40" s="51">
        <v>445</v>
      </c>
      <c r="V40" s="51">
        <v>415</v>
      </c>
      <c r="W40" s="51">
        <v>395</v>
      </c>
      <c r="X40" s="51">
        <v>375</v>
      </c>
      <c r="Y40" s="51">
        <v>375</v>
      </c>
      <c r="Z40" s="51">
        <v>375</v>
      </c>
      <c r="AA40" s="51">
        <v>355</v>
      </c>
      <c r="AB40" s="51">
        <v>330</v>
      </c>
      <c r="AC40" s="51">
        <v>360</v>
      </c>
      <c r="AD40" s="51">
        <v>485</v>
      </c>
    </row>
    <row r="41" spans="1:30" ht="12.75" customHeight="1">
      <c r="A41" s="36">
        <v>4</v>
      </c>
      <c r="B41" s="50" t="s">
        <v>44</v>
      </c>
      <c r="C41" s="493">
        <v>485</v>
      </c>
      <c r="D41" s="493">
        <v>485</v>
      </c>
      <c r="E41" s="493">
        <v>485</v>
      </c>
      <c r="F41" s="493">
        <v>445</v>
      </c>
      <c r="G41" s="493">
        <v>395</v>
      </c>
      <c r="H41" s="493">
        <v>395</v>
      </c>
      <c r="I41" s="493">
        <v>395</v>
      </c>
      <c r="J41" s="493">
        <v>395</v>
      </c>
      <c r="K41" s="493">
        <v>360</v>
      </c>
      <c r="L41" s="493">
        <v>360</v>
      </c>
      <c r="M41" s="493">
        <v>375</v>
      </c>
      <c r="N41" s="493">
        <v>575</v>
      </c>
      <c r="O41" s="36"/>
      <c r="P41" s="36"/>
      <c r="Q41" s="36"/>
      <c r="R41" s="50" t="s">
        <v>44</v>
      </c>
      <c r="S41" s="51">
        <v>395</v>
      </c>
      <c r="T41" s="51">
        <v>395</v>
      </c>
      <c r="U41" s="51">
        <v>395</v>
      </c>
      <c r="V41" s="51">
        <v>360</v>
      </c>
      <c r="W41" s="51">
        <v>330</v>
      </c>
      <c r="X41" s="51">
        <v>315</v>
      </c>
      <c r="Y41" s="51">
        <v>315</v>
      </c>
      <c r="Z41" s="51">
        <v>315</v>
      </c>
      <c r="AA41" s="51">
        <v>290</v>
      </c>
      <c r="AB41" s="51">
        <v>275</v>
      </c>
      <c r="AC41" s="51">
        <v>295</v>
      </c>
      <c r="AD41" s="51">
        <v>410</v>
      </c>
    </row>
    <row r="42" spans="1:30" ht="12.75" customHeight="1">
      <c r="A42" s="36">
        <v>5</v>
      </c>
      <c r="B42" s="50" t="s">
        <v>45</v>
      </c>
      <c r="C42" s="493">
        <v>1015</v>
      </c>
      <c r="D42" s="493">
        <v>1015</v>
      </c>
      <c r="E42" s="493">
        <v>1015</v>
      </c>
      <c r="F42" s="493">
        <v>970</v>
      </c>
      <c r="G42" s="493">
        <v>875</v>
      </c>
      <c r="H42" s="493">
        <v>875</v>
      </c>
      <c r="I42" s="493">
        <v>875</v>
      </c>
      <c r="J42" s="493">
        <v>875</v>
      </c>
      <c r="K42" s="493">
        <v>810</v>
      </c>
      <c r="L42" s="493">
        <v>810</v>
      </c>
      <c r="M42" s="493">
        <v>845</v>
      </c>
      <c r="N42" s="493">
        <v>1150</v>
      </c>
      <c r="O42" s="36"/>
      <c r="P42" s="36"/>
      <c r="Q42" s="36"/>
      <c r="R42" s="50" t="s">
        <v>45</v>
      </c>
      <c r="S42" s="51">
        <v>795</v>
      </c>
      <c r="T42" s="51">
        <v>795</v>
      </c>
      <c r="U42" s="51">
        <v>795</v>
      </c>
      <c r="V42" s="51">
        <v>725</v>
      </c>
      <c r="W42" s="51">
        <v>655</v>
      </c>
      <c r="X42" s="51">
        <v>620</v>
      </c>
      <c r="Y42" s="51">
        <v>620</v>
      </c>
      <c r="Z42" s="51">
        <v>620</v>
      </c>
      <c r="AA42" s="51">
        <v>585</v>
      </c>
      <c r="AB42" s="51">
        <v>530</v>
      </c>
      <c r="AC42" s="51">
        <v>605</v>
      </c>
      <c r="AD42" s="51">
        <v>785</v>
      </c>
    </row>
    <row r="43" spans="1:30" ht="12.75" customHeight="1">
      <c r="A43" s="36">
        <v>6</v>
      </c>
      <c r="B43" s="50" t="s">
        <v>46</v>
      </c>
      <c r="C43" s="493">
        <v>1130</v>
      </c>
      <c r="D43" s="493">
        <v>1130</v>
      </c>
      <c r="E43" s="493">
        <v>1130</v>
      </c>
      <c r="F43" s="493">
        <v>1065</v>
      </c>
      <c r="G43" s="493">
        <v>980</v>
      </c>
      <c r="H43" s="493">
        <v>980</v>
      </c>
      <c r="I43" s="493">
        <v>980</v>
      </c>
      <c r="J43" s="493">
        <v>980</v>
      </c>
      <c r="K43" s="493">
        <v>910</v>
      </c>
      <c r="L43" s="493">
        <v>910</v>
      </c>
      <c r="M43" s="493">
        <v>965</v>
      </c>
      <c r="N43" s="493">
        <v>1282</v>
      </c>
      <c r="O43" s="36"/>
      <c r="P43" s="36"/>
      <c r="Q43" s="36"/>
      <c r="R43" s="50" t="s">
        <v>46</v>
      </c>
      <c r="S43" s="51">
        <v>895</v>
      </c>
      <c r="T43" s="51">
        <v>895</v>
      </c>
      <c r="U43" s="51">
        <v>895</v>
      </c>
      <c r="V43" s="51">
        <v>830</v>
      </c>
      <c r="W43" s="51">
        <v>740</v>
      </c>
      <c r="X43" s="51">
        <v>685</v>
      </c>
      <c r="Y43" s="51">
        <v>685</v>
      </c>
      <c r="Z43" s="51">
        <v>685</v>
      </c>
      <c r="AA43" s="51">
        <v>630</v>
      </c>
      <c r="AB43" s="51">
        <v>605</v>
      </c>
      <c r="AC43" s="51">
        <v>685</v>
      </c>
      <c r="AD43" s="51">
        <v>895</v>
      </c>
    </row>
    <row r="44" spans="1:30" ht="12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ht="12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ht="12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ht="12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ht="30" customHeight="1">
      <c r="A48" s="36"/>
      <c r="B48" s="41" t="s">
        <v>52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506" t="s">
        <v>53</v>
      </c>
      <c r="R48" s="507"/>
      <c r="S48" s="507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ht="15.75" customHeight="1">
      <c r="A49" s="36"/>
      <c r="B49" s="36"/>
      <c r="C49" s="36" t="str">
        <f t="shared" ref="C49:M49" si="10">+C37</f>
        <v>January</v>
      </c>
      <c r="D49" s="36" t="str">
        <f t="shared" si="10"/>
        <v>February</v>
      </c>
      <c r="E49" s="36" t="str">
        <f t="shared" si="10"/>
        <v>March</v>
      </c>
      <c r="F49" s="36" t="str">
        <f t="shared" si="10"/>
        <v>April</v>
      </c>
      <c r="G49" s="36" t="str">
        <f t="shared" si="10"/>
        <v xml:space="preserve">May </v>
      </c>
      <c r="H49" s="36" t="str">
        <f t="shared" si="10"/>
        <v>June</v>
      </c>
      <c r="I49" s="36" t="str">
        <f t="shared" si="10"/>
        <v>July</v>
      </c>
      <c r="J49" s="36" t="str">
        <f t="shared" si="10"/>
        <v>August</v>
      </c>
      <c r="K49" s="36" t="str">
        <f t="shared" si="10"/>
        <v>September</v>
      </c>
      <c r="L49" s="36" t="str">
        <f t="shared" si="10"/>
        <v>October</v>
      </c>
      <c r="M49" s="36" t="str">
        <f t="shared" si="10"/>
        <v>November</v>
      </c>
      <c r="N49" s="36"/>
      <c r="O49" s="36"/>
      <c r="P49" s="36"/>
      <c r="Q49" s="52"/>
      <c r="R49" s="53" t="s">
        <v>54</v>
      </c>
      <c r="S49" s="53" t="s">
        <v>55</v>
      </c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ht="15" customHeight="1">
      <c r="A50" s="36"/>
      <c r="B50" s="36" t="s">
        <v>56</v>
      </c>
      <c r="C50" s="54">
        <v>0.6</v>
      </c>
      <c r="D50" s="54">
        <v>0.6</v>
      </c>
      <c r="E50" s="54">
        <v>0.6</v>
      </c>
      <c r="F50" s="54">
        <v>0.6</v>
      </c>
      <c r="G50" s="54">
        <v>0.6</v>
      </c>
      <c r="H50" s="54">
        <v>0.6</v>
      </c>
      <c r="I50" s="54">
        <v>0.6</v>
      </c>
      <c r="J50" s="54">
        <v>0.6</v>
      </c>
      <c r="K50" s="54">
        <v>0.6</v>
      </c>
      <c r="L50" s="54">
        <v>0.6</v>
      </c>
      <c r="M50" s="54">
        <v>0.6</v>
      </c>
      <c r="N50" s="54"/>
      <c r="O50" s="36"/>
      <c r="P50" s="36"/>
      <c r="Q50" s="52" t="s">
        <v>56</v>
      </c>
      <c r="R50" s="55">
        <v>0.7</v>
      </c>
      <c r="S50" s="55">
        <f t="shared" ref="S50:S52" si="11">+C50</f>
        <v>0.6</v>
      </c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ht="15" customHeight="1">
      <c r="A51" s="36"/>
      <c r="B51" s="36" t="s">
        <v>57</v>
      </c>
      <c r="C51" s="54">
        <v>0.05</v>
      </c>
      <c r="D51" s="54">
        <v>0.05</v>
      </c>
      <c r="E51" s="54">
        <v>0.05</v>
      </c>
      <c r="F51" s="54">
        <v>0.05</v>
      </c>
      <c r="G51" s="54">
        <v>0.05</v>
      </c>
      <c r="H51" s="54">
        <v>0.05</v>
      </c>
      <c r="I51" s="54">
        <v>0.05</v>
      </c>
      <c r="J51" s="54">
        <v>0.05</v>
      </c>
      <c r="K51" s="54">
        <v>0.05</v>
      </c>
      <c r="L51" s="54">
        <v>0.05</v>
      </c>
      <c r="M51" s="54">
        <v>0.05</v>
      </c>
      <c r="N51" s="54"/>
      <c r="O51" s="36"/>
      <c r="P51" s="36"/>
      <c r="Q51" s="52" t="s">
        <v>57</v>
      </c>
      <c r="R51" s="55">
        <v>0.05</v>
      </c>
      <c r="S51" s="55">
        <f t="shared" si="11"/>
        <v>0.05</v>
      </c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ht="15" customHeight="1">
      <c r="A52" s="36"/>
      <c r="B52" s="36" t="s">
        <v>58</v>
      </c>
      <c r="C52" s="54">
        <v>0.35</v>
      </c>
      <c r="D52" s="54">
        <v>0.35</v>
      </c>
      <c r="E52" s="54">
        <v>0.35</v>
      </c>
      <c r="F52" s="54">
        <v>0.35</v>
      </c>
      <c r="G52" s="54">
        <v>0.35</v>
      </c>
      <c r="H52" s="54">
        <v>0.35</v>
      </c>
      <c r="I52" s="54">
        <v>0.35</v>
      </c>
      <c r="J52" s="54">
        <v>0.35</v>
      </c>
      <c r="K52" s="54">
        <v>0.35</v>
      </c>
      <c r="L52" s="54">
        <v>0.35</v>
      </c>
      <c r="M52" s="54">
        <v>0.35</v>
      </c>
      <c r="N52" s="54"/>
      <c r="O52" s="36"/>
      <c r="P52" s="36"/>
      <c r="Q52" s="52" t="s">
        <v>58</v>
      </c>
      <c r="R52" s="55">
        <v>0.2</v>
      </c>
      <c r="S52" s="55">
        <f t="shared" si="11"/>
        <v>0.35</v>
      </c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ht="15" customHeight="1">
      <c r="A53" s="36"/>
      <c r="B53" s="36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36"/>
      <c r="P53" s="36"/>
      <c r="Q53" s="52"/>
      <c r="R53" s="52"/>
      <c r="S53" s="52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ht="16.5" customHeight="1" thickBot="1">
      <c r="A54" s="36"/>
      <c r="B54" s="36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36"/>
      <c r="P54" s="36"/>
      <c r="Q54" s="506" t="s">
        <v>59</v>
      </c>
      <c r="R54" s="507"/>
      <c r="S54" s="507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ht="15.75" customHeight="1" thickBot="1">
      <c r="A55" s="36"/>
      <c r="B55" s="42" t="s">
        <v>47</v>
      </c>
      <c r="C55" s="56">
        <f t="shared" ref="C55:M55" si="12">SUM(C50:C54)</f>
        <v>1</v>
      </c>
      <c r="D55" s="56">
        <f t="shared" si="12"/>
        <v>1</v>
      </c>
      <c r="E55" s="56">
        <f t="shared" si="12"/>
        <v>1</v>
      </c>
      <c r="F55" s="56">
        <f t="shared" si="12"/>
        <v>1</v>
      </c>
      <c r="G55" s="56">
        <f t="shared" si="12"/>
        <v>1</v>
      </c>
      <c r="H55" s="56">
        <f t="shared" si="12"/>
        <v>1</v>
      </c>
      <c r="I55" s="56">
        <f t="shared" si="12"/>
        <v>1</v>
      </c>
      <c r="J55" s="56">
        <f t="shared" si="12"/>
        <v>1</v>
      </c>
      <c r="K55" s="56">
        <f t="shared" si="12"/>
        <v>1</v>
      </c>
      <c r="L55" s="56">
        <f t="shared" si="12"/>
        <v>1</v>
      </c>
      <c r="M55" s="56">
        <f t="shared" si="12"/>
        <v>1</v>
      </c>
      <c r="N55" s="57"/>
      <c r="O55" s="36"/>
      <c r="P55" s="36"/>
      <c r="Q55" s="52"/>
      <c r="R55" s="52"/>
      <c r="S55" s="52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52"/>
      <c r="R56" s="53" t="s">
        <v>54</v>
      </c>
      <c r="S56" s="53" t="s">
        <v>55</v>
      </c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ht="1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52" t="s">
        <v>56</v>
      </c>
      <c r="R57" s="55">
        <v>0.28000000000000003</v>
      </c>
      <c r="S57" s="55">
        <f t="shared" ref="S57:S59" si="13">+M61</f>
        <v>0.28000000000000003</v>
      </c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ht="1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52" t="s">
        <v>57</v>
      </c>
      <c r="R58" s="55">
        <v>0.2</v>
      </c>
      <c r="S58" s="55">
        <f t="shared" si="13"/>
        <v>0.2</v>
      </c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ht="30" customHeight="1">
      <c r="A59" s="36"/>
      <c r="B59" s="41" t="s">
        <v>60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52" t="s">
        <v>58</v>
      </c>
      <c r="R59" s="55">
        <f>+C63</f>
        <v>0</v>
      </c>
      <c r="S59" s="55">
        <f t="shared" si="13"/>
        <v>0</v>
      </c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ht="12.75" customHeight="1">
      <c r="A60" s="36"/>
      <c r="B60" s="36"/>
      <c r="C60" s="36" t="str">
        <f t="shared" ref="C60:N60" si="14">+C37</f>
        <v>January</v>
      </c>
      <c r="D60" s="36" t="str">
        <f t="shared" si="14"/>
        <v>February</v>
      </c>
      <c r="E60" s="36" t="str">
        <f t="shared" si="14"/>
        <v>March</v>
      </c>
      <c r="F60" s="36" t="str">
        <f t="shared" si="14"/>
        <v>April</v>
      </c>
      <c r="G60" s="36" t="str">
        <f t="shared" si="14"/>
        <v xml:space="preserve">May </v>
      </c>
      <c r="H60" s="36" t="str">
        <f t="shared" si="14"/>
        <v>June</v>
      </c>
      <c r="I60" s="36" t="str">
        <f t="shared" si="14"/>
        <v>July</v>
      </c>
      <c r="J60" s="36" t="str">
        <f t="shared" si="14"/>
        <v>August</v>
      </c>
      <c r="K60" s="36" t="str">
        <f t="shared" si="14"/>
        <v>September</v>
      </c>
      <c r="L60" s="36" t="str">
        <f t="shared" si="14"/>
        <v>October</v>
      </c>
      <c r="M60" s="36" t="str">
        <f t="shared" si="14"/>
        <v>November</v>
      </c>
      <c r="N60" s="36" t="str">
        <f t="shared" si="14"/>
        <v>December</v>
      </c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12.75" customHeight="1">
      <c r="A61" s="36"/>
      <c r="B61" s="36" t="s">
        <v>56</v>
      </c>
      <c r="C61" s="54">
        <v>0.28000000000000003</v>
      </c>
      <c r="D61" s="54">
        <v>0.28000000000000003</v>
      </c>
      <c r="E61" s="54">
        <v>0.28000000000000003</v>
      </c>
      <c r="F61" s="54">
        <v>0.28000000000000003</v>
      </c>
      <c r="G61" s="54">
        <v>0.28000000000000003</v>
      </c>
      <c r="H61" s="54">
        <v>0.28000000000000003</v>
      </c>
      <c r="I61" s="54">
        <v>0.28000000000000003</v>
      </c>
      <c r="J61" s="54">
        <v>0.28000000000000003</v>
      </c>
      <c r="K61" s="54">
        <v>0.28000000000000003</v>
      </c>
      <c r="L61" s="54">
        <v>0.28000000000000003</v>
      </c>
      <c r="M61" s="54">
        <v>0.28000000000000003</v>
      </c>
      <c r="N61" s="54">
        <v>0.28000000000000003</v>
      </c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ht="12.75" customHeight="1">
      <c r="A62" s="36"/>
      <c r="B62" s="36" t="s">
        <v>57</v>
      </c>
      <c r="C62" s="54">
        <v>0.2</v>
      </c>
      <c r="D62" s="54">
        <v>0.2</v>
      </c>
      <c r="E62" s="54">
        <v>0.2</v>
      </c>
      <c r="F62" s="54">
        <v>0.2</v>
      </c>
      <c r="G62" s="54">
        <v>0.2</v>
      </c>
      <c r="H62" s="54">
        <v>0.2</v>
      </c>
      <c r="I62" s="54">
        <v>0.2</v>
      </c>
      <c r="J62" s="54">
        <v>0.2</v>
      </c>
      <c r="K62" s="54">
        <v>0.2</v>
      </c>
      <c r="L62" s="54">
        <v>0.2</v>
      </c>
      <c r="M62" s="54">
        <v>0.2</v>
      </c>
      <c r="N62" s="54">
        <v>0.2</v>
      </c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ht="12.75" customHeight="1">
      <c r="A63" s="36"/>
      <c r="B63" s="36" t="s">
        <v>58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ht="12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ht="12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ht="30.75" customHeight="1" thickBot="1">
      <c r="A66" s="36"/>
      <c r="B66" s="41" t="s">
        <v>61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ht="15.75" customHeight="1">
      <c r="A67" s="36"/>
      <c r="B67" s="36"/>
      <c r="C67" s="504"/>
      <c r="D67" s="505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ht="15.75" customHeight="1">
      <c r="A68" s="36"/>
      <c r="B68" s="36"/>
      <c r="C68" s="58" t="s">
        <v>62</v>
      </c>
      <c r="D68" s="59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 t="s">
        <v>63</v>
      </c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ht="15" customHeight="1">
      <c r="A69" s="36"/>
      <c r="B69" s="36" t="s">
        <v>64</v>
      </c>
      <c r="C69" s="60">
        <v>105</v>
      </c>
      <c r="D69" s="60">
        <f t="shared" ref="D69:D74" si="15">+C69</f>
        <v>105</v>
      </c>
      <c r="E69" s="60">
        <f t="shared" ref="E69:N69" si="16">+D69</f>
        <v>105</v>
      </c>
      <c r="F69" s="60">
        <f t="shared" si="16"/>
        <v>105</v>
      </c>
      <c r="G69" s="60">
        <f t="shared" si="16"/>
        <v>105</v>
      </c>
      <c r="H69" s="60">
        <f t="shared" si="16"/>
        <v>105</v>
      </c>
      <c r="I69" s="60">
        <f t="shared" si="16"/>
        <v>105</v>
      </c>
      <c r="J69" s="60">
        <f t="shared" si="16"/>
        <v>105</v>
      </c>
      <c r="K69" s="60">
        <f t="shared" si="16"/>
        <v>105</v>
      </c>
      <c r="L69" s="60">
        <f t="shared" si="16"/>
        <v>105</v>
      </c>
      <c r="M69" s="60">
        <f t="shared" si="16"/>
        <v>105</v>
      </c>
      <c r="N69" s="60">
        <f t="shared" si="16"/>
        <v>105</v>
      </c>
      <c r="O69" s="36"/>
      <c r="P69" s="36"/>
      <c r="Q69" s="36">
        <f>+C69/2</f>
        <v>52.5</v>
      </c>
      <c r="R69" s="36" t="s">
        <v>65</v>
      </c>
      <c r="S69" s="36"/>
      <c r="T69" s="36">
        <f>+O69</f>
        <v>0</v>
      </c>
      <c r="U69" s="36">
        <f>+T69*2</f>
        <v>0</v>
      </c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ht="15" customHeight="1">
      <c r="A70" s="36"/>
      <c r="B70" s="36" t="s">
        <v>66</v>
      </c>
      <c r="C70" s="60">
        <f>18*3</f>
        <v>54</v>
      </c>
      <c r="D70" s="60">
        <f t="shared" si="15"/>
        <v>54</v>
      </c>
      <c r="E70" s="60">
        <f t="shared" ref="E70:N70" si="17">+D70</f>
        <v>54</v>
      </c>
      <c r="F70" s="60">
        <f t="shared" si="17"/>
        <v>54</v>
      </c>
      <c r="G70" s="60">
        <f t="shared" si="17"/>
        <v>54</v>
      </c>
      <c r="H70" s="60">
        <f t="shared" si="17"/>
        <v>54</v>
      </c>
      <c r="I70" s="60">
        <f t="shared" si="17"/>
        <v>54</v>
      </c>
      <c r="J70" s="60">
        <f t="shared" si="17"/>
        <v>54</v>
      </c>
      <c r="K70" s="60">
        <f t="shared" si="17"/>
        <v>54</v>
      </c>
      <c r="L70" s="60">
        <f t="shared" si="17"/>
        <v>54</v>
      </c>
      <c r="M70" s="60">
        <f t="shared" si="17"/>
        <v>54</v>
      </c>
      <c r="N70" s="60">
        <f t="shared" si="17"/>
        <v>54</v>
      </c>
      <c r="O70" s="36"/>
      <c r="P70" s="36"/>
      <c r="Q70" s="36" t="s">
        <v>67</v>
      </c>
      <c r="R70" s="36"/>
      <c r="S70" s="36"/>
      <c r="T70" s="36">
        <f>+O70+O71+O72</f>
        <v>0</v>
      </c>
      <c r="U70" s="36">
        <f>+T70*3</f>
        <v>0</v>
      </c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ht="15" customHeight="1">
      <c r="A71" s="36"/>
      <c r="B71" s="36" t="s">
        <v>68</v>
      </c>
      <c r="C71" s="60">
        <f>36*3</f>
        <v>108</v>
      </c>
      <c r="D71" s="60">
        <f t="shared" si="15"/>
        <v>108</v>
      </c>
      <c r="E71" s="60">
        <f t="shared" ref="E71:N71" si="18">+D71</f>
        <v>108</v>
      </c>
      <c r="F71" s="60">
        <f t="shared" si="18"/>
        <v>108</v>
      </c>
      <c r="G71" s="60">
        <f t="shared" si="18"/>
        <v>108</v>
      </c>
      <c r="H71" s="60">
        <f t="shared" si="18"/>
        <v>108</v>
      </c>
      <c r="I71" s="60">
        <f t="shared" si="18"/>
        <v>108</v>
      </c>
      <c r="J71" s="60">
        <f t="shared" si="18"/>
        <v>108</v>
      </c>
      <c r="K71" s="60">
        <f t="shared" si="18"/>
        <v>108</v>
      </c>
      <c r="L71" s="60">
        <f t="shared" si="18"/>
        <v>108</v>
      </c>
      <c r="M71" s="60">
        <f t="shared" si="18"/>
        <v>108</v>
      </c>
      <c r="N71" s="60">
        <f t="shared" si="18"/>
        <v>108</v>
      </c>
      <c r="O71" s="36"/>
      <c r="P71" s="36"/>
      <c r="Q71" s="36" t="s">
        <v>69</v>
      </c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ht="15" customHeight="1">
      <c r="A72" s="36"/>
      <c r="B72" s="36" t="s">
        <v>70</v>
      </c>
      <c r="C72" s="60">
        <f>54*3</f>
        <v>162</v>
      </c>
      <c r="D72" s="60">
        <f t="shared" si="15"/>
        <v>162</v>
      </c>
      <c r="E72" s="60">
        <f t="shared" ref="E72:N72" si="19">+D72</f>
        <v>162</v>
      </c>
      <c r="F72" s="60">
        <f t="shared" si="19"/>
        <v>162</v>
      </c>
      <c r="G72" s="60">
        <f t="shared" si="19"/>
        <v>162</v>
      </c>
      <c r="H72" s="60">
        <f t="shared" si="19"/>
        <v>162</v>
      </c>
      <c r="I72" s="60">
        <f t="shared" si="19"/>
        <v>162</v>
      </c>
      <c r="J72" s="60">
        <f t="shared" si="19"/>
        <v>162</v>
      </c>
      <c r="K72" s="60">
        <f t="shared" si="19"/>
        <v>162</v>
      </c>
      <c r="L72" s="60">
        <f t="shared" si="19"/>
        <v>162</v>
      </c>
      <c r="M72" s="60">
        <f t="shared" si="19"/>
        <v>162</v>
      </c>
      <c r="N72" s="60">
        <f t="shared" si="19"/>
        <v>162</v>
      </c>
      <c r="O72" s="36"/>
      <c r="P72" s="36"/>
      <c r="Q72" s="36" t="s">
        <v>71</v>
      </c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ht="15" customHeight="1">
      <c r="A73" s="36"/>
      <c r="B73" s="36" t="s">
        <v>72</v>
      </c>
      <c r="C73" s="60">
        <v>144</v>
      </c>
      <c r="D73" s="60">
        <f t="shared" si="15"/>
        <v>144</v>
      </c>
      <c r="E73" s="60">
        <f t="shared" ref="E73:N73" si="20">+D73</f>
        <v>144</v>
      </c>
      <c r="F73" s="60">
        <f t="shared" si="20"/>
        <v>144</v>
      </c>
      <c r="G73" s="60">
        <f t="shared" si="20"/>
        <v>144</v>
      </c>
      <c r="H73" s="60">
        <f t="shared" si="20"/>
        <v>144</v>
      </c>
      <c r="I73" s="60">
        <f t="shared" si="20"/>
        <v>144</v>
      </c>
      <c r="J73" s="60">
        <f t="shared" si="20"/>
        <v>144</v>
      </c>
      <c r="K73" s="60">
        <f t="shared" si="20"/>
        <v>144</v>
      </c>
      <c r="L73" s="60">
        <f t="shared" si="20"/>
        <v>144</v>
      </c>
      <c r="M73" s="60">
        <f t="shared" si="20"/>
        <v>144</v>
      </c>
      <c r="N73" s="60">
        <f t="shared" si="20"/>
        <v>144</v>
      </c>
      <c r="O73" s="61"/>
      <c r="P73" s="61"/>
      <c r="Q73" s="36" t="s">
        <v>73</v>
      </c>
      <c r="R73" s="36"/>
      <c r="S73" s="36"/>
      <c r="T73" s="61">
        <f t="shared" ref="T73:T74" si="21">+O73</f>
        <v>0</v>
      </c>
      <c r="U73" s="61">
        <f>+T73+T74</f>
        <v>0</v>
      </c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ht="15" customHeight="1">
      <c r="A74" s="36"/>
      <c r="B74" s="36" t="s">
        <v>74</v>
      </c>
      <c r="C74" s="60">
        <v>159</v>
      </c>
      <c r="D74" s="60">
        <f t="shared" si="15"/>
        <v>159</v>
      </c>
      <c r="E74" s="60">
        <f t="shared" ref="E74:N74" si="22">+D74</f>
        <v>159</v>
      </c>
      <c r="F74" s="60">
        <f t="shared" si="22"/>
        <v>159</v>
      </c>
      <c r="G74" s="60">
        <f t="shared" si="22"/>
        <v>159</v>
      </c>
      <c r="H74" s="60">
        <f t="shared" si="22"/>
        <v>159</v>
      </c>
      <c r="I74" s="60">
        <f t="shared" si="22"/>
        <v>159</v>
      </c>
      <c r="J74" s="60">
        <f t="shared" si="22"/>
        <v>159</v>
      </c>
      <c r="K74" s="60">
        <f t="shared" si="22"/>
        <v>159</v>
      </c>
      <c r="L74" s="60">
        <f t="shared" si="22"/>
        <v>159</v>
      </c>
      <c r="M74" s="60">
        <f t="shared" si="22"/>
        <v>159</v>
      </c>
      <c r="N74" s="60">
        <f t="shared" si="22"/>
        <v>159</v>
      </c>
      <c r="O74" s="61"/>
      <c r="P74" s="61"/>
      <c r="Q74" s="36"/>
      <c r="R74" s="36"/>
      <c r="S74" s="36"/>
      <c r="T74" s="61">
        <f t="shared" si="21"/>
        <v>0</v>
      </c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ht="13.5" customHeight="1" thickBo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ht="13.5" customHeight="1" thickBot="1">
      <c r="A76" s="36"/>
      <c r="B76" s="62" t="s">
        <v>47</v>
      </c>
      <c r="C76" s="63">
        <f>SUM(C69:C75)</f>
        <v>732</v>
      </c>
      <c r="D76" s="63">
        <f t="shared" ref="D76:N76" si="23">SUM(D69:D75)</f>
        <v>732</v>
      </c>
      <c r="E76" s="63">
        <f t="shared" si="23"/>
        <v>732</v>
      </c>
      <c r="F76" s="63">
        <f t="shared" si="23"/>
        <v>732</v>
      </c>
      <c r="G76" s="63">
        <f t="shared" si="23"/>
        <v>732</v>
      </c>
      <c r="H76" s="63">
        <f t="shared" si="23"/>
        <v>732</v>
      </c>
      <c r="I76" s="63">
        <f t="shared" si="23"/>
        <v>732</v>
      </c>
      <c r="J76" s="63">
        <f t="shared" si="23"/>
        <v>732</v>
      </c>
      <c r="K76" s="63">
        <f t="shared" si="23"/>
        <v>732</v>
      </c>
      <c r="L76" s="63">
        <f t="shared" si="23"/>
        <v>732</v>
      </c>
      <c r="M76" s="63">
        <f t="shared" si="23"/>
        <v>732</v>
      </c>
      <c r="N76" s="63">
        <f t="shared" si="23"/>
        <v>732</v>
      </c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ht="12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ht="12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ht="30.75" customHeight="1" thickBot="1">
      <c r="A79" s="36"/>
      <c r="B79" s="41" t="s">
        <v>75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ht="15.75" customHeight="1">
      <c r="A80" s="36"/>
      <c r="B80" s="36" t="s">
        <v>76</v>
      </c>
      <c r="C80" s="504"/>
      <c r="D80" s="505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ht="15.75" customHeight="1">
      <c r="A81" s="36"/>
      <c r="B81" s="36"/>
      <c r="C81" s="58" t="s">
        <v>62</v>
      </c>
      <c r="D81" s="59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ht="15" customHeight="1">
      <c r="A82" s="36"/>
      <c r="B82" s="36" t="s">
        <v>64</v>
      </c>
      <c r="C82" s="64">
        <f>+C69/3</f>
        <v>35</v>
      </c>
      <c r="D82" s="64">
        <f t="shared" ref="D82:N82" si="24">+D69/3</f>
        <v>35</v>
      </c>
      <c r="E82" s="64">
        <f t="shared" si="24"/>
        <v>35</v>
      </c>
      <c r="F82" s="64">
        <f t="shared" si="24"/>
        <v>35</v>
      </c>
      <c r="G82" s="64">
        <f t="shared" si="24"/>
        <v>35</v>
      </c>
      <c r="H82" s="64">
        <f t="shared" si="24"/>
        <v>35</v>
      </c>
      <c r="I82" s="64">
        <f t="shared" si="24"/>
        <v>35</v>
      </c>
      <c r="J82" s="64">
        <f t="shared" si="24"/>
        <v>35</v>
      </c>
      <c r="K82" s="64">
        <f t="shared" si="24"/>
        <v>35</v>
      </c>
      <c r="L82" s="64">
        <f t="shared" si="24"/>
        <v>35</v>
      </c>
      <c r="M82" s="64">
        <f t="shared" si="24"/>
        <v>35</v>
      </c>
      <c r="N82" s="64">
        <f t="shared" si="24"/>
        <v>35</v>
      </c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ht="15" customHeight="1">
      <c r="A83" s="36"/>
      <c r="B83" s="36" t="s">
        <v>66</v>
      </c>
      <c r="C83" s="64">
        <f t="shared" ref="C83:C87" si="25">+C70/3</f>
        <v>18</v>
      </c>
      <c r="D83" s="64">
        <f t="shared" ref="D83:N83" si="26">+D70/3</f>
        <v>18</v>
      </c>
      <c r="E83" s="64">
        <f t="shared" si="26"/>
        <v>18</v>
      </c>
      <c r="F83" s="64">
        <f t="shared" si="26"/>
        <v>18</v>
      </c>
      <c r="G83" s="64">
        <f t="shared" si="26"/>
        <v>18</v>
      </c>
      <c r="H83" s="64">
        <f t="shared" si="26"/>
        <v>18</v>
      </c>
      <c r="I83" s="64">
        <f t="shared" si="26"/>
        <v>18</v>
      </c>
      <c r="J83" s="64">
        <f t="shared" si="26"/>
        <v>18</v>
      </c>
      <c r="K83" s="64">
        <f t="shared" si="26"/>
        <v>18</v>
      </c>
      <c r="L83" s="64">
        <f t="shared" si="26"/>
        <v>18</v>
      </c>
      <c r="M83" s="64">
        <f t="shared" si="26"/>
        <v>18</v>
      </c>
      <c r="N83" s="64">
        <f t="shared" si="26"/>
        <v>18</v>
      </c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ht="15" customHeight="1">
      <c r="A84" s="36"/>
      <c r="B84" s="36" t="s">
        <v>68</v>
      </c>
      <c r="C84" s="64">
        <f t="shared" si="25"/>
        <v>36</v>
      </c>
      <c r="D84" s="64">
        <f t="shared" ref="D84:N84" si="27">+D71/3</f>
        <v>36</v>
      </c>
      <c r="E84" s="64">
        <f t="shared" si="27"/>
        <v>36</v>
      </c>
      <c r="F84" s="64">
        <f t="shared" si="27"/>
        <v>36</v>
      </c>
      <c r="G84" s="64">
        <f t="shared" si="27"/>
        <v>36</v>
      </c>
      <c r="H84" s="64">
        <f t="shared" si="27"/>
        <v>36</v>
      </c>
      <c r="I84" s="64">
        <f t="shared" si="27"/>
        <v>36</v>
      </c>
      <c r="J84" s="64">
        <f t="shared" si="27"/>
        <v>36</v>
      </c>
      <c r="K84" s="64">
        <f t="shared" si="27"/>
        <v>36</v>
      </c>
      <c r="L84" s="64">
        <f t="shared" si="27"/>
        <v>36</v>
      </c>
      <c r="M84" s="64">
        <f t="shared" si="27"/>
        <v>36</v>
      </c>
      <c r="N84" s="64">
        <f t="shared" si="27"/>
        <v>36</v>
      </c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ht="15" customHeight="1">
      <c r="A85" s="36"/>
      <c r="B85" s="36" t="s">
        <v>70</v>
      </c>
      <c r="C85" s="64">
        <f t="shared" si="25"/>
        <v>54</v>
      </c>
      <c r="D85" s="64">
        <f t="shared" ref="D85:N85" si="28">+D72/3</f>
        <v>54</v>
      </c>
      <c r="E85" s="64">
        <f t="shared" si="28"/>
        <v>54</v>
      </c>
      <c r="F85" s="64">
        <f t="shared" si="28"/>
        <v>54</v>
      </c>
      <c r="G85" s="64">
        <f t="shared" si="28"/>
        <v>54</v>
      </c>
      <c r="H85" s="64">
        <f t="shared" si="28"/>
        <v>54</v>
      </c>
      <c r="I85" s="64">
        <f t="shared" si="28"/>
        <v>54</v>
      </c>
      <c r="J85" s="64">
        <f t="shared" si="28"/>
        <v>54</v>
      </c>
      <c r="K85" s="64">
        <f t="shared" si="28"/>
        <v>54</v>
      </c>
      <c r="L85" s="64">
        <f t="shared" si="28"/>
        <v>54</v>
      </c>
      <c r="M85" s="64">
        <f t="shared" si="28"/>
        <v>54</v>
      </c>
      <c r="N85" s="64">
        <f t="shared" si="28"/>
        <v>54</v>
      </c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ht="15" customHeight="1">
      <c r="A86" s="36"/>
      <c r="B86" s="36" t="s">
        <v>72</v>
      </c>
      <c r="C86" s="64">
        <f t="shared" si="25"/>
        <v>48</v>
      </c>
      <c r="D86" s="64">
        <f t="shared" ref="D86:N86" si="29">+D73/3</f>
        <v>48</v>
      </c>
      <c r="E86" s="64">
        <f t="shared" si="29"/>
        <v>48</v>
      </c>
      <c r="F86" s="64">
        <f t="shared" si="29"/>
        <v>48</v>
      </c>
      <c r="G86" s="64">
        <f t="shared" si="29"/>
        <v>48</v>
      </c>
      <c r="H86" s="64">
        <f t="shared" si="29"/>
        <v>48</v>
      </c>
      <c r="I86" s="64">
        <f t="shared" si="29"/>
        <v>48</v>
      </c>
      <c r="J86" s="64">
        <f t="shared" si="29"/>
        <v>48</v>
      </c>
      <c r="K86" s="64">
        <f t="shared" si="29"/>
        <v>48</v>
      </c>
      <c r="L86" s="64">
        <f t="shared" si="29"/>
        <v>48</v>
      </c>
      <c r="M86" s="64">
        <f t="shared" si="29"/>
        <v>48</v>
      </c>
      <c r="N86" s="64">
        <f t="shared" si="29"/>
        <v>48</v>
      </c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ht="15" customHeight="1">
      <c r="A87" s="36"/>
      <c r="B87" s="36" t="s">
        <v>74</v>
      </c>
      <c r="C87" s="64">
        <f t="shared" si="25"/>
        <v>53</v>
      </c>
      <c r="D87" s="64">
        <f t="shared" ref="D87:N87" si="30">+D74/3</f>
        <v>53</v>
      </c>
      <c r="E87" s="64">
        <f t="shared" si="30"/>
        <v>53</v>
      </c>
      <c r="F87" s="64">
        <f t="shared" si="30"/>
        <v>53</v>
      </c>
      <c r="G87" s="64">
        <f t="shared" si="30"/>
        <v>53</v>
      </c>
      <c r="H87" s="64">
        <f t="shared" si="30"/>
        <v>53</v>
      </c>
      <c r="I87" s="64">
        <f t="shared" si="30"/>
        <v>53</v>
      </c>
      <c r="J87" s="64">
        <f t="shared" si="30"/>
        <v>53</v>
      </c>
      <c r="K87" s="64">
        <f t="shared" si="30"/>
        <v>53</v>
      </c>
      <c r="L87" s="64">
        <f t="shared" si="30"/>
        <v>53</v>
      </c>
      <c r="M87" s="64">
        <f t="shared" si="30"/>
        <v>53</v>
      </c>
      <c r="N87" s="64">
        <f t="shared" si="30"/>
        <v>53</v>
      </c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ht="13.5" customHeight="1" thickBo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ht="13.5" customHeight="1" thickBot="1">
      <c r="A89" s="36"/>
      <c r="B89" s="62" t="s">
        <v>47</v>
      </c>
      <c r="C89" s="65">
        <f>SUM(C82:C88)</f>
        <v>244</v>
      </c>
      <c r="D89" s="65">
        <f t="shared" ref="D89:N89" si="31">SUM(D82:D88)</f>
        <v>244</v>
      </c>
      <c r="E89" s="65">
        <f t="shared" si="31"/>
        <v>244</v>
      </c>
      <c r="F89" s="65">
        <f t="shared" si="31"/>
        <v>244</v>
      </c>
      <c r="G89" s="65">
        <f t="shared" si="31"/>
        <v>244</v>
      </c>
      <c r="H89" s="65">
        <f t="shared" si="31"/>
        <v>244</v>
      </c>
      <c r="I89" s="65">
        <f t="shared" si="31"/>
        <v>244</v>
      </c>
      <c r="J89" s="65">
        <f t="shared" si="31"/>
        <v>244</v>
      </c>
      <c r="K89" s="65">
        <f t="shared" si="31"/>
        <v>244</v>
      </c>
      <c r="L89" s="65">
        <f t="shared" si="31"/>
        <v>244</v>
      </c>
      <c r="M89" s="65">
        <f t="shared" si="31"/>
        <v>244</v>
      </c>
      <c r="N89" s="65">
        <f t="shared" si="31"/>
        <v>244</v>
      </c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ht="12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ht="12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ht="30" customHeight="1">
      <c r="A92" s="36"/>
      <c r="B92" s="41" t="s">
        <v>77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ht="12.75" customHeight="1">
      <c r="A93" s="36"/>
      <c r="B93" s="36" t="s">
        <v>78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 t="s">
        <v>79</v>
      </c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ht="12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ht="29.25" customHeight="1">
      <c r="A95" s="36"/>
      <c r="B95" s="36" t="s">
        <v>80</v>
      </c>
      <c r="C95" s="221">
        <f>+C104</f>
        <v>0.75</v>
      </c>
      <c r="D95" s="221">
        <f t="shared" ref="D95:N95" si="32">+D104</f>
        <v>0.76</v>
      </c>
      <c r="E95" s="221">
        <f t="shared" si="32"/>
        <v>0.65344086021505376</v>
      </c>
      <c r="F95" s="221">
        <f t="shared" si="32"/>
        <v>0.36888888888888888</v>
      </c>
      <c r="G95" s="221">
        <f t="shared" si="32"/>
        <v>0.2499851687059696</v>
      </c>
      <c r="H95" s="221">
        <f t="shared" si="32"/>
        <v>0.18628352490421457</v>
      </c>
      <c r="I95" s="221">
        <f t="shared" si="32"/>
        <v>0.35709677419354841</v>
      </c>
      <c r="J95" s="221">
        <f t="shared" si="32"/>
        <v>0.27023655913978495</v>
      </c>
      <c r="K95" s="221">
        <f t="shared" si="32"/>
        <v>9.1466666666666668E-2</v>
      </c>
      <c r="L95" s="221">
        <f t="shared" si="32"/>
        <v>0</v>
      </c>
      <c r="M95" s="221">
        <f t="shared" si="32"/>
        <v>0.45566666666666661</v>
      </c>
      <c r="N95" s="221">
        <f t="shared" si="32"/>
        <v>0.65774999999999995</v>
      </c>
      <c r="O95" s="66"/>
      <c r="P95" s="36"/>
      <c r="Q95" s="36" t="s">
        <v>1</v>
      </c>
      <c r="R95" s="36"/>
      <c r="S95" s="36"/>
      <c r="T95" s="36"/>
      <c r="U95" s="36"/>
      <c r="V95" s="36" t="s">
        <v>217</v>
      </c>
      <c r="W95" s="36"/>
      <c r="X95" s="36"/>
      <c r="Y95" s="36"/>
      <c r="Z95" s="36"/>
      <c r="AA95" s="36" t="s">
        <v>186</v>
      </c>
      <c r="AB95" s="36"/>
      <c r="AC95" s="36"/>
      <c r="AD95" s="36"/>
    </row>
    <row r="96" spans="1:30" ht="18.75" customHeight="1">
      <c r="A96" s="36"/>
      <c r="B96" s="48" t="s">
        <v>50</v>
      </c>
      <c r="C96" s="49" t="s">
        <v>13</v>
      </c>
      <c r="D96" s="49" t="s">
        <v>14</v>
      </c>
      <c r="E96" s="49" t="s">
        <v>15</v>
      </c>
      <c r="F96" s="49" t="s">
        <v>16</v>
      </c>
      <c r="G96" s="49" t="s">
        <v>51</v>
      </c>
      <c r="H96" s="49" t="s">
        <v>18</v>
      </c>
      <c r="I96" s="49" t="s">
        <v>19</v>
      </c>
      <c r="J96" s="49" t="s">
        <v>20</v>
      </c>
      <c r="K96" s="49" t="s">
        <v>21</v>
      </c>
      <c r="L96" s="49" t="s">
        <v>22</v>
      </c>
      <c r="M96" s="49" t="s">
        <v>23</v>
      </c>
      <c r="N96" s="49" t="s">
        <v>24</v>
      </c>
      <c r="O96" s="49" t="s">
        <v>25</v>
      </c>
      <c r="P96" s="36"/>
      <c r="Q96" s="218" t="s">
        <v>214</v>
      </c>
      <c r="R96" s="316" t="s">
        <v>215</v>
      </c>
      <c r="S96" s="218" t="s">
        <v>216</v>
      </c>
      <c r="T96" s="218" t="s">
        <v>218</v>
      </c>
      <c r="U96" s="36"/>
      <c r="V96" s="36" t="s">
        <v>214</v>
      </c>
      <c r="W96" s="264" t="s">
        <v>215</v>
      </c>
      <c r="X96" s="36" t="s">
        <v>216</v>
      </c>
      <c r="Y96" s="36" t="s">
        <v>219</v>
      </c>
      <c r="Z96" s="36"/>
      <c r="AA96" s="36" t="s">
        <v>214</v>
      </c>
      <c r="AB96" s="264" t="s">
        <v>215</v>
      </c>
      <c r="AC96" s="36" t="s">
        <v>216</v>
      </c>
      <c r="AD96" s="36" t="s">
        <v>33</v>
      </c>
    </row>
    <row r="97" spans="1:30" ht="12.75" customHeight="1">
      <c r="A97" s="36"/>
      <c r="B97" s="50" t="s">
        <v>41</v>
      </c>
      <c r="C97" s="67">
        <v>167.4</v>
      </c>
      <c r="D97" s="67">
        <v>139.6</v>
      </c>
      <c r="E97" s="67">
        <v>124.5</v>
      </c>
      <c r="F97" s="67">
        <v>93</v>
      </c>
      <c r="G97" s="67">
        <v>47.9</v>
      </c>
      <c r="H97" s="67">
        <v>27</v>
      </c>
      <c r="I97" s="67">
        <v>46.5</v>
      </c>
      <c r="J97" s="67">
        <v>37.200000000000003</v>
      </c>
      <c r="K97" s="67">
        <v>11.52</v>
      </c>
      <c r="L97" s="67">
        <v>0</v>
      </c>
      <c r="M97" s="67">
        <v>72</v>
      </c>
      <c r="N97" s="67">
        <v>120.9</v>
      </c>
      <c r="O97" s="67">
        <f t="shared" ref="O97:O103" si="33">SUM(C97:N97)</f>
        <v>887.52</v>
      </c>
      <c r="P97" s="36" t="s">
        <v>81</v>
      </c>
      <c r="Q97" s="222">
        <f>+C97+D97+E97+F97+N97</f>
        <v>645.4</v>
      </c>
      <c r="R97" s="222">
        <f>+G97+H97+I97+J97+M97</f>
        <v>230.60000000000002</v>
      </c>
      <c r="S97" s="222">
        <f>+L97+K97</f>
        <v>11.52</v>
      </c>
      <c r="T97" s="218">
        <f>SUM(Q97:S97)</f>
        <v>887.52</v>
      </c>
      <c r="U97" s="36"/>
      <c r="V97" s="312">
        <f>+C153+D153+E153+F153+N153</f>
        <v>401789.54200000002</v>
      </c>
      <c r="W97" s="312">
        <f>+G153+H153+I153+J153+M153</f>
        <v>116153.00400000002</v>
      </c>
      <c r="X97" s="312">
        <f>+K153+L153</f>
        <v>5393.2031999999999</v>
      </c>
      <c r="Y97" s="71">
        <f t="shared" ref="Y97:Y102" si="34">SUM(V97:X97)</f>
        <v>523335.74920000002</v>
      </c>
      <c r="Z97" s="36"/>
      <c r="AA97" s="255">
        <f>+V97/Q97</f>
        <v>622.54344902386117</v>
      </c>
      <c r="AB97" s="255">
        <f t="shared" ref="AB97" si="35">+W97/R97</f>
        <v>503.6990633130963</v>
      </c>
      <c r="AC97" s="255">
        <f t="shared" ref="AC97:AD99" si="36">+X97/S97</f>
        <v>468.16</v>
      </c>
      <c r="AD97" s="255">
        <f t="shared" si="36"/>
        <v>589.66079547503159</v>
      </c>
    </row>
    <row r="98" spans="1:30" ht="12.75" customHeight="1">
      <c r="A98" s="36"/>
      <c r="B98" s="50" t="s">
        <v>42</v>
      </c>
      <c r="C98" s="67">
        <v>55.800000000000004</v>
      </c>
      <c r="D98" s="67">
        <v>68.199999999999989</v>
      </c>
      <c r="E98" s="67">
        <v>55.800000000000004</v>
      </c>
      <c r="F98" s="67">
        <v>21</v>
      </c>
      <c r="G98" s="67">
        <v>19.017241379310345</v>
      </c>
      <c r="H98" s="67">
        <v>9.8275862068965534</v>
      </c>
      <c r="I98" s="67">
        <v>21.7</v>
      </c>
      <c r="J98" s="67">
        <v>22.32</v>
      </c>
      <c r="K98" s="67">
        <v>9.6</v>
      </c>
      <c r="L98" s="67">
        <v>0</v>
      </c>
      <c r="M98" s="67">
        <v>43.47</v>
      </c>
      <c r="N98" s="67">
        <v>52.699999999999996</v>
      </c>
      <c r="O98" s="67">
        <f t="shared" si="33"/>
        <v>379.43482758620695</v>
      </c>
      <c r="P98" s="36"/>
      <c r="Q98" s="222">
        <f t="shared" ref="Q98:Q100" si="37">+C98+D98+E98+F98+N98</f>
        <v>253.5</v>
      </c>
      <c r="R98" s="222">
        <f t="shared" ref="R98:R101" si="38">+G98+H98+I98+J98+M98</f>
        <v>116.3348275862069</v>
      </c>
      <c r="S98" s="222">
        <f t="shared" ref="S98:S101" si="39">+L98+K98</f>
        <v>9.6</v>
      </c>
      <c r="T98" s="218">
        <f t="shared" ref="T98:T101" si="40">SUM(Q98:S98)</f>
        <v>379.43482758620689</v>
      </c>
      <c r="U98" s="36"/>
      <c r="V98" s="312">
        <f t="shared" ref="V98:V103" si="41">+C154+D154+E154+F154+N154</f>
        <v>146001.96600000001</v>
      </c>
      <c r="W98" s="312">
        <f t="shared" ref="W98:W103" si="42">+G154+H154+I154+J154+M154</f>
        <v>53859.364862068971</v>
      </c>
      <c r="X98" s="312">
        <f t="shared" ref="X98:X103" si="43">+K154+L154</f>
        <v>4133.1840000000002</v>
      </c>
      <c r="Y98" s="71">
        <f t="shared" si="34"/>
        <v>203994.51486206899</v>
      </c>
      <c r="Z98" s="36"/>
      <c r="AA98" s="255">
        <f t="shared" ref="AA98:AA102" si="44">+V98/Q98</f>
        <v>575.94463905325449</v>
      </c>
      <c r="AB98" s="255">
        <f t="shared" ref="AB98:AB102" si="45">+W98/R98</f>
        <v>462.96853641836441</v>
      </c>
      <c r="AC98" s="255">
        <f t="shared" si="36"/>
        <v>430.54</v>
      </c>
      <c r="AD98" s="255">
        <f t="shared" si="36"/>
        <v>537.62728150125281</v>
      </c>
    </row>
    <row r="99" spans="1:30" ht="12.75" customHeight="1">
      <c r="A99" s="36"/>
      <c r="B99" s="50" t="s">
        <v>43</v>
      </c>
      <c r="C99" s="67">
        <v>111.60000000000001</v>
      </c>
      <c r="D99" s="67">
        <v>99.399999999999991</v>
      </c>
      <c r="E99" s="67">
        <v>96.600000000000009</v>
      </c>
      <c r="F99" s="67">
        <v>36</v>
      </c>
      <c r="G99" s="67">
        <v>31</v>
      </c>
      <c r="H99" s="67">
        <v>22</v>
      </c>
      <c r="I99" s="67">
        <v>55.4</v>
      </c>
      <c r="J99" s="67">
        <v>40.72</v>
      </c>
      <c r="K99" s="67">
        <v>14.399999999999999</v>
      </c>
      <c r="L99" s="67">
        <v>0</v>
      </c>
      <c r="M99" s="67">
        <v>49.68</v>
      </c>
      <c r="N99" s="67">
        <v>89.16</v>
      </c>
      <c r="O99" s="67">
        <f t="shared" si="33"/>
        <v>645.95999999999992</v>
      </c>
      <c r="P99" s="36" t="s">
        <v>82</v>
      </c>
      <c r="Q99" s="222">
        <f t="shared" si="37"/>
        <v>432.76</v>
      </c>
      <c r="R99" s="222">
        <f t="shared" si="38"/>
        <v>198.8</v>
      </c>
      <c r="S99" s="222">
        <f t="shared" si="39"/>
        <v>14.399999999999999</v>
      </c>
      <c r="T99" s="218">
        <f t="shared" si="40"/>
        <v>645.95999999999992</v>
      </c>
      <c r="U99" s="36"/>
      <c r="V99" s="312">
        <f t="shared" si="41"/>
        <v>201170.69280000002</v>
      </c>
      <c r="W99" s="312">
        <f t="shared" si="42"/>
        <v>72711.601600000009</v>
      </c>
      <c r="X99" s="312">
        <f t="shared" si="43"/>
        <v>4875.5519999999997</v>
      </c>
      <c r="Y99" s="71">
        <f t="shared" si="34"/>
        <v>278757.84640000004</v>
      </c>
      <c r="Z99" s="36"/>
      <c r="AA99" s="255">
        <f t="shared" si="44"/>
        <v>464.85509936223315</v>
      </c>
      <c r="AB99" s="255">
        <f t="shared" si="45"/>
        <v>365.752523138833</v>
      </c>
      <c r="AC99" s="255">
        <f t="shared" si="36"/>
        <v>338.58</v>
      </c>
      <c r="AD99" s="255">
        <f t="shared" si="36"/>
        <v>431.5404148863708</v>
      </c>
    </row>
    <row r="100" spans="1:30" ht="12.75" customHeight="1">
      <c r="A100" s="36"/>
      <c r="B100" s="50" t="s">
        <v>44</v>
      </c>
      <c r="C100" s="67">
        <v>188.4</v>
      </c>
      <c r="D100" s="67">
        <v>184.20000000000002</v>
      </c>
      <c r="E100" s="67">
        <v>178.4</v>
      </c>
      <c r="F100" s="67">
        <v>56</v>
      </c>
      <c r="G100" s="67">
        <v>64.482758620689651</v>
      </c>
      <c r="H100" s="67">
        <v>40.03448275862069</v>
      </c>
      <c r="I100" s="67">
        <v>62</v>
      </c>
      <c r="J100" s="67">
        <v>69.44</v>
      </c>
      <c r="K100" s="67">
        <v>19.2</v>
      </c>
      <c r="L100" s="67">
        <v>0</v>
      </c>
      <c r="M100" s="67">
        <v>67.8</v>
      </c>
      <c r="N100" s="67">
        <v>133.68</v>
      </c>
      <c r="O100" s="67">
        <f t="shared" si="33"/>
        <v>1063.6372413793104</v>
      </c>
      <c r="P100" s="36"/>
      <c r="Q100" s="222">
        <f t="shared" si="37"/>
        <v>740.68000000000006</v>
      </c>
      <c r="R100" s="222">
        <f t="shared" si="38"/>
        <v>303.75724137931036</v>
      </c>
      <c r="S100" s="222">
        <f t="shared" si="39"/>
        <v>19.2</v>
      </c>
      <c r="T100" s="218">
        <f t="shared" si="40"/>
        <v>1063.6372413793104</v>
      </c>
      <c r="U100" s="36"/>
      <c r="V100" s="312">
        <f t="shared" si="41"/>
        <v>308501.55600000004</v>
      </c>
      <c r="W100" s="312">
        <f t="shared" si="42"/>
        <v>99173.100248275878</v>
      </c>
      <c r="X100" s="312">
        <f t="shared" si="43"/>
        <v>5778.4320000000007</v>
      </c>
      <c r="Y100" s="71">
        <f t="shared" si="34"/>
        <v>413453.08824827592</v>
      </c>
      <c r="Z100" s="36"/>
      <c r="AA100" s="255">
        <f t="shared" si="44"/>
        <v>416.5112545228709</v>
      </c>
      <c r="AB100" s="255">
        <f t="shared" si="45"/>
        <v>326.4880198343505</v>
      </c>
      <c r="AC100" s="255"/>
      <c r="AD100" s="255">
        <f t="shared" ref="AD100:AD102" si="46">+Y100/T100</f>
        <v>388.71625791526026</v>
      </c>
    </row>
    <row r="101" spans="1:30" ht="12.75" customHeight="1">
      <c r="A101" s="36"/>
      <c r="B101" s="50" t="s">
        <v>45</v>
      </c>
      <c r="C101" s="67">
        <v>93</v>
      </c>
      <c r="D101" s="67">
        <v>91</v>
      </c>
      <c r="E101" s="67">
        <v>78</v>
      </c>
      <c r="F101" s="67">
        <v>62.5</v>
      </c>
      <c r="G101" s="67">
        <v>30.043103448275865</v>
      </c>
      <c r="H101" s="67">
        <v>39.396551724137936</v>
      </c>
      <c r="I101" s="67">
        <v>82.25</v>
      </c>
      <c r="J101" s="67">
        <v>43.199999999999996</v>
      </c>
      <c r="K101" s="67">
        <v>14.4</v>
      </c>
      <c r="L101" s="67">
        <v>0</v>
      </c>
      <c r="M101" s="67">
        <v>105.22499999999998</v>
      </c>
      <c r="N101" s="67">
        <v>100.75</v>
      </c>
      <c r="O101" s="67">
        <f t="shared" si="33"/>
        <v>739.76465517241388</v>
      </c>
      <c r="P101" s="36" t="s">
        <v>78</v>
      </c>
      <c r="Q101" s="222">
        <f>+C101+D101+E101+F101+N101</f>
        <v>425.25</v>
      </c>
      <c r="R101" s="222">
        <f t="shared" si="38"/>
        <v>300.11465517241379</v>
      </c>
      <c r="S101" s="222">
        <f t="shared" si="39"/>
        <v>14.4</v>
      </c>
      <c r="T101" s="218">
        <f t="shared" si="40"/>
        <v>739.76465517241377</v>
      </c>
      <c r="U101" s="36"/>
      <c r="V101" s="312">
        <f t="shared" si="41"/>
        <v>369861.03</v>
      </c>
      <c r="W101" s="312">
        <f t="shared" si="42"/>
        <v>216894.8272586207</v>
      </c>
      <c r="X101" s="312">
        <f t="shared" si="43"/>
        <v>9751.1040000000012</v>
      </c>
      <c r="Y101" s="71">
        <f t="shared" si="34"/>
        <v>596506.96125862072</v>
      </c>
      <c r="Z101" s="36"/>
      <c r="AA101" s="255">
        <f t="shared" si="44"/>
        <v>869.74962962962968</v>
      </c>
      <c r="AB101" s="255">
        <f t="shared" si="45"/>
        <v>722.70655071481303</v>
      </c>
      <c r="AC101" s="255"/>
      <c r="AD101" s="255">
        <f t="shared" si="46"/>
        <v>806.34693356577759</v>
      </c>
    </row>
    <row r="102" spans="1:30" ht="12.75" customHeight="1" thickBot="1">
      <c r="A102" s="36"/>
      <c r="B102" s="50" t="s">
        <v>46</v>
      </c>
      <c r="C102" s="67">
        <v>81.3</v>
      </c>
      <c r="D102" s="67">
        <v>56</v>
      </c>
      <c r="E102" s="67">
        <v>74.399999999999991</v>
      </c>
      <c r="F102" s="67">
        <v>63.5</v>
      </c>
      <c r="G102" s="67">
        <v>40.043103448275865</v>
      </c>
      <c r="H102" s="67">
        <v>29.396551724137932</v>
      </c>
      <c r="I102" s="67">
        <v>64.25</v>
      </c>
      <c r="J102" s="67">
        <v>38.44</v>
      </c>
      <c r="K102" s="67">
        <v>13.2</v>
      </c>
      <c r="L102" s="67">
        <v>0</v>
      </c>
      <c r="M102" s="67">
        <v>71.924999999999997</v>
      </c>
      <c r="N102" s="67">
        <v>114.5175</v>
      </c>
      <c r="O102" s="67">
        <f t="shared" si="33"/>
        <v>646.97215517241375</v>
      </c>
      <c r="P102" s="36"/>
      <c r="Q102" s="222">
        <f>+C102+D102+E102+F102+N102</f>
        <v>389.71749999999997</v>
      </c>
      <c r="R102" s="222">
        <f t="shared" ref="R102" si="47">+G102+H102+I102+J102+M102</f>
        <v>244.05465517241379</v>
      </c>
      <c r="S102" s="222">
        <f t="shared" ref="S102" si="48">+L102+K102</f>
        <v>13.2</v>
      </c>
      <c r="T102" s="218">
        <f t="shared" ref="T102" si="49">SUM(Q102:S102)</f>
        <v>646.97215517241375</v>
      </c>
      <c r="U102" s="36"/>
      <c r="V102" s="312">
        <f t="shared" si="41"/>
        <v>379259.70565999998</v>
      </c>
      <c r="W102" s="312">
        <f t="shared" si="42"/>
        <v>199047.15838965517</v>
      </c>
      <c r="X102" s="312">
        <f t="shared" si="43"/>
        <v>10042.032000000001</v>
      </c>
      <c r="Y102" s="71">
        <f t="shared" si="34"/>
        <v>588348.89604965516</v>
      </c>
      <c r="Z102" s="36"/>
      <c r="AA102" s="255">
        <f t="shared" si="44"/>
        <v>973.16570505558514</v>
      </c>
      <c r="AB102" s="255">
        <f t="shared" si="45"/>
        <v>815.58435445141242</v>
      </c>
      <c r="AC102" s="255"/>
      <c r="AD102" s="255">
        <f t="shared" si="46"/>
        <v>909.38828100393926</v>
      </c>
    </row>
    <row r="103" spans="1:30" ht="12.75" customHeight="1" thickBot="1">
      <c r="A103" s="36"/>
      <c r="B103" s="36" t="s">
        <v>25</v>
      </c>
      <c r="C103" s="68">
        <f t="shared" ref="C103:N103" si="50">SUM(C97:C102)</f>
        <v>697.5</v>
      </c>
      <c r="D103" s="68">
        <f t="shared" si="50"/>
        <v>638.4</v>
      </c>
      <c r="E103" s="68">
        <f t="shared" si="50"/>
        <v>607.70000000000005</v>
      </c>
      <c r="F103" s="68">
        <f t="shared" si="50"/>
        <v>332</v>
      </c>
      <c r="G103" s="68">
        <f t="shared" si="50"/>
        <v>232.48620689655172</v>
      </c>
      <c r="H103" s="68">
        <f t="shared" si="50"/>
        <v>167.65517241379311</v>
      </c>
      <c r="I103" s="68">
        <f t="shared" si="50"/>
        <v>332.1</v>
      </c>
      <c r="J103" s="68">
        <f t="shared" si="50"/>
        <v>251.32</v>
      </c>
      <c r="K103" s="68">
        <f t="shared" si="50"/>
        <v>82.320000000000007</v>
      </c>
      <c r="L103" s="68">
        <f t="shared" si="50"/>
        <v>0</v>
      </c>
      <c r="M103" s="68">
        <f t="shared" si="50"/>
        <v>410.09999999999997</v>
      </c>
      <c r="N103" s="68">
        <f t="shared" si="50"/>
        <v>611.70749999999998</v>
      </c>
      <c r="O103" s="68">
        <f t="shared" si="33"/>
        <v>4363.2888793103448</v>
      </c>
      <c r="P103" s="36"/>
      <c r="Q103" s="218">
        <f>SUM(Q97:Q102)</f>
        <v>2887.3074999999999</v>
      </c>
      <c r="R103" s="218">
        <f t="shared" ref="R103:T103" si="51">SUM(R97:R102)</f>
        <v>1393.6613793103447</v>
      </c>
      <c r="S103" s="218">
        <f t="shared" si="51"/>
        <v>82.320000000000007</v>
      </c>
      <c r="T103" s="218">
        <f t="shared" si="51"/>
        <v>4363.2888793103448</v>
      </c>
      <c r="U103" s="36"/>
      <c r="V103" s="313">
        <f t="shared" si="41"/>
        <v>1806584.4924600001</v>
      </c>
      <c r="W103" s="314">
        <f t="shared" si="42"/>
        <v>757839.05635862076</v>
      </c>
      <c r="X103" s="314">
        <f t="shared" si="43"/>
        <v>39973.5072</v>
      </c>
      <c r="Y103" s="315">
        <f>SUM(Y97:Y102)</f>
        <v>2604397.0560186207</v>
      </c>
      <c r="Z103" s="36"/>
      <c r="AA103" s="309">
        <f>+V103/Q103</f>
        <v>625.6986803310698</v>
      </c>
      <c r="AB103" s="310">
        <f>+W103/R103</f>
        <v>543.77560260272014</v>
      </c>
      <c r="AC103" s="310">
        <f>+X103/S103</f>
        <v>485.58682215743437</v>
      </c>
      <c r="AD103" s="311">
        <f>+Y103/T103</f>
        <v>596.88852332652982</v>
      </c>
    </row>
    <row r="104" spans="1:30" ht="20.25" customHeight="1">
      <c r="A104" s="36"/>
      <c r="B104" s="36"/>
      <c r="C104" s="16">
        <f t="shared" ref="C104:N104" si="52">+C103/C32</f>
        <v>0.75</v>
      </c>
      <c r="D104" s="16">
        <f t="shared" si="52"/>
        <v>0.76</v>
      </c>
      <c r="E104" s="16">
        <f t="shared" si="52"/>
        <v>0.65344086021505376</v>
      </c>
      <c r="F104" s="16">
        <f t="shared" si="52"/>
        <v>0.36888888888888888</v>
      </c>
      <c r="G104" s="16">
        <f t="shared" si="52"/>
        <v>0.2499851687059696</v>
      </c>
      <c r="H104" s="16">
        <f t="shared" si="52"/>
        <v>0.18628352490421457</v>
      </c>
      <c r="I104" s="16">
        <f t="shared" si="52"/>
        <v>0.35709677419354841</v>
      </c>
      <c r="J104" s="16">
        <f t="shared" si="52"/>
        <v>0.27023655913978495</v>
      </c>
      <c r="K104" s="16">
        <f t="shared" si="52"/>
        <v>9.1466666666666668E-2</v>
      </c>
      <c r="L104" s="16"/>
      <c r="M104" s="16">
        <f t="shared" si="52"/>
        <v>0.45566666666666661</v>
      </c>
      <c r="N104" s="16">
        <f t="shared" si="52"/>
        <v>0.65774999999999995</v>
      </c>
      <c r="O104" s="69">
        <f>+O103/O32</f>
        <v>0.43545797198706038</v>
      </c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272">
        <f>(AA103-AD103)/AD103</f>
        <v>4.8267232286487244E-2</v>
      </c>
      <c r="AB104" s="272">
        <f>(AB103-AD103)/AD103</f>
        <v>-8.8982981994368285E-2</v>
      </c>
      <c r="AC104" s="272">
        <f>(AC103-AD103)/AD103</f>
        <v>-0.1864698294897647</v>
      </c>
      <c r="AD104" s="36"/>
    </row>
    <row r="105" spans="1:30" ht="12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ht="12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17"/>
      <c r="AB106" s="36"/>
      <c r="AC106" s="36"/>
      <c r="AD106" s="36"/>
    </row>
    <row r="107" spans="1:30" ht="30" customHeight="1">
      <c r="A107" s="36"/>
      <c r="B107" s="41" t="s">
        <v>83</v>
      </c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272"/>
      <c r="AB107" s="36"/>
      <c r="AC107" s="36"/>
      <c r="AD107" s="36"/>
    </row>
    <row r="108" spans="1:30" ht="12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ht="12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ht="12.75" customHeight="1">
      <c r="A110" s="36"/>
      <c r="B110" s="36" t="s">
        <v>80</v>
      </c>
      <c r="C110" s="66">
        <f t="shared" ref="C110:N110" si="53">+C95</f>
        <v>0.75</v>
      </c>
      <c r="D110" s="66">
        <f t="shared" si="53"/>
        <v>0.76</v>
      </c>
      <c r="E110" s="66">
        <f t="shared" si="53"/>
        <v>0.65344086021505376</v>
      </c>
      <c r="F110" s="66">
        <f t="shared" si="53"/>
        <v>0.36888888888888888</v>
      </c>
      <c r="G110" s="66">
        <f t="shared" si="53"/>
        <v>0.2499851687059696</v>
      </c>
      <c r="H110" s="66">
        <f t="shared" si="53"/>
        <v>0.18628352490421457</v>
      </c>
      <c r="I110" s="66">
        <f t="shared" si="53"/>
        <v>0.35709677419354841</v>
      </c>
      <c r="J110" s="66">
        <f t="shared" si="53"/>
        <v>0.27023655913978495</v>
      </c>
      <c r="K110" s="66">
        <f t="shared" si="53"/>
        <v>9.1466666666666668E-2</v>
      </c>
      <c r="L110" s="66">
        <f t="shared" si="53"/>
        <v>0</v>
      </c>
      <c r="M110" s="66">
        <f t="shared" si="53"/>
        <v>0.45566666666666661</v>
      </c>
      <c r="N110" s="66">
        <f t="shared" si="53"/>
        <v>0.65774999999999995</v>
      </c>
      <c r="O110" s="6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ht="18.75" customHeight="1">
      <c r="A111" s="36"/>
      <c r="B111" s="48" t="s">
        <v>50</v>
      </c>
      <c r="C111" s="49" t="s">
        <v>13</v>
      </c>
      <c r="D111" s="49" t="s">
        <v>14</v>
      </c>
      <c r="E111" s="49" t="s">
        <v>15</v>
      </c>
      <c r="F111" s="49" t="s">
        <v>16</v>
      </c>
      <c r="G111" s="49" t="s">
        <v>51</v>
      </c>
      <c r="H111" s="49" t="s">
        <v>18</v>
      </c>
      <c r="I111" s="49" t="s">
        <v>19</v>
      </c>
      <c r="J111" s="49" t="s">
        <v>20</v>
      </c>
      <c r="K111" s="49" t="s">
        <v>21</v>
      </c>
      <c r="L111" s="49" t="s">
        <v>22</v>
      </c>
      <c r="M111" s="49" t="s">
        <v>23</v>
      </c>
      <c r="N111" s="49" t="s">
        <v>24</v>
      </c>
      <c r="O111" s="49" t="s">
        <v>25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ht="12.75" customHeight="1">
      <c r="A112" s="36"/>
      <c r="B112" s="50" t="s">
        <v>41</v>
      </c>
      <c r="C112" s="70">
        <f>+C97*C38</f>
        <v>121365</v>
      </c>
      <c r="D112" s="70">
        <f t="shared" ref="D112:N112" si="54">+D97*D38</f>
        <v>101210</v>
      </c>
      <c r="E112" s="70">
        <f t="shared" si="54"/>
        <v>90262.5</v>
      </c>
      <c r="F112" s="70">
        <f t="shared" si="54"/>
        <v>67425</v>
      </c>
      <c r="G112" s="70">
        <f t="shared" si="54"/>
        <v>29458.5</v>
      </c>
      <c r="H112" s="70">
        <f t="shared" si="54"/>
        <v>16605</v>
      </c>
      <c r="I112" s="70">
        <f t="shared" si="54"/>
        <v>28597.5</v>
      </c>
      <c r="J112" s="70">
        <f t="shared" si="54"/>
        <v>22878</v>
      </c>
      <c r="K112" s="70">
        <f t="shared" si="54"/>
        <v>6451.2</v>
      </c>
      <c r="L112" s="70">
        <f t="shared" si="54"/>
        <v>0</v>
      </c>
      <c r="M112" s="70">
        <f t="shared" si="54"/>
        <v>41400</v>
      </c>
      <c r="N112" s="70">
        <f t="shared" si="54"/>
        <v>100347</v>
      </c>
      <c r="O112" s="70">
        <f t="shared" ref="O112:O117" si="55">SUM(C112:N112)</f>
        <v>625999.69999999995</v>
      </c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ht="12.75" customHeight="1">
      <c r="A113" s="36"/>
      <c r="B113" s="50" t="s">
        <v>42</v>
      </c>
      <c r="C113" s="70">
        <f t="shared" ref="C113:N113" si="56">+C98*C39</f>
        <v>37386</v>
      </c>
      <c r="D113" s="70">
        <f t="shared" si="56"/>
        <v>45693.999999999993</v>
      </c>
      <c r="E113" s="70">
        <f t="shared" si="56"/>
        <v>37386</v>
      </c>
      <c r="F113" s="70">
        <f t="shared" si="56"/>
        <v>13335</v>
      </c>
      <c r="G113" s="70">
        <f t="shared" si="56"/>
        <v>10744.741379310344</v>
      </c>
      <c r="H113" s="70">
        <f t="shared" si="56"/>
        <v>5552.5862068965525</v>
      </c>
      <c r="I113" s="70">
        <f t="shared" si="56"/>
        <v>12260.5</v>
      </c>
      <c r="J113" s="70">
        <f t="shared" si="56"/>
        <v>12610.8</v>
      </c>
      <c r="K113" s="70">
        <f t="shared" si="56"/>
        <v>4944</v>
      </c>
      <c r="L113" s="70">
        <f t="shared" si="56"/>
        <v>0</v>
      </c>
      <c r="M113" s="70">
        <f t="shared" si="56"/>
        <v>23256.45</v>
      </c>
      <c r="N113" s="70">
        <f t="shared" si="56"/>
        <v>40842.5</v>
      </c>
      <c r="O113" s="70">
        <f t="shared" si="55"/>
        <v>244012.5775862069</v>
      </c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ht="12.75" customHeight="1">
      <c r="A114" s="36"/>
      <c r="B114" s="50" t="s">
        <v>43</v>
      </c>
      <c r="C114" s="70">
        <f t="shared" ref="C114:N114" si="57">+C99*C40</f>
        <v>60264.000000000007</v>
      </c>
      <c r="D114" s="70">
        <f t="shared" si="57"/>
        <v>53675.999999999993</v>
      </c>
      <c r="E114" s="70">
        <f t="shared" si="57"/>
        <v>52164.000000000007</v>
      </c>
      <c r="F114" s="70">
        <f t="shared" si="57"/>
        <v>18360</v>
      </c>
      <c r="G114" s="70">
        <f t="shared" si="57"/>
        <v>13795</v>
      </c>
      <c r="H114" s="70">
        <f t="shared" si="57"/>
        <v>9790</v>
      </c>
      <c r="I114" s="70">
        <f t="shared" si="57"/>
        <v>24653</v>
      </c>
      <c r="J114" s="70">
        <f t="shared" si="57"/>
        <v>18120.399999999998</v>
      </c>
      <c r="K114" s="70">
        <f t="shared" si="57"/>
        <v>5831.9999999999991</v>
      </c>
      <c r="L114" s="70">
        <f t="shared" si="57"/>
        <v>0</v>
      </c>
      <c r="M114" s="70">
        <f t="shared" si="57"/>
        <v>20617.2</v>
      </c>
      <c r="N114" s="70">
        <f t="shared" si="57"/>
        <v>56170.799999999996</v>
      </c>
      <c r="O114" s="70">
        <f t="shared" si="55"/>
        <v>333442.39999999997</v>
      </c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ht="12.75" customHeight="1">
      <c r="A115" s="36"/>
      <c r="B115" s="50" t="s">
        <v>44</v>
      </c>
      <c r="C115" s="70">
        <f t="shared" ref="C115:N115" si="58">+C100*C41</f>
        <v>91374</v>
      </c>
      <c r="D115" s="70">
        <f t="shared" si="58"/>
        <v>89337.000000000015</v>
      </c>
      <c r="E115" s="70">
        <f t="shared" si="58"/>
        <v>86524</v>
      </c>
      <c r="F115" s="70">
        <f t="shared" si="58"/>
        <v>24920</v>
      </c>
      <c r="G115" s="70">
        <f t="shared" si="58"/>
        <v>25470.689655172413</v>
      </c>
      <c r="H115" s="70">
        <f t="shared" si="58"/>
        <v>15813.620689655172</v>
      </c>
      <c r="I115" s="70">
        <f t="shared" si="58"/>
        <v>24490</v>
      </c>
      <c r="J115" s="70">
        <f t="shared" si="58"/>
        <v>27428.799999999999</v>
      </c>
      <c r="K115" s="70">
        <f t="shared" si="58"/>
        <v>6912</v>
      </c>
      <c r="L115" s="70">
        <f t="shared" si="58"/>
        <v>0</v>
      </c>
      <c r="M115" s="70">
        <f t="shared" si="58"/>
        <v>25425</v>
      </c>
      <c r="N115" s="70">
        <f t="shared" si="58"/>
        <v>76866</v>
      </c>
      <c r="O115" s="70">
        <f t="shared" si="55"/>
        <v>494561.11034482758</v>
      </c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ht="12.75" customHeight="1">
      <c r="A116" s="36"/>
      <c r="B116" s="50" t="s">
        <v>45</v>
      </c>
      <c r="C116" s="70">
        <f t="shared" ref="C116:N116" si="59">+C101*C42</f>
        <v>94395</v>
      </c>
      <c r="D116" s="70">
        <f t="shared" si="59"/>
        <v>92365</v>
      </c>
      <c r="E116" s="70">
        <f t="shared" si="59"/>
        <v>79170</v>
      </c>
      <c r="F116" s="70">
        <f t="shared" si="59"/>
        <v>60625</v>
      </c>
      <c r="G116" s="70">
        <f t="shared" si="59"/>
        <v>26287.71551724138</v>
      </c>
      <c r="H116" s="70">
        <f t="shared" si="59"/>
        <v>34471.982758620696</v>
      </c>
      <c r="I116" s="70">
        <f t="shared" si="59"/>
        <v>71968.75</v>
      </c>
      <c r="J116" s="70">
        <f t="shared" si="59"/>
        <v>37799.999999999993</v>
      </c>
      <c r="K116" s="70">
        <f t="shared" si="59"/>
        <v>11664</v>
      </c>
      <c r="L116" s="70">
        <f t="shared" si="59"/>
        <v>0</v>
      </c>
      <c r="M116" s="70">
        <f t="shared" si="59"/>
        <v>88915.124999999985</v>
      </c>
      <c r="N116" s="70">
        <f t="shared" si="59"/>
        <v>115862.5</v>
      </c>
      <c r="O116" s="70">
        <f t="shared" si="55"/>
        <v>713525.07327586203</v>
      </c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ht="12.75" customHeight="1">
      <c r="A117" s="36"/>
      <c r="B117" s="50" t="s">
        <v>46</v>
      </c>
      <c r="C117" s="70">
        <f t="shared" ref="C117:N117" si="60">+C102*C43</f>
        <v>91869</v>
      </c>
      <c r="D117" s="70">
        <f t="shared" si="60"/>
        <v>63280</v>
      </c>
      <c r="E117" s="70">
        <f t="shared" si="60"/>
        <v>84071.999999999985</v>
      </c>
      <c r="F117" s="70">
        <f t="shared" si="60"/>
        <v>67627.5</v>
      </c>
      <c r="G117" s="70">
        <f t="shared" si="60"/>
        <v>39242.241379310348</v>
      </c>
      <c r="H117" s="70">
        <f t="shared" si="60"/>
        <v>28808.620689655174</v>
      </c>
      <c r="I117" s="70">
        <f t="shared" si="60"/>
        <v>62965</v>
      </c>
      <c r="J117" s="70">
        <f t="shared" si="60"/>
        <v>37671.199999999997</v>
      </c>
      <c r="K117" s="70">
        <f t="shared" si="60"/>
        <v>12012</v>
      </c>
      <c r="L117" s="70">
        <f t="shared" si="60"/>
        <v>0</v>
      </c>
      <c r="M117" s="70">
        <f t="shared" si="60"/>
        <v>69407.625</v>
      </c>
      <c r="N117" s="70">
        <f t="shared" si="60"/>
        <v>146811.435</v>
      </c>
      <c r="O117" s="70">
        <f t="shared" si="55"/>
        <v>703766.62206896557</v>
      </c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ht="12.75" customHeight="1">
      <c r="A118" s="36"/>
      <c r="B118" s="36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ht="12.75" customHeight="1">
      <c r="A119" s="36"/>
      <c r="B119" s="72" t="s">
        <v>25</v>
      </c>
      <c r="C119" s="73">
        <f t="shared" ref="C119:N119" si="61">SUM(C112:C118)</f>
        <v>496653</v>
      </c>
      <c r="D119" s="73">
        <f t="shared" si="61"/>
        <v>445562</v>
      </c>
      <c r="E119" s="73">
        <f t="shared" si="61"/>
        <v>429578.5</v>
      </c>
      <c r="F119" s="73">
        <f t="shared" si="61"/>
        <v>252292.5</v>
      </c>
      <c r="G119" s="73">
        <f t="shared" si="61"/>
        <v>144998.88793103449</v>
      </c>
      <c r="H119" s="73">
        <f t="shared" si="61"/>
        <v>111041.81034482759</v>
      </c>
      <c r="I119" s="73">
        <f t="shared" si="61"/>
        <v>224934.75</v>
      </c>
      <c r="J119" s="73">
        <f t="shared" si="61"/>
        <v>156509.20000000001</v>
      </c>
      <c r="K119" s="73">
        <f t="shared" si="61"/>
        <v>47815.199999999997</v>
      </c>
      <c r="L119" s="73">
        <f t="shared" si="61"/>
        <v>0</v>
      </c>
      <c r="M119" s="73">
        <f t="shared" si="61"/>
        <v>269021.39999999997</v>
      </c>
      <c r="N119" s="73">
        <f t="shared" si="61"/>
        <v>536900.23499999999</v>
      </c>
      <c r="O119" s="73">
        <f>SUM(C119:N119)</f>
        <v>3115307.4832758624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ht="12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ht="12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ht="12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ht="30" customHeight="1">
      <c r="A123" s="36"/>
      <c r="B123" s="41" t="s">
        <v>84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ht="30" customHeight="1">
      <c r="A124" s="36"/>
      <c r="B124" s="41"/>
      <c r="C124" s="36"/>
      <c r="D124" s="36" t="s">
        <v>85</v>
      </c>
      <c r="E124" s="36" t="s">
        <v>86</v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ht="30" customHeight="1">
      <c r="A125" s="36"/>
      <c r="B125" s="41" t="s">
        <v>56</v>
      </c>
      <c r="C125" s="36"/>
      <c r="D125" s="54">
        <v>0.55000000000000004</v>
      </c>
      <c r="E125" s="54">
        <f t="shared" ref="E125:E127" si="62">+C61</f>
        <v>0.28000000000000003</v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ht="30" customHeight="1">
      <c r="A126" s="36"/>
      <c r="B126" s="41" t="s">
        <v>57</v>
      </c>
      <c r="C126" s="36"/>
      <c r="D126" s="54">
        <f t="shared" ref="D126" si="63">+C51</f>
        <v>0.05</v>
      </c>
      <c r="E126" s="54">
        <f t="shared" si="62"/>
        <v>0.2</v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ht="30" customHeight="1">
      <c r="A127" s="36"/>
      <c r="B127" s="41" t="s">
        <v>58</v>
      </c>
      <c r="C127" s="36"/>
      <c r="D127" s="54">
        <v>0.4</v>
      </c>
      <c r="E127" s="54">
        <f t="shared" si="62"/>
        <v>0</v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ht="30" customHeight="1">
      <c r="A128" s="36"/>
      <c r="B128" s="74"/>
      <c r="C128" s="36"/>
      <c r="D128" s="54"/>
      <c r="E128" s="54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ht="30" customHeight="1">
      <c r="A129" s="36"/>
      <c r="B129" s="74"/>
      <c r="C129" s="36"/>
      <c r="D129" s="54">
        <f>SUM(D125:D128)</f>
        <v>1</v>
      </c>
      <c r="E129" s="54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ht="30.75" customHeight="1" thickBot="1">
      <c r="A130" s="36"/>
      <c r="B130" s="4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ht="30.75" customHeight="1" thickBot="1">
      <c r="A131" s="36"/>
      <c r="B131" s="41" t="s">
        <v>87</v>
      </c>
      <c r="C131" s="36"/>
      <c r="D131" s="75">
        <f t="array" ref="D131">SUMPRODUCT(D125:D127,1-(E125:E127))</f>
        <v>0.83600000000000008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ht="30" customHeight="1">
      <c r="A132" s="36"/>
      <c r="B132" s="4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ht="30" customHeight="1">
      <c r="A133" s="36"/>
      <c r="B133" s="41" t="s">
        <v>88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ht="12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ht="12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ht="12.75" customHeight="1">
      <c r="A136" s="36"/>
      <c r="B136" s="36" t="s">
        <v>80</v>
      </c>
      <c r="C136" s="66">
        <f t="shared" ref="C136:N136" si="64">+C110</f>
        <v>0.75</v>
      </c>
      <c r="D136" s="66">
        <f t="shared" si="64"/>
        <v>0.76</v>
      </c>
      <c r="E136" s="66">
        <f t="shared" si="64"/>
        <v>0.65344086021505376</v>
      </c>
      <c r="F136" s="66">
        <f t="shared" si="64"/>
        <v>0.36888888888888888</v>
      </c>
      <c r="G136" s="66">
        <f t="shared" si="64"/>
        <v>0.2499851687059696</v>
      </c>
      <c r="H136" s="66">
        <f t="shared" si="64"/>
        <v>0.18628352490421457</v>
      </c>
      <c r="I136" s="66">
        <f t="shared" si="64"/>
        <v>0.35709677419354841</v>
      </c>
      <c r="J136" s="66">
        <f t="shared" si="64"/>
        <v>0.27023655913978495</v>
      </c>
      <c r="K136" s="66">
        <f t="shared" si="64"/>
        <v>9.1466666666666668E-2</v>
      </c>
      <c r="L136" s="66">
        <f t="shared" si="64"/>
        <v>0</v>
      </c>
      <c r="M136" s="66">
        <f t="shared" si="64"/>
        <v>0.45566666666666661</v>
      </c>
      <c r="N136" s="66">
        <f t="shared" si="64"/>
        <v>0.65774999999999995</v>
      </c>
      <c r="O136" s="66">
        <f>+O104</f>
        <v>0.43545797198706038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ht="18.75" customHeight="1">
      <c r="A137" s="36"/>
      <c r="B137" s="48" t="s">
        <v>50</v>
      </c>
      <c r="C137" s="49" t="s">
        <v>13</v>
      </c>
      <c r="D137" s="49" t="s">
        <v>14</v>
      </c>
      <c r="E137" s="49" t="s">
        <v>15</v>
      </c>
      <c r="F137" s="49" t="s">
        <v>16</v>
      </c>
      <c r="G137" s="49" t="s">
        <v>51</v>
      </c>
      <c r="H137" s="49" t="s">
        <v>18</v>
      </c>
      <c r="I137" s="49" t="s">
        <v>19</v>
      </c>
      <c r="J137" s="49" t="s">
        <v>20</v>
      </c>
      <c r="K137" s="49" t="s">
        <v>21</v>
      </c>
      <c r="L137" s="49" t="s">
        <v>22</v>
      </c>
      <c r="M137" s="49" t="s">
        <v>23</v>
      </c>
      <c r="N137" s="49" t="s">
        <v>24</v>
      </c>
      <c r="O137" s="49" t="s">
        <v>25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ht="12.75" customHeight="1">
      <c r="A138" s="36"/>
      <c r="B138" s="50" t="s">
        <v>41</v>
      </c>
      <c r="C138" s="70">
        <f t="shared" ref="C138:N138" si="65">(1-$D$131)*C112</f>
        <v>19903.85999999999</v>
      </c>
      <c r="D138" s="70">
        <f t="shared" si="65"/>
        <v>16598.439999999991</v>
      </c>
      <c r="E138" s="70">
        <f t="shared" si="65"/>
        <v>14803.049999999994</v>
      </c>
      <c r="F138" s="70">
        <f t="shared" si="65"/>
        <v>11057.699999999995</v>
      </c>
      <c r="G138" s="70">
        <f t="shared" si="65"/>
        <v>4831.1939999999977</v>
      </c>
      <c r="H138" s="70">
        <f t="shared" si="65"/>
        <v>2723.2199999999989</v>
      </c>
      <c r="I138" s="70">
        <f t="shared" si="65"/>
        <v>4689.989999999998</v>
      </c>
      <c r="J138" s="70">
        <f t="shared" si="65"/>
        <v>3751.9919999999984</v>
      </c>
      <c r="K138" s="70">
        <f t="shared" si="65"/>
        <v>1057.9967999999994</v>
      </c>
      <c r="L138" s="70">
        <f t="shared" si="65"/>
        <v>0</v>
      </c>
      <c r="M138" s="70">
        <f t="shared" si="65"/>
        <v>6789.5999999999967</v>
      </c>
      <c r="N138" s="70">
        <f t="shared" si="65"/>
        <v>16456.907999999992</v>
      </c>
      <c r="O138" s="70">
        <f t="shared" ref="O138:O143" si="66">SUM(C138:N138)</f>
        <v>102663.95079999995</v>
      </c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 spans="1:30" ht="12.75" customHeight="1">
      <c r="A139" s="36"/>
      <c r="B139" s="50" t="s">
        <v>42</v>
      </c>
      <c r="C139" s="70">
        <f t="shared" ref="C139:N139" si="67">(1-$D$131)*C113</f>
        <v>6131.3039999999974</v>
      </c>
      <c r="D139" s="70">
        <f t="shared" si="67"/>
        <v>7493.8159999999953</v>
      </c>
      <c r="E139" s="70">
        <f t="shared" si="67"/>
        <v>6131.3039999999974</v>
      </c>
      <c r="F139" s="70">
        <f t="shared" si="67"/>
        <v>2186.9399999999991</v>
      </c>
      <c r="G139" s="70">
        <f t="shared" si="67"/>
        <v>1762.1375862068955</v>
      </c>
      <c r="H139" s="70">
        <f t="shared" si="67"/>
        <v>910.62413793103417</v>
      </c>
      <c r="I139" s="70">
        <f t="shared" si="67"/>
        <v>2010.7219999999991</v>
      </c>
      <c r="J139" s="70">
        <f t="shared" si="67"/>
        <v>2068.1711999999989</v>
      </c>
      <c r="K139" s="70">
        <f t="shared" si="67"/>
        <v>810.81599999999958</v>
      </c>
      <c r="L139" s="70">
        <f t="shared" si="67"/>
        <v>0</v>
      </c>
      <c r="M139" s="70">
        <f t="shared" si="67"/>
        <v>3814.0577999999982</v>
      </c>
      <c r="N139" s="70">
        <f t="shared" si="67"/>
        <v>6698.1699999999964</v>
      </c>
      <c r="O139" s="70">
        <f t="shared" si="66"/>
        <v>40018.062724137904</v>
      </c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 spans="1:30" ht="12.75" customHeight="1">
      <c r="A140" s="36"/>
      <c r="B140" s="50" t="s">
        <v>43</v>
      </c>
      <c r="C140" s="70">
        <f t="shared" ref="C140:N140" si="68">(1-$D$131)*C114</f>
        <v>9883.2959999999966</v>
      </c>
      <c r="D140" s="70">
        <f t="shared" si="68"/>
        <v>8802.8639999999941</v>
      </c>
      <c r="E140" s="70">
        <f t="shared" si="68"/>
        <v>8554.895999999997</v>
      </c>
      <c r="F140" s="70">
        <f t="shared" si="68"/>
        <v>3011.0399999999986</v>
      </c>
      <c r="G140" s="70">
        <f t="shared" si="68"/>
        <v>2262.3799999999987</v>
      </c>
      <c r="H140" s="70">
        <f t="shared" si="68"/>
        <v>1605.5599999999993</v>
      </c>
      <c r="I140" s="70">
        <f t="shared" si="68"/>
        <v>4043.0919999999983</v>
      </c>
      <c r="J140" s="70">
        <f t="shared" si="68"/>
        <v>2971.7455999999984</v>
      </c>
      <c r="K140" s="70">
        <f t="shared" si="68"/>
        <v>956.44799999999941</v>
      </c>
      <c r="L140" s="70">
        <f t="shared" si="68"/>
        <v>0</v>
      </c>
      <c r="M140" s="70">
        <f t="shared" si="68"/>
        <v>3381.2207999999987</v>
      </c>
      <c r="N140" s="70">
        <f t="shared" si="68"/>
        <v>9212.0111999999954</v>
      </c>
      <c r="O140" s="70">
        <f t="shared" si="66"/>
        <v>54684.553599999963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 spans="1:30" ht="12.75" customHeight="1">
      <c r="A141" s="36"/>
      <c r="B141" s="50" t="s">
        <v>44</v>
      </c>
      <c r="C141" s="70">
        <f t="shared" ref="C141:N141" si="69">(1-$D$131)*C115</f>
        <v>14985.335999999994</v>
      </c>
      <c r="D141" s="70">
        <f t="shared" si="69"/>
        <v>14651.267999999996</v>
      </c>
      <c r="E141" s="70">
        <f t="shared" si="69"/>
        <v>14189.935999999994</v>
      </c>
      <c r="F141" s="70">
        <f t="shared" si="69"/>
        <v>4086.8799999999983</v>
      </c>
      <c r="G141" s="70">
        <f t="shared" si="69"/>
        <v>4177.1931034482741</v>
      </c>
      <c r="H141" s="70">
        <f t="shared" si="69"/>
        <v>2593.433793103447</v>
      </c>
      <c r="I141" s="70">
        <f t="shared" si="69"/>
        <v>4016.3599999999983</v>
      </c>
      <c r="J141" s="70">
        <f t="shared" si="69"/>
        <v>4498.323199999998</v>
      </c>
      <c r="K141" s="70">
        <f t="shared" si="69"/>
        <v>1133.5679999999995</v>
      </c>
      <c r="L141" s="70">
        <f t="shared" si="69"/>
        <v>0</v>
      </c>
      <c r="M141" s="70">
        <f t="shared" si="69"/>
        <v>4169.699999999998</v>
      </c>
      <c r="N141" s="70">
        <f t="shared" si="69"/>
        <v>12606.023999999994</v>
      </c>
      <c r="O141" s="70">
        <f t="shared" si="66"/>
        <v>81108.022096551693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 spans="1:30" ht="12.75" customHeight="1">
      <c r="A142" s="36"/>
      <c r="B142" s="50" t="s">
        <v>45</v>
      </c>
      <c r="C142" s="70">
        <f t="shared" ref="C142:N142" si="70">(1-$D$131)*C116</f>
        <v>15480.779999999993</v>
      </c>
      <c r="D142" s="70">
        <f t="shared" si="70"/>
        <v>15147.859999999993</v>
      </c>
      <c r="E142" s="70">
        <f t="shared" si="70"/>
        <v>12983.879999999994</v>
      </c>
      <c r="F142" s="70">
        <f t="shared" si="70"/>
        <v>9942.4999999999945</v>
      </c>
      <c r="G142" s="70">
        <f t="shared" si="70"/>
        <v>4311.1853448275842</v>
      </c>
      <c r="H142" s="70">
        <f t="shared" si="70"/>
        <v>5653.4051724137917</v>
      </c>
      <c r="I142" s="70">
        <f t="shared" si="70"/>
        <v>11802.874999999995</v>
      </c>
      <c r="J142" s="70">
        <f t="shared" si="70"/>
        <v>6199.1999999999962</v>
      </c>
      <c r="K142" s="70">
        <f t="shared" si="70"/>
        <v>1912.895999999999</v>
      </c>
      <c r="L142" s="70">
        <f t="shared" si="70"/>
        <v>0</v>
      </c>
      <c r="M142" s="70">
        <f t="shared" si="70"/>
        <v>14582.080499999991</v>
      </c>
      <c r="N142" s="70">
        <f t="shared" si="70"/>
        <v>19001.44999999999</v>
      </c>
      <c r="O142" s="70">
        <f t="shared" si="66"/>
        <v>117018.11201724131</v>
      </c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 spans="1:30" ht="17.25" customHeight="1">
      <c r="A143" s="36"/>
      <c r="B143" s="50" t="s">
        <v>46</v>
      </c>
      <c r="C143" s="70">
        <f t="shared" ref="C143:N143" si="71">(1-$D$131)*C117</f>
        <v>15066.515999999992</v>
      </c>
      <c r="D143" s="70">
        <f t="shared" si="71"/>
        <v>10377.919999999995</v>
      </c>
      <c r="E143" s="70">
        <f t="shared" si="71"/>
        <v>13787.807999999992</v>
      </c>
      <c r="F143" s="70">
        <f t="shared" si="71"/>
        <v>11090.909999999994</v>
      </c>
      <c r="G143" s="70">
        <f t="shared" si="71"/>
        <v>6435.7275862068936</v>
      </c>
      <c r="H143" s="70">
        <f t="shared" si="71"/>
        <v>4724.6137931034464</v>
      </c>
      <c r="I143" s="70">
        <f t="shared" si="71"/>
        <v>10326.259999999995</v>
      </c>
      <c r="J143" s="70">
        <f t="shared" si="71"/>
        <v>6178.0767999999971</v>
      </c>
      <c r="K143" s="70">
        <f t="shared" si="71"/>
        <v>1969.9679999999992</v>
      </c>
      <c r="L143" s="70">
        <f t="shared" si="71"/>
        <v>0</v>
      </c>
      <c r="M143" s="70">
        <f t="shared" si="71"/>
        <v>11382.850499999995</v>
      </c>
      <c r="N143" s="70">
        <f t="shared" si="71"/>
        <v>24077.075339999989</v>
      </c>
      <c r="O143" s="70">
        <f t="shared" si="66"/>
        <v>115417.7260193103</v>
      </c>
      <c r="P143" s="36"/>
      <c r="Q143" s="76" t="s">
        <v>89</v>
      </c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 spans="1:30" ht="12.75" customHeight="1">
      <c r="A144" s="36"/>
      <c r="B144" s="36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36"/>
      <c r="Q144" s="77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 spans="1:31" ht="12.75" customHeight="1">
      <c r="A145" s="36"/>
      <c r="B145" s="72" t="s">
        <v>25</v>
      </c>
      <c r="C145" s="73">
        <f t="shared" ref="C145:N145" si="72">SUM(C138:C144)</f>
        <v>81451.091999999961</v>
      </c>
      <c r="D145" s="73">
        <f t="shared" si="72"/>
        <v>73072.167999999961</v>
      </c>
      <c r="E145" s="73">
        <f t="shared" si="72"/>
        <v>70450.873999999967</v>
      </c>
      <c r="F145" s="73">
        <f t="shared" si="72"/>
        <v>41375.969999999979</v>
      </c>
      <c r="G145" s="73">
        <f t="shared" si="72"/>
        <v>23779.817620689642</v>
      </c>
      <c r="H145" s="73">
        <f t="shared" si="72"/>
        <v>18210.856896551719</v>
      </c>
      <c r="I145" s="73">
        <f t="shared" si="72"/>
        <v>36889.298999999985</v>
      </c>
      <c r="J145" s="73">
        <f t="shared" si="72"/>
        <v>25667.508799999989</v>
      </c>
      <c r="K145" s="73">
        <f t="shared" si="72"/>
        <v>7841.6927999999953</v>
      </c>
      <c r="L145" s="73">
        <f t="shared" si="72"/>
        <v>0</v>
      </c>
      <c r="M145" s="73">
        <f t="shared" si="72"/>
        <v>44119.509599999976</v>
      </c>
      <c r="N145" s="73">
        <f t="shared" si="72"/>
        <v>88051.638539999956</v>
      </c>
      <c r="O145" s="73">
        <f>SUM(C145:N145)</f>
        <v>510910.42725724122</v>
      </c>
      <c r="P145" s="36"/>
      <c r="Q145" s="77" t="s">
        <v>90</v>
      </c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 spans="1:31" ht="12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 spans="1:31" ht="12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 spans="1:31" ht="30" customHeight="1">
      <c r="A148" s="36"/>
      <c r="B148" s="41" t="s">
        <v>91</v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 spans="1:31" ht="12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 spans="1:31" ht="12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 spans="1:31" ht="12.75" customHeight="1">
      <c r="A151" s="36"/>
      <c r="B151" s="36" t="s">
        <v>80</v>
      </c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 spans="1:31" ht="18.75" customHeight="1">
      <c r="A152" s="36"/>
      <c r="B152" s="48" t="s">
        <v>50</v>
      </c>
      <c r="C152" s="49" t="s">
        <v>13</v>
      </c>
      <c r="D152" s="49" t="s">
        <v>14</v>
      </c>
      <c r="E152" s="49" t="s">
        <v>15</v>
      </c>
      <c r="F152" s="49" t="s">
        <v>16</v>
      </c>
      <c r="G152" s="49" t="s">
        <v>51</v>
      </c>
      <c r="H152" s="49" t="s">
        <v>18</v>
      </c>
      <c r="I152" s="49" t="s">
        <v>19</v>
      </c>
      <c r="J152" s="49" t="s">
        <v>20</v>
      </c>
      <c r="K152" s="49" t="s">
        <v>21</v>
      </c>
      <c r="L152" s="49" t="s">
        <v>22</v>
      </c>
      <c r="M152" s="49" t="s">
        <v>23</v>
      </c>
      <c r="N152" s="49" t="s">
        <v>24</v>
      </c>
      <c r="O152" s="49" t="s">
        <v>25</v>
      </c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 spans="1:31" ht="12.75" customHeight="1">
      <c r="A153" s="36"/>
      <c r="B153" s="50" t="s">
        <v>41</v>
      </c>
      <c r="C153" s="70">
        <f>+C112-C138</f>
        <v>101461.14000000001</v>
      </c>
      <c r="D153" s="70">
        <f t="shared" ref="D153:N153" si="73">+D112-D138</f>
        <v>84611.560000000012</v>
      </c>
      <c r="E153" s="70">
        <f t="shared" si="73"/>
        <v>75459.450000000012</v>
      </c>
      <c r="F153" s="70">
        <f t="shared" si="73"/>
        <v>56367.3</v>
      </c>
      <c r="G153" s="70">
        <f t="shared" si="73"/>
        <v>24627.306000000004</v>
      </c>
      <c r="H153" s="70">
        <f t="shared" si="73"/>
        <v>13881.78</v>
      </c>
      <c r="I153" s="70">
        <f t="shared" si="73"/>
        <v>23907.510000000002</v>
      </c>
      <c r="J153" s="70">
        <f t="shared" si="73"/>
        <v>19126.008000000002</v>
      </c>
      <c r="K153" s="70">
        <f t="shared" si="73"/>
        <v>5393.2031999999999</v>
      </c>
      <c r="L153" s="70">
        <f t="shared" si="73"/>
        <v>0</v>
      </c>
      <c r="M153" s="70">
        <f t="shared" si="73"/>
        <v>34610.400000000001</v>
      </c>
      <c r="N153" s="70">
        <f t="shared" si="73"/>
        <v>83890.092000000004</v>
      </c>
      <c r="O153" s="70">
        <f t="shared" ref="O153:O159" si="74">SUM(C153:N153)</f>
        <v>523335.74920000002</v>
      </c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 spans="1:31" ht="12.75" customHeight="1">
      <c r="A154" s="36"/>
      <c r="B154" s="50" t="s">
        <v>42</v>
      </c>
      <c r="C154" s="70">
        <f t="shared" ref="C154:N154" si="75">+C113-C139</f>
        <v>31254.696000000004</v>
      </c>
      <c r="D154" s="70">
        <f t="shared" si="75"/>
        <v>38200.183999999994</v>
      </c>
      <c r="E154" s="70">
        <f t="shared" si="75"/>
        <v>31254.696000000004</v>
      </c>
      <c r="F154" s="70">
        <f t="shared" si="75"/>
        <v>11148.060000000001</v>
      </c>
      <c r="G154" s="70">
        <f t="shared" si="75"/>
        <v>8982.603793103448</v>
      </c>
      <c r="H154" s="70">
        <f t="shared" si="75"/>
        <v>4641.9620689655185</v>
      </c>
      <c r="I154" s="70">
        <f t="shared" si="75"/>
        <v>10249.778</v>
      </c>
      <c r="J154" s="70">
        <f t="shared" si="75"/>
        <v>10542.6288</v>
      </c>
      <c r="K154" s="70">
        <f t="shared" si="75"/>
        <v>4133.1840000000002</v>
      </c>
      <c r="L154" s="70">
        <f t="shared" si="75"/>
        <v>0</v>
      </c>
      <c r="M154" s="70">
        <f t="shared" si="75"/>
        <v>19442.392200000002</v>
      </c>
      <c r="N154" s="70">
        <f t="shared" si="75"/>
        <v>34144.33</v>
      </c>
      <c r="O154" s="70">
        <f t="shared" si="74"/>
        <v>203994.51486206899</v>
      </c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 spans="1:31" ht="12.75" customHeight="1">
      <c r="A155" s="36"/>
      <c r="B155" s="50" t="s">
        <v>43</v>
      </c>
      <c r="C155" s="70">
        <f t="shared" ref="C155:N155" si="76">+C114-C140</f>
        <v>50380.704000000012</v>
      </c>
      <c r="D155" s="70">
        <f t="shared" si="76"/>
        <v>44873.135999999999</v>
      </c>
      <c r="E155" s="70">
        <f t="shared" si="76"/>
        <v>43609.104000000007</v>
      </c>
      <c r="F155" s="70">
        <f t="shared" si="76"/>
        <v>15348.960000000001</v>
      </c>
      <c r="G155" s="70">
        <f t="shared" si="76"/>
        <v>11532.62</v>
      </c>
      <c r="H155" s="70">
        <f t="shared" si="76"/>
        <v>8184.4400000000005</v>
      </c>
      <c r="I155" s="70">
        <f t="shared" si="76"/>
        <v>20609.908000000003</v>
      </c>
      <c r="J155" s="70">
        <f t="shared" si="76"/>
        <v>15148.654399999999</v>
      </c>
      <c r="K155" s="70">
        <f t="shared" si="76"/>
        <v>4875.5519999999997</v>
      </c>
      <c r="L155" s="70">
        <f t="shared" si="76"/>
        <v>0</v>
      </c>
      <c r="M155" s="70">
        <f t="shared" si="76"/>
        <v>17235.979200000002</v>
      </c>
      <c r="N155" s="70">
        <f t="shared" si="76"/>
        <v>46958.788800000002</v>
      </c>
      <c r="O155" s="70">
        <f t="shared" si="74"/>
        <v>278757.84639999998</v>
      </c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 spans="1:31" ht="12.75" customHeight="1">
      <c r="A156" s="36"/>
      <c r="B156" s="50" t="s">
        <v>44</v>
      </c>
      <c r="C156" s="70">
        <f t="shared" ref="C156:N156" si="77">+C115-C141</f>
        <v>76388.664000000004</v>
      </c>
      <c r="D156" s="70">
        <f t="shared" si="77"/>
        <v>74685.732000000018</v>
      </c>
      <c r="E156" s="70">
        <f t="shared" si="77"/>
        <v>72334.064000000013</v>
      </c>
      <c r="F156" s="70">
        <f t="shared" si="77"/>
        <v>20833.120000000003</v>
      </c>
      <c r="G156" s="70">
        <f t="shared" si="77"/>
        <v>21293.49655172414</v>
      </c>
      <c r="H156" s="70">
        <f t="shared" si="77"/>
        <v>13220.186896551724</v>
      </c>
      <c r="I156" s="70">
        <f t="shared" si="77"/>
        <v>20473.640000000003</v>
      </c>
      <c r="J156" s="70">
        <f t="shared" si="77"/>
        <v>22930.4768</v>
      </c>
      <c r="K156" s="70">
        <f t="shared" si="77"/>
        <v>5778.4320000000007</v>
      </c>
      <c r="L156" s="70">
        <f t="shared" si="77"/>
        <v>0</v>
      </c>
      <c r="M156" s="70">
        <f t="shared" si="77"/>
        <v>21255.300000000003</v>
      </c>
      <c r="N156" s="70">
        <f t="shared" si="77"/>
        <v>64259.97600000001</v>
      </c>
      <c r="O156" s="70">
        <f t="shared" si="74"/>
        <v>413453.08824827598</v>
      </c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 spans="1:31" ht="12.75" customHeight="1">
      <c r="A157" s="36"/>
      <c r="B157" s="50" t="s">
        <v>45</v>
      </c>
      <c r="C157" s="70">
        <f t="shared" ref="C157:N157" si="78">+C116-C142</f>
        <v>78914.22</v>
      </c>
      <c r="D157" s="70">
        <f t="shared" si="78"/>
        <v>77217.140000000014</v>
      </c>
      <c r="E157" s="70">
        <f t="shared" si="78"/>
        <v>66186.12000000001</v>
      </c>
      <c r="F157" s="70">
        <f t="shared" si="78"/>
        <v>50682.500000000007</v>
      </c>
      <c r="G157" s="70">
        <f t="shared" si="78"/>
        <v>21976.530172413797</v>
      </c>
      <c r="H157" s="70">
        <f t="shared" si="78"/>
        <v>28818.577586206906</v>
      </c>
      <c r="I157" s="70">
        <f t="shared" si="78"/>
        <v>60165.875000000007</v>
      </c>
      <c r="J157" s="70">
        <f t="shared" si="78"/>
        <v>31600.799999999996</v>
      </c>
      <c r="K157" s="70">
        <f t="shared" si="78"/>
        <v>9751.1040000000012</v>
      </c>
      <c r="L157" s="70">
        <f t="shared" si="78"/>
        <v>0</v>
      </c>
      <c r="M157" s="70">
        <f t="shared" si="78"/>
        <v>74333.044499999989</v>
      </c>
      <c r="N157" s="70">
        <f t="shared" si="78"/>
        <v>96861.050000000017</v>
      </c>
      <c r="O157" s="70">
        <f t="shared" si="74"/>
        <v>596506.96125862072</v>
      </c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spans="1:31" ht="12.75" customHeight="1">
      <c r="A158" s="36"/>
      <c r="B158" s="50" t="s">
        <v>46</v>
      </c>
      <c r="C158" s="70">
        <f t="shared" ref="C158:N158" si="79">+C117-C143</f>
        <v>76802.484000000011</v>
      </c>
      <c r="D158" s="70">
        <f t="shared" si="79"/>
        <v>52902.080000000002</v>
      </c>
      <c r="E158" s="70">
        <f t="shared" si="79"/>
        <v>70284.191999999995</v>
      </c>
      <c r="F158" s="70">
        <f t="shared" si="79"/>
        <v>56536.590000000004</v>
      </c>
      <c r="G158" s="70">
        <f t="shared" si="79"/>
        <v>32806.513793103455</v>
      </c>
      <c r="H158" s="70">
        <f t="shared" si="79"/>
        <v>24084.006896551728</v>
      </c>
      <c r="I158" s="70">
        <f t="shared" si="79"/>
        <v>52638.740000000005</v>
      </c>
      <c r="J158" s="70">
        <f t="shared" si="79"/>
        <v>31493.123200000002</v>
      </c>
      <c r="K158" s="70">
        <f t="shared" si="79"/>
        <v>10042.032000000001</v>
      </c>
      <c r="L158" s="70">
        <f t="shared" si="79"/>
        <v>0</v>
      </c>
      <c r="M158" s="70">
        <f t="shared" si="79"/>
        <v>58024.774500000007</v>
      </c>
      <c r="N158" s="70">
        <f t="shared" si="79"/>
        <v>122734.35966000002</v>
      </c>
      <c r="O158" s="70">
        <f t="shared" si="74"/>
        <v>588348.89604965516</v>
      </c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 spans="1:31" ht="12.75" customHeight="1">
      <c r="A159" s="36"/>
      <c r="B159" s="72" t="s">
        <v>25</v>
      </c>
      <c r="C159" s="73">
        <f t="shared" ref="C159:N159" si="80">SUM(C153:C158)</f>
        <v>415201.908</v>
      </c>
      <c r="D159" s="73">
        <f t="shared" si="80"/>
        <v>372489.83200000005</v>
      </c>
      <c r="E159" s="73">
        <f t="shared" si="80"/>
        <v>359127.62599999999</v>
      </c>
      <c r="F159" s="73">
        <f t="shared" si="80"/>
        <v>210916.53</v>
      </c>
      <c r="G159" s="73">
        <f t="shared" si="80"/>
        <v>121219.07031034485</v>
      </c>
      <c r="H159" s="73">
        <f t="shared" si="80"/>
        <v>92830.95344827589</v>
      </c>
      <c r="I159" s="73">
        <f t="shared" si="80"/>
        <v>188045.451</v>
      </c>
      <c r="J159" s="73">
        <f t="shared" si="80"/>
        <v>130841.6912</v>
      </c>
      <c r="K159" s="73">
        <f t="shared" si="80"/>
        <v>39973.5072</v>
      </c>
      <c r="L159" s="73">
        <f t="shared" si="80"/>
        <v>0</v>
      </c>
      <c r="M159" s="73">
        <f t="shared" si="80"/>
        <v>224901.89039999997</v>
      </c>
      <c r="N159" s="73">
        <f t="shared" si="80"/>
        <v>448848.59646000009</v>
      </c>
      <c r="O159" s="73">
        <f t="shared" si="74"/>
        <v>2604397.0560186207</v>
      </c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 spans="1:31" ht="1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78">
        <f>+O159/O103</f>
        <v>596.88852332652982</v>
      </c>
      <c r="P160" s="36">
        <v>487</v>
      </c>
      <c r="Q160" s="79">
        <f>+O160-P160</f>
        <v>109.88852332652982</v>
      </c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>
        <v>13205</v>
      </c>
    </row>
    <row r="161" spans="1:31" ht="13.5" customHeight="1" thickBo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1" ht="15.75" customHeight="1" thickBot="1">
      <c r="A162" s="36"/>
      <c r="B162" s="508" t="s">
        <v>92</v>
      </c>
      <c r="C162" s="509"/>
      <c r="D162" s="509"/>
      <c r="E162" s="509"/>
      <c r="F162" s="509"/>
      <c r="G162" s="509"/>
      <c r="H162" s="509"/>
      <c r="I162" s="509"/>
      <c r="J162" s="509"/>
      <c r="K162" s="509"/>
      <c r="L162" s="509"/>
      <c r="M162" s="509"/>
      <c r="N162" s="509"/>
      <c r="O162" s="510"/>
      <c r="P162" s="36"/>
      <c r="Q162" s="80">
        <f>+Q160/P160</f>
        <v>0.22564378506474295</v>
      </c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>
        <v>500</v>
      </c>
    </row>
    <row r="163" spans="1:31" ht="12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222">
        <f>+AE160/AE162</f>
        <v>26.41</v>
      </c>
    </row>
    <row r="164" spans="1:31" ht="12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 spans="1:31" ht="12.75" customHeight="1">
      <c r="A165" s="36"/>
      <c r="B165" s="36" t="s">
        <v>80</v>
      </c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 spans="1:31" ht="18.75" customHeight="1">
      <c r="A166" s="36"/>
      <c r="B166" s="48" t="s">
        <v>50</v>
      </c>
      <c r="C166" s="49" t="s">
        <v>13</v>
      </c>
      <c r="D166" s="49" t="s">
        <v>14</v>
      </c>
      <c r="E166" s="49" t="s">
        <v>15</v>
      </c>
      <c r="F166" s="49" t="s">
        <v>16</v>
      </c>
      <c r="G166" s="49" t="s">
        <v>51</v>
      </c>
      <c r="H166" s="49" t="s">
        <v>18</v>
      </c>
      <c r="I166" s="49" t="s">
        <v>19</v>
      </c>
      <c r="J166" s="49" t="s">
        <v>20</v>
      </c>
      <c r="K166" s="49" t="s">
        <v>21</v>
      </c>
      <c r="L166" s="49" t="s">
        <v>22</v>
      </c>
      <c r="M166" s="49" t="s">
        <v>23</v>
      </c>
      <c r="N166" s="49" t="s">
        <v>24</v>
      </c>
      <c r="O166" s="49" t="s">
        <v>25</v>
      </c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>
        <v>650</v>
      </c>
    </row>
    <row r="167" spans="1:31" ht="12.75" customHeight="1">
      <c r="A167" s="36"/>
      <c r="B167" s="50" t="s">
        <v>41</v>
      </c>
      <c r="C167" s="70">
        <f t="shared" ref="C167:N167" si="81">+C153/C97</f>
        <v>606.1</v>
      </c>
      <c r="D167" s="70">
        <f t="shared" si="81"/>
        <v>606.10000000000014</v>
      </c>
      <c r="E167" s="70">
        <f t="shared" si="81"/>
        <v>606.10000000000014</v>
      </c>
      <c r="F167" s="70">
        <f t="shared" si="81"/>
        <v>606.1</v>
      </c>
      <c r="G167" s="70">
        <f t="shared" si="81"/>
        <v>514.1400000000001</v>
      </c>
      <c r="H167" s="70">
        <f t="shared" si="81"/>
        <v>514.14</v>
      </c>
      <c r="I167" s="70">
        <f t="shared" si="81"/>
        <v>514.1400000000001</v>
      </c>
      <c r="J167" s="70">
        <f t="shared" si="81"/>
        <v>514.14</v>
      </c>
      <c r="K167" s="70">
        <f t="shared" si="81"/>
        <v>468.16</v>
      </c>
      <c r="L167" s="70"/>
      <c r="M167" s="70">
        <f t="shared" si="81"/>
        <v>480.70000000000005</v>
      </c>
      <c r="N167" s="70">
        <f t="shared" si="81"/>
        <v>693.88</v>
      </c>
      <c r="O167" s="70">
        <f>+O153/O97</f>
        <v>589.66079547503159</v>
      </c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 spans="1:31" ht="12.75" customHeight="1">
      <c r="A168" s="36"/>
      <c r="B168" s="50" t="s">
        <v>42</v>
      </c>
      <c r="C168" s="70">
        <f t="shared" ref="C168:O168" si="82">+C154/C98</f>
        <v>560.12</v>
      </c>
      <c r="D168" s="70">
        <f t="shared" si="82"/>
        <v>560.12</v>
      </c>
      <c r="E168" s="70">
        <f t="shared" si="82"/>
        <v>560.12</v>
      </c>
      <c r="F168" s="70">
        <f t="shared" si="82"/>
        <v>530.86</v>
      </c>
      <c r="G168" s="70">
        <f t="shared" si="82"/>
        <v>472.34</v>
      </c>
      <c r="H168" s="70">
        <f t="shared" si="82"/>
        <v>472.34000000000003</v>
      </c>
      <c r="I168" s="70">
        <f t="shared" si="82"/>
        <v>472.34000000000003</v>
      </c>
      <c r="J168" s="70">
        <f t="shared" si="82"/>
        <v>472.34000000000003</v>
      </c>
      <c r="K168" s="70">
        <f t="shared" si="82"/>
        <v>430.54</v>
      </c>
      <c r="L168" s="70"/>
      <c r="M168" s="70">
        <f t="shared" si="82"/>
        <v>447.26000000000005</v>
      </c>
      <c r="N168" s="70">
        <f t="shared" si="82"/>
        <v>647.90000000000009</v>
      </c>
      <c r="O168" s="70">
        <f t="shared" si="82"/>
        <v>537.6272815012527</v>
      </c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225">
        <f>+AE166+AE163</f>
        <v>676.41</v>
      </c>
    </row>
    <row r="169" spans="1:31" ht="12.75" customHeight="1">
      <c r="A169" s="36"/>
      <c r="B169" s="50" t="s">
        <v>43</v>
      </c>
      <c r="C169" s="275">
        <f t="shared" ref="C169:O169" si="83">+C155/C99</f>
        <v>451.44000000000005</v>
      </c>
      <c r="D169" s="70">
        <f t="shared" si="83"/>
        <v>451.44</v>
      </c>
      <c r="E169" s="70">
        <f t="shared" si="83"/>
        <v>451.44000000000005</v>
      </c>
      <c r="F169" s="70">
        <f t="shared" si="83"/>
        <v>426.36</v>
      </c>
      <c r="G169" s="70">
        <f t="shared" si="83"/>
        <v>372.02000000000004</v>
      </c>
      <c r="H169" s="70">
        <f t="shared" si="83"/>
        <v>372.02000000000004</v>
      </c>
      <c r="I169" s="70">
        <f t="shared" si="83"/>
        <v>372.02000000000004</v>
      </c>
      <c r="J169" s="70">
        <f t="shared" si="83"/>
        <v>372.02</v>
      </c>
      <c r="K169" s="70">
        <f t="shared" si="83"/>
        <v>338.58</v>
      </c>
      <c r="L169" s="70"/>
      <c r="M169" s="70">
        <f t="shared" si="83"/>
        <v>346.94000000000005</v>
      </c>
      <c r="N169" s="70">
        <f t="shared" si="83"/>
        <v>526.68000000000006</v>
      </c>
      <c r="O169" s="70">
        <f t="shared" si="83"/>
        <v>431.54041488637068</v>
      </c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 spans="1:31" ht="12.75" customHeight="1">
      <c r="A170" s="36"/>
      <c r="B170" s="50" t="s">
        <v>44</v>
      </c>
      <c r="C170" s="276">
        <f t="shared" ref="C170:O170" si="84">+C156/C100</f>
        <v>405.46000000000004</v>
      </c>
      <c r="D170" s="276">
        <f t="shared" si="84"/>
        <v>405.46000000000004</v>
      </c>
      <c r="E170" s="276">
        <f t="shared" si="84"/>
        <v>405.46000000000004</v>
      </c>
      <c r="F170" s="276">
        <f t="shared" si="84"/>
        <v>372.02000000000004</v>
      </c>
      <c r="G170" s="276">
        <f t="shared" si="84"/>
        <v>330.22</v>
      </c>
      <c r="H170" s="276">
        <f t="shared" si="84"/>
        <v>330.21999999999997</v>
      </c>
      <c r="I170" s="276">
        <f t="shared" si="84"/>
        <v>330.22</v>
      </c>
      <c r="J170" s="276">
        <f t="shared" si="84"/>
        <v>330.22</v>
      </c>
      <c r="K170" s="70"/>
      <c r="L170" s="70"/>
      <c r="M170" s="276">
        <f t="shared" si="84"/>
        <v>313.50000000000006</v>
      </c>
      <c r="N170" s="276">
        <f t="shared" si="84"/>
        <v>480.70000000000005</v>
      </c>
      <c r="O170" s="70">
        <f t="shared" si="84"/>
        <v>388.71625791526031</v>
      </c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1" ht="12.75" customHeight="1">
      <c r="A171" s="36"/>
      <c r="B171" s="50" t="s">
        <v>45</v>
      </c>
      <c r="C171" s="70">
        <f t="shared" ref="C171:O171" si="85">+C157/C101</f>
        <v>848.54</v>
      </c>
      <c r="D171" s="70">
        <f t="shared" si="85"/>
        <v>848.54000000000019</v>
      </c>
      <c r="E171" s="70">
        <f t="shared" si="85"/>
        <v>848.54000000000008</v>
      </c>
      <c r="F171" s="70">
        <f t="shared" si="85"/>
        <v>810.92000000000007</v>
      </c>
      <c r="G171" s="70">
        <f t="shared" si="85"/>
        <v>731.50000000000011</v>
      </c>
      <c r="H171" s="70">
        <f t="shared" si="85"/>
        <v>731.50000000000011</v>
      </c>
      <c r="I171" s="70">
        <f t="shared" si="85"/>
        <v>731.50000000000011</v>
      </c>
      <c r="J171" s="70">
        <f t="shared" si="85"/>
        <v>731.5</v>
      </c>
      <c r="K171" s="70"/>
      <c r="L171" s="70"/>
      <c r="M171" s="70">
        <f t="shared" si="85"/>
        <v>706.42000000000007</v>
      </c>
      <c r="N171" s="70">
        <f t="shared" si="85"/>
        <v>961.4000000000002</v>
      </c>
      <c r="O171" s="70">
        <f t="shared" si="85"/>
        <v>806.34693356577748</v>
      </c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 spans="1:31" ht="13.5" customHeight="1" thickBot="1">
      <c r="A172" s="36"/>
      <c r="B172" s="50" t="s">
        <v>46</v>
      </c>
      <c r="C172" s="275">
        <f t="shared" ref="C172:O172" si="86">+C158/C102</f>
        <v>944.68000000000018</v>
      </c>
      <c r="D172" s="70">
        <f t="shared" si="86"/>
        <v>944.68000000000006</v>
      </c>
      <c r="E172" s="70">
        <f t="shared" si="86"/>
        <v>944.68000000000006</v>
      </c>
      <c r="F172" s="70">
        <f t="shared" si="86"/>
        <v>890.34</v>
      </c>
      <c r="G172" s="70">
        <f t="shared" si="86"/>
        <v>819.28000000000009</v>
      </c>
      <c r="H172" s="70">
        <f t="shared" si="86"/>
        <v>819.28000000000009</v>
      </c>
      <c r="I172" s="70">
        <f t="shared" si="86"/>
        <v>819.28000000000009</v>
      </c>
      <c r="J172" s="70">
        <f t="shared" si="86"/>
        <v>819.28000000000009</v>
      </c>
      <c r="K172" s="70"/>
      <c r="L172" s="70"/>
      <c r="M172" s="70">
        <f t="shared" si="86"/>
        <v>806.74000000000012</v>
      </c>
      <c r="N172" s="70">
        <f t="shared" si="86"/>
        <v>1071.7520000000002</v>
      </c>
      <c r="O172" s="81">
        <f t="shared" si="86"/>
        <v>909.38828100393926</v>
      </c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 spans="1:31" ht="18.75" customHeight="1" thickBot="1">
      <c r="A173" s="36"/>
      <c r="B173" s="72" t="s">
        <v>25</v>
      </c>
      <c r="C173" s="82">
        <f t="shared" ref="C173:O173" si="87">+C159/C103</f>
        <v>595.27155268817205</v>
      </c>
      <c r="D173" s="82">
        <f t="shared" si="87"/>
        <v>583.47404761904772</v>
      </c>
      <c r="E173" s="82">
        <f t="shared" si="87"/>
        <v>590.96203060720745</v>
      </c>
      <c r="F173" s="82">
        <f t="shared" si="87"/>
        <v>635.29075301204819</v>
      </c>
      <c r="G173" s="82">
        <f t="shared" si="87"/>
        <v>521.40327776212166</v>
      </c>
      <c r="H173" s="82">
        <f t="shared" si="87"/>
        <v>553.70169683257927</v>
      </c>
      <c r="I173" s="82">
        <f t="shared" si="87"/>
        <v>566.23140921409208</v>
      </c>
      <c r="J173" s="82">
        <f t="shared" si="87"/>
        <v>520.61790227598283</v>
      </c>
      <c r="K173" s="82">
        <f t="shared" si="87"/>
        <v>485.58682215743437</v>
      </c>
      <c r="L173" s="82"/>
      <c r="M173" s="82">
        <f t="shared" si="87"/>
        <v>548.40743818580836</v>
      </c>
      <c r="N173" s="83">
        <f t="shared" si="87"/>
        <v>733.76343507313561</v>
      </c>
      <c r="O173" s="84">
        <f t="shared" si="87"/>
        <v>596.88852332652982</v>
      </c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 spans="1:31" ht="12.75" customHeight="1">
      <c r="A174" s="36"/>
      <c r="B174" s="36"/>
      <c r="C174" s="36"/>
      <c r="D174" s="273">
        <f>(D173-C173)/C173</f>
        <v>-1.9818694536717345E-2</v>
      </c>
      <c r="E174" s="273">
        <f t="shared" ref="E174:K174" si="88">(E173-D173)/D173</f>
        <v>1.2833446523826642E-2</v>
      </c>
      <c r="F174" s="273">
        <f t="shared" si="88"/>
        <v>7.5011117650474801E-2</v>
      </c>
      <c r="G174" s="273">
        <f t="shared" si="88"/>
        <v>-0.17926827159054631</v>
      </c>
      <c r="H174" s="274">
        <f t="shared" si="88"/>
        <v>6.1945178421362032E-2</v>
      </c>
      <c r="I174" s="273">
        <f t="shared" si="88"/>
        <v>2.2628994011014151E-2</v>
      </c>
      <c r="J174" s="274">
        <f t="shared" si="88"/>
        <v>-8.055629941373102E-2</v>
      </c>
      <c r="K174" s="273">
        <f t="shared" si="88"/>
        <v>-6.7287505799172961E-2</v>
      </c>
      <c r="L174" s="272"/>
      <c r="M174" s="274">
        <f>(M173-K173)/K173</f>
        <v>0.12937051246420897</v>
      </c>
      <c r="N174" s="274">
        <f>(N173-M173)/M173</f>
        <v>0.33798957486883313</v>
      </c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 spans="1:31" ht="12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>
        <v>487</v>
      </c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spans="1:31" ht="30" customHeight="1">
      <c r="A176" s="36"/>
      <c r="B176" s="41" t="s">
        <v>93</v>
      </c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71">
        <f>+O173-O175</f>
        <v>109.88852332652982</v>
      </c>
      <c r="P176" s="16">
        <f>+O176/O175</f>
        <v>0.22564378506474295</v>
      </c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 spans="1:30" ht="12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 spans="1:30" ht="12.75" customHeight="1">
      <c r="A178" s="36"/>
      <c r="B178" s="36" t="s">
        <v>94</v>
      </c>
      <c r="C178" s="36">
        <v>1.8</v>
      </c>
      <c r="D178" s="36">
        <v>1.8</v>
      </c>
      <c r="E178" s="36">
        <v>1.8</v>
      </c>
      <c r="F178" s="36">
        <v>1.8</v>
      </c>
      <c r="G178" s="36">
        <v>1.8</v>
      </c>
      <c r="H178" s="36">
        <v>1.8</v>
      </c>
      <c r="I178" s="36">
        <v>1.8</v>
      </c>
      <c r="J178" s="36">
        <v>1.8</v>
      </c>
      <c r="K178" s="36">
        <v>1.8</v>
      </c>
      <c r="L178" s="36">
        <v>1.8</v>
      </c>
      <c r="M178" s="36">
        <v>1.8</v>
      </c>
      <c r="N178" s="36">
        <v>1.8</v>
      </c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 spans="1:30" ht="12.75" customHeight="1">
      <c r="A179" s="36"/>
      <c r="B179" s="36" t="s">
        <v>80</v>
      </c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 spans="1:30" ht="18.75" customHeight="1">
      <c r="A180" s="36"/>
      <c r="B180" s="48" t="s">
        <v>50</v>
      </c>
      <c r="C180" s="49" t="s">
        <v>13</v>
      </c>
      <c r="D180" s="49" t="s">
        <v>14</v>
      </c>
      <c r="E180" s="49" t="s">
        <v>15</v>
      </c>
      <c r="F180" s="49" t="s">
        <v>16</v>
      </c>
      <c r="G180" s="49" t="s">
        <v>51</v>
      </c>
      <c r="H180" s="49" t="s">
        <v>18</v>
      </c>
      <c r="I180" s="49" t="s">
        <v>19</v>
      </c>
      <c r="J180" s="49" t="s">
        <v>20</v>
      </c>
      <c r="K180" s="49" t="s">
        <v>21</v>
      </c>
      <c r="L180" s="49" t="s">
        <v>22</v>
      </c>
      <c r="M180" s="49" t="s">
        <v>23</v>
      </c>
      <c r="N180" s="49" t="s">
        <v>24</v>
      </c>
      <c r="O180" s="49" t="s">
        <v>25</v>
      </c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 spans="1:30" ht="12.75" customHeight="1">
      <c r="A181" s="36"/>
      <c r="B181" s="50" t="s">
        <v>41</v>
      </c>
      <c r="C181" s="67">
        <f>+C$178*C97</f>
        <v>301.32</v>
      </c>
      <c r="D181" s="67">
        <f t="shared" ref="D181:N181" si="89">+D$178*D97</f>
        <v>251.28</v>
      </c>
      <c r="E181" s="67">
        <f t="shared" si="89"/>
        <v>224.1</v>
      </c>
      <c r="F181" s="67">
        <f t="shared" si="89"/>
        <v>167.4</v>
      </c>
      <c r="G181" s="67">
        <f t="shared" si="89"/>
        <v>86.22</v>
      </c>
      <c r="H181" s="67">
        <f t="shared" si="89"/>
        <v>48.6</v>
      </c>
      <c r="I181" s="67">
        <f t="shared" si="89"/>
        <v>83.7</v>
      </c>
      <c r="J181" s="67">
        <f t="shared" si="89"/>
        <v>66.960000000000008</v>
      </c>
      <c r="K181" s="67">
        <f t="shared" si="89"/>
        <v>20.736000000000001</v>
      </c>
      <c r="L181" s="67">
        <f t="shared" si="89"/>
        <v>0</v>
      </c>
      <c r="M181" s="67">
        <f t="shared" si="89"/>
        <v>129.6</v>
      </c>
      <c r="N181" s="67">
        <f t="shared" si="89"/>
        <v>217.62</v>
      </c>
      <c r="O181" s="67">
        <f t="shared" ref="O181:O186" si="90">SUM(C181:N181)</f>
        <v>1597.5360000000001</v>
      </c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 spans="1:30" ht="12.75" customHeight="1">
      <c r="A182" s="36"/>
      <c r="B182" s="50" t="s">
        <v>42</v>
      </c>
      <c r="C182" s="67">
        <f t="shared" ref="C182:N182" si="91">+C$178*C98</f>
        <v>100.44000000000001</v>
      </c>
      <c r="D182" s="67">
        <f t="shared" si="91"/>
        <v>122.75999999999998</v>
      </c>
      <c r="E182" s="67">
        <f t="shared" si="91"/>
        <v>100.44000000000001</v>
      </c>
      <c r="F182" s="67">
        <f t="shared" si="91"/>
        <v>37.800000000000004</v>
      </c>
      <c r="G182" s="67">
        <f t="shared" si="91"/>
        <v>34.231034482758623</v>
      </c>
      <c r="H182" s="67">
        <f t="shared" si="91"/>
        <v>17.689655172413797</v>
      </c>
      <c r="I182" s="67">
        <f t="shared" si="91"/>
        <v>39.06</v>
      </c>
      <c r="J182" s="67">
        <f t="shared" si="91"/>
        <v>40.176000000000002</v>
      </c>
      <c r="K182" s="67">
        <f t="shared" si="91"/>
        <v>17.28</v>
      </c>
      <c r="L182" s="67">
        <f t="shared" si="91"/>
        <v>0</v>
      </c>
      <c r="M182" s="67">
        <f t="shared" si="91"/>
        <v>78.245999999999995</v>
      </c>
      <c r="N182" s="67">
        <f t="shared" si="91"/>
        <v>94.86</v>
      </c>
      <c r="O182" s="67">
        <f t="shared" si="90"/>
        <v>682.98268965517241</v>
      </c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 spans="1:30" ht="12.75" customHeight="1">
      <c r="A183" s="36"/>
      <c r="B183" s="50" t="s">
        <v>43</v>
      </c>
      <c r="C183" s="67">
        <f t="shared" ref="C183:N183" si="92">+C$178*C99</f>
        <v>200.88000000000002</v>
      </c>
      <c r="D183" s="67">
        <f t="shared" si="92"/>
        <v>178.92</v>
      </c>
      <c r="E183" s="67">
        <f t="shared" si="92"/>
        <v>173.88000000000002</v>
      </c>
      <c r="F183" s="67">
        <f t="shared" si="92"/>
        <v>64.8</v>
      </c>
      <c r="G183" s="67">
        <f t="shared" si="92"/>
        <v>55.800000000000004</v>
      </c>
      <c r="H183" s="67">
        <f t="shared" si="92"/>
        <v>39.6</v>
      </c>
      <c r="I183" s="67">
        <f t="shared" si="92"/>
        <v>99.72</v>
      </c>
      <c r="J183" s="67">
        <f t="shared" si="92"/>
        <v>73.296000000000006</v>
      </c>
      <c r="K183" s="67">
        <f t="shared" si="92"/>
        <v>25.919999999999998</v>
      </c>
      <c r="L183" s="67">
        <f t="shared" si="92"/>
        <v>0</v>
      </c>
      <c r="M183" s="67">
        <f t="shared" si="92"/>
        <v>89.424000000000007</v>
      </c>
      <c r="N183" s="67">
        <f t="shared" si="92"/>
        <v>160.488</v>
      </c>
      <c r="O183" s="67">
        <f t="shared" si="90"/>
        <v>1162.7280000000001</v>
      </c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 spans="1:30" ht="12.75" customHeight="1">
      <c r="A184" s="36"/>
      <c r="B184" s="50" t="s">
        <v>44</v>
      </c>
      <c r="C184" s="67">
        <f t="shared" ref="C184:N184" si="93">+C$178*C100</f>
        <v>339.12</v>
      </c>
      <c r="D184" s="67">
        <f t="shared" si="93"/>
        <v>331.56000000000006</v>
      </c>
      <c r="E184" s="67">
        <f t="shared" si="93"/>
        <v>321.12</v>
      </c>
      <c r="F184" s="67">
        <f t="shared" si="93"/>
        <v>100.8</v>
      </c>
      <c r="G184" s="67">
        <f t="shared" si="93"/>
        <v>116.06896551724138</v>
      </c>
      <c r="H184" s="67">
        <f t="shared" si="93"/>
        <v>72.062068965517241</v>
      </c>
      <c r="I184" s="67">
        <f t="shared" si="93"/>
        <v>111.60000000000001</v>
      </c>
      <c r="J184" s="67">
        <f t="shared" si="93"/>
        <v>124.992</v>
      </c>
      <c r="K184" s="67">
        <f t="shared" si="93"/>
        <v>34.56</v>
      </c>
      <c r="L184" s="67">
        <f t="shared" si="93"/>
        <v>0</v>
      </c>
      <c r="M184" s="67">
        <f t="shared" si="93"/>
        <v>122.03999999999999</v>
      </c>
      <c r="N184" s="67">
        <f t="shared" si="93"/>
        <v>240.62400000000002</v>
      </c>
      <c r="O184" s="67">
        <f t="shared" si="90"/>
        <v>1914.5470344827586</v>
      </c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 spans="1:30" ht="12.75" customHeight="1">
      <c r="A185" s="36"/>
      <c r="B185" s="50" t="s">
        <v>45</v>
      </c>
      <c r="C185" s="67">
        <f t="shared" ref="C185:N185" si="94">+C$178*C101</f>
        <v>167.4</v>
      </c>
      <c r="D185" s="67">
        <f t="shared" si="94"/>
        <v>163.80000000000001</v>
      </c>
      <c r="E185" s="67">
        <f t="shared" si="94"/>
        <v>140.4</v>
      </c>
      <c r="F185" s="67">
        <f t="shared" si="94"/>
        <v>112.5</v>
      </c>
      <c r="G185" s="67">
        <f t="shared" si="94"/>
        <v>54.077586206896555</v>
      </c>
      <c r="H185" s="67">
        <f t="shared" si="94"/>
        <v>70.913793103448285</v>
      </c>
      <c r="I185" s="67">
        <f t="shared" si="94"/>
        <v>148.05000000000001</v>
      </c>
      <c r="J185" s="67">
        <f t="shared" si="94"/>
        <v>77.759999999999991</v>
      </c>
      <c r="K185" s="67">
        <f t="shared" si="94"/>
        <v>25.92</v>
      </c>
      <c r="L185" s="67">
        <f t="shared" si="94"/>
        <v>0</v>
      </c>
      <c r="M185" s="67">
        <f t="shared" si="94"/>
        <v>189.40499999999997</v>
      </c>
      <c r="N185" s="67">
        <f t="shared" si="94"/>
        <v>181.35</v>
      </c>
      <c r="O185" s="67">
        <f t="shared" si="90"/>
        <v>1331.5763793103447</v>
      </c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 spans="1:30" ht="12.75" customHeight="1">
      <c r="A186" s="36"/>
      <c r="B186" s="50" t="s">
        <v>46</v>
      </c>
      <c r="C186" s="67">
        <f t="shared" ref="C186:N186" si="95">+C$178*C102</f>
        <v>146.34</v>
      </c>
      <c r="D186" s="67">
        <f t="shared" si="95"/>
        <v>100.8</v>
      </c>
      <c r="E186" s="67">
        <f t="shared" si="95"/>
        <v>133.91999999999999</v>
      </c>
      <c r="F186" s="67">
        <f t="shared" si="95"/>
        <v>114.3</v>
      </c>
      <c r="G186" s="67">
        <f t="shared" si="95"/>
        <v>72.077586206896555</v>
      </c>
      <c r="H186" s="67">
        <f t="shared" si="95"/>
        <v>52.913793103448278</v>
      </c>
      <c r="I186" s="67">
        <f t="shared" si="95"/>
        <v>115.65</v>
      </c>
      <c r="J186" s="67">
        <f t="shared" si="95"/>
        <v>69.191999999999993</v>
      </c>
      <c r="K186" s="67">
        <f t="shared" si="95"/>
        <v>23.759999999999998</v>
      </c>
      <c r="L186" s="67">
        <f t="shared" si="95"/>
        <v>0</v>
      </c>
      <c r="M186" s="67">
        <f t="shared" si="95"/>
        <v>129.465</v>
      </c>
      <c r="N186" s="67">
        <f t="shared" si="95"/>
        <v>206.13149999999999</v>
      </c>
      <c r="O186" s="67">
        <f t="shared" si="90"/>
        <v>1164.5498793103447</v>
      </c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 spans="1:30" ht="12.75" customHeight="1">
      <c r="A187" s="36"/>
      <c r="B187" s="36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 spans="1:30" ht="12.75" customHeight="1">
      <c r="A188" s="36"/>
      <c r="B188" s="72" t="s">
        <v>25</v>
      </c>
      <c r="C188" s="85">
        <f t="shared" ref="C188:N188" si="96">SUM(C181:C187)</f>
        <v>1255.5</v>
      </c>
      <c r="D188" s="85">
        <f t="shared" si="96"/>
        <v>1149.1199999999999</v>
      </c>
      <c r="E188" s="85">
        <f t="shared" si="96"/>
        <v>1093.8600000000001</v>
      </c>
      <c r="F188" s="85">
        <f t="shared" si="96"/>
        <v>597.6</v>
      </c>
      <c r="G188" s="85">
        <f t="shared" si="96"/>
        <v>418.47517241379313</v>
      </c>
      <c r="H188" s="85">
        <f t="shared" si="96"/>
        <v>301.77931034482759</v>
      </c>
      <c r="I188" s="85">
        <f t="shared" si="96"/>
        <v>597.78000000000009</v>
      </c>
      <c r="J188" s="85">
        <f t="shared" si="96"/>
        <v>452.37600000000003</v>
      </c>
      <c r="K188" s="85">
        <f t="shared" si="96"/>
        <v>148.17600000000002</v>
      </c>
      <c r="L188" s="85">
        <f t="shared" si="96"/>
        <v>0</v>
      </c>
      <c r="M188" s="85">
        <f t="shared" si="96"/>
        <v>738.18</v>
      </c>
      <c r="N188" s="85">
        <f t="shared" si="96"/>
        <v>1101.0735000000002</v>
      </c>
      <c r="O188" s="85">
        <f>SUM(C188:N188)</f>
        <v>7853.9199827586217</v>
      </c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  <row r="189" spans="1:30" ht="12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</row>
    <row r="190" spans="1:30" ht="12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</row>
    <row r="191" spans="1:30" ht="12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</row>
    <row r="192" spans="1:30" ht="30.75" customHeight="1" thickBot="1">
      <c r="A192" s="36"/>
      <c r="B192" s="41" t="s">
        <v>75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</row>
    <row r="193" spans="1:30" ht="15.75" customHeight="1">
      <c r="A193" s="36"/>
      <c r="B193" s="36" t="s">
        <v>76</v>
      </c>
      <c r="C193" s="504"/>
      <c r="D193" s="505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</row>
    <row r="194" spans="1:30" ht="15.75" customHeight="1">
      <c r="A194" s="36"/>
      <c r="B194" s="36"/>
      <c r="C194" s="58" t="s">
        <v>62</v>
      </c>
      <c r="D194" s="59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</row>
    <row r="195" spans="1:30" ht="15" customHeight="1">
      <c r="A195" s="36"/>
      <c r="B195" s="36" t="s">
        <v>64</v>
      </c>
      <c r="C195" s="405">
        <f>+C82</f>
        <v>35</v>
      </c>
      <c r="D195" s="405">
        <f t="shared" ref="D195:N195" si="97">+D82</f>
        <v>35</v>
      </c>
      <c r="E195" s="405">
        <f t="shared" si="97"/>
        <v>35</v>
      </c>
      <c r="F195" s="64">
        <f t="shared" si="97"/>
        <v>35</v>
      </c>
      <c r="G195" s="64">
        <f t="shared" si="97"/>
        <v>35</v>
      </c>
      <c r="H195" s="64">
        <f t="shared" si="97"/>
        <v>35</v>
      </c>
      <c r="I195" s="64">
        <f t="shared" si="97"/>
        <v>35</v>
      </c>
      <c r="J195" s="64">
        <f t="shared" si="97"/>
        <v>35</v>
      </c>
      <c r="K195" s="64">
        <f t="shared" si="97"/>
        <v>35</v>
      </c>
      <c r="L195" s="64">
        <f t="shared" si="97"/>
        <v>35</v>
      </c>
      <c r="M195" s="64">
        <f t="shared" si="97"/>
        <v>35</v>
      </c>
      <c r="N195" s="64">
        <f t="shared" si="97"/>
        <v>35</v>
      </c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</row>
    <row r="196" spans="1:30" ht="15" customHeight="1">
      <c r="A196" s="36"/>
      <c r="B196" s="36" t="s">
        <v>66</v>
      </c>
      <c r="C196" s="64">
        <f>+C83</f>
        <v>18</v>
      </c>
      <c r="D196" s="64">
        <f t="shared" ref="D196:N196" si="98">+D83</f>
        <v>18</v>
      </c>
      <c r="E196" s="64">
        <f t="shared" si="98"/>
        <v>18</v>
      </c>
      <c r="F196" s="64">
        <f t="shared" si="98"/>
        <v>18</v>
      </c>
      <c r="G196" s="64">
        <f t="shared" si="98"/>
        <v>18</v>
      </c>
      <c r="H196" s="64">
        <f t="shared" si="98"/>
        <v>18</v>
      </c>
      <c r="I196" s="64">
        <f t="shared" si="98"/>
        <v>18</v>
      </c>
      <c r="J196" s="64">
        <f t="shared" si="98"/>
        <v>18</v>
      </c>
      <c r="K196" s="64">
        <f t="shared" si="98"/>
        <v>18</v>
      </c>
      <c r="L196" s="64">
        <f t="shared" si="98"/>
        <v>18</v>
      </c>
      <c r="M196" s="64">
        <f t="shared" si="98"/>
        <v>18</v>
      </c>
      <c r="N196" s="64">
        <f t="shared" si="98"/>
        <v>18</v>
      </c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 spans="1:30" ht="15" customHeight="1">
      <c r="A197" s="36"/>
      <c r="B197" s="36" t="s">
        <v>68</v>
      </c>
      <c r="C197" s="64">
        <f>+C84</f>
        <v>36</v>
      </c>
      <c r="D197" s="64">
        <f t="shared" ref="D197:N197" si="99">+D84</f>
        <v>36</v>
      </c>
      <c r="E197" s="64">
        <f t="shared" si="99"/>
        <v>36</v>
      </c>
      <c r="F197" s="64">
        <f t="shared" si="99"/>
        <v>36</v>
      </c>
      <c r="G197" s="64">
        <f t="shared" si="99"/>
        <v>36</v>
      </c>
      <c r="H197" s="64">
        <f t="shared" si="99"/>
        <v>36</v>
      </c>
      <c r="I197" s="64">
        <f t="shared" si="99"/>
        <v>36</v>
      </c>
      <c r="J197" s="64">
        <f t="shared" si="99"/>
        <v>36</v>
      </c>
      <c r="K197" s="64">
        <f t="shared" si="99"/>
        <v>36</v>
      </c>
      <c r="L197" s="64">
        <f t="shared" si="99"/>
        <v>36</v>
      </c>
      <c r="M197" s="64">
        <f t="shared" si="99"/>
        <v>36</v>
      </c>
      <c r="N197" s="64">
        <f t="shared" si="99"/>
        <v>36</v>
      </c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</row>
    <row r="198" spans="1:30" ht="15" customHeight="1">
      <c r="A198" s="36"/>
      <c r="B198" s="36" t="s">
        <v>70</v>
      </c>
      <c r="C198" s="64">
        <f>+C85</f>
        <v>54</v>
      </c>
      <c r="D198" s="64">
        <f t="shared" ref="D198:N198" si="100">+D85</f>
        <v>54</v>
      </c>
      <c r="E198" s="64">
        <f t="shared" si="100"/>
        <v>54</v>
      </c>
      <c r="F198" s="64">
        <f t="shared" si="100"/>
        <v>54</v>
      </c>
      <c r="G198" s="64">
        <f t="shared" si="100"/>
        <v>54</v>
      </c>
      <c r="H198" s="64">
        <f t="shared" si="100"/>
        <v>54</v>
      </c>
      <c r="I198" s="64">
        <f t="shared" si="100"/>
        <v>54</v>
      </c>
      <c r="J198" s="64">
        <f t="shared" si="100"/>
        <v>54</v>
      </c>
      <c r="K198" s="64">
        <f t="shared" si="100"/>
        <v>54</v>
      </c>
      <c r="L198" s="64">
        <f t="shared" si="100"/>
        <v>54</v>
      </c>
      <c r="M198" s="64">
        <f t="shared" si="100"/>
        <v>54</v>
      </c>
      <c r="N198" s="64">
        <f t="shared" si="100"/>
        <v>54</v>
      </c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</row>
    <row r="199" spans="1:30" ht="15" customHeight="1">
      <c r="A199" s="36"/>
      <c r="B199" s="36" t="s">
        <v>72</v>
      </c>
      <c r="C199" s="64">
        <f t="shared" ref="C199:N199" si="101">+C86</f>
        <v>48</v>
      </c>
      <c r="D199" s="64">
        <f t="shared" si="101"/>
        <v>48</v>
      </c>
      <c r="E199" s="64">
        <f t="shared" si="101"/>
        <v>48</v>
      </c>
      <c r="F199" s="64">
        <f t="shared" si="101"/>
        <v>48</v>
      </c>
      <c r="G199" s="64">
        <f t="shared" si="101"/>
        <v>48</v>
      </c>
      <c r="H199" s="64">
        <f t="shared" si="101"/>
        <v>48</v>
      </c>
      <c r="I199" s="64">
        <f t="shared" si="101"/>
        <v>48</v>
      </c>
      <c r="J199" s="64">
        <f t="shared" si="101"/>
        <v>48</v>
      </c>
      <c r="K199" s="64">
        <f t="shared" si="101"/>
        <v>48</v>
      </c>
      <c r="L199" s="64">
        <f t="shared" si="101"/>
        <v>48</v>
      </c>
      <c r="M199" s="64">
        <f t="shared" si="101"/>
        <v>48</v>
      </c>
      <c r="N199" s="64">
        <f t="shared" si="101"/>
        <v>48</v>
      </c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</row>
    <row r="200" spans="1:30" ht="15" customHeight="1">
      <c r="A200" s="36"/>
      <c r="B200" s="36" t="s">
        <v>74</v>
      </c>
      <c r="C200" s="64">
        <f t="shared" ref="C200:N200" si="102">+C87</f>
        <v>53</v>
      </c>
      <c r="D200" s="64">
        <f t="shared" si="102"/>
        <v>53</v>
      </c>
      <c r="E200" s="64">
        <f t="shared" si="102"/>
        <v>53</v>
      </c>
      <c r="F200" s="64">
        <f t="shared" si="102"/>
        <v>53</v>
      </c>
      <c r="G200" s="64">
        <f t="shared" si="102"/>
        <v>53</v>
      </c>
      <c r="H200" s="64">
        <f t="shared" si="102"/>
        <v>53</v>
      </c>
      <c r="I200" s="64">
        <f t="shared" si="102"/>
        <v>53</v>
      </c>
      <c r="J200" s="64">
        <f t="shared" si="102"/>
        <v>53</v>
      </c>
      <c r="K200" s="64">
        <f t="shared" si="102"/>
        <v>53</v>
      </c>
      <c r="L200" s="64">
        <f t="shared" si="102"/>
        <v>53</v>
      </c>
      <c r="M200" s="64">
        <f t="shared" si="102"/>
        <v>53</v>
      </c>
      <c r="N200" s="64">
        <f t="shared" si="102"/>
        <v>53</v>
      </c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</row>
    <row r="201" spans="1:30" ht="13.5" customHeight="1" thickBo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</row>
    <row r="202" spans="1:30" ht="13.5" customHeight="1" thickBot="1">
      <c r="A202" s="36"/>
      <c r="B202" s="62" t="s">
        <v>47</v>
      </c>
      <c r="C202" s="63">
        <f>SUM(C195:C201)</f>
        <v>244</v>
      </c>
      <c r="D202" s="63">
        <f>SUM(D195:D201)</f>
        <v>244</v>
      </c>
      <c r="E202" s="63">
        <f t="shared" ref="E202:N202" si="103">SUM(E195:E201)</f>
        <v>244</v>
      </c>
      <c r="F202" s="63">
        <f t="shared" si="103"/>
        <v>244</v>
      </c>
      <c r="G202" s="63">
        <f t="shared" si="103"/>
        <v>244</v>
      </c>
      <c r="H202" s="63">
        <f t="shared" si="103"/>
        <v>244</v>
      </c>
      <c r="I202" s="63">
        <f t="shared" si="103"/>
        <v>244</v>
      </c>
      <c r="J202" s="63">
        <f t="shared" si="103"/>
        <v>244</v>
      </c>
      <c r="K202" s="63">
        <f t="shared" si="103"/>
        <v>244</v>
      </c>
      <c r="L202" s="63">
        <f t="shared" si="103"/>
        <v>244</v>
      </c>
      <c r="M202" s="63">
        <f t="shared" si="103"/>
        <v>244</v>
      </c>
      <c r="N202" s="63">
        <f t="shared" si="103"/>
        <v>244</v>
      </c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</row>
    <row r="203" spans="1:30" ht="12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</row>
    <row r="204" spans="1:30" ht="12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 spans="1:30" ht="12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</row>
    <row r="206" spans="1:30" ht="30.75" customHeight="1" thickBot="1">
      <c r="A206" s="36"/>
      <c r="B206" s="41" t="s">
        <v>95</v>
      </c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</row>
    <row r="207" spans="1:30" ht="15.75" customHeight="1">
      <c r="A207" s="36"/>
      <c r="B207" s="36" t="s">
        <v>76</v>
      </c>
      <c r="C207" s="504"/>
      <c r="D207" s="505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</row>
    <row r="208" spans="1:30" ht="15.75" customHeight="1">
      <c r="A208" s="36"/>
      <c r="B208" s="36"/>
      <c r="C208" s="58" t="s">
        <v>62</v>
      </c>
      <c r="D208" s="59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</row>
    <row r="209" spans="1:30" ht="15.75" customHeight="1">
      <c r="A209" s="36"/>
      <c r="B209" s="36"/>
      <c r="C209" s="86"/>
      <c r="D209" s="8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</row>
    <row r="210" spans="1:30" ht="15" customHeight="1">
      <c r="A210" s="36"/>
      <c r="B210" s="36" t="s">
        <v>64</v>
      </c>
      <c r="C210" s="64">
        <f t="shared" ref="C210:K210" si="104">+C195*C$188</f>
        <v>43942.5</v>
      </c>
      <c r="D210" s="64">
        <f t="shared" si="104"/>
        <v>40219.199999999997</v>
      </c>
      <c r="E210" s="64">
        <f t="shared" si="104"/>
        <v>38285.100000000006</v>
      </c>
      <c r="F210" s="64">
        <f t="shared" si="104"/>
        <v>20916</v>
      </c>
      <c r="G210" s="64">
        <f t="shared" si="104"/>
        <v>14646.63103448276</v>
      </c>
      <c r="H210" s="64">
        <f t="shared" si="104"/>
        <v>10562.275862068966</v>
      </c>
      <c r="I210" s="64">
        <f t="shared" si="104"/>
        <v>20922.300000000003</v>
      </c>
      <c r="J210" s="64">
        <f t="shared" si="104"/>
        <v>15833.160000000002</v>
      </c>
      <c r="K210" s="64">
        <f t="shared" si="104"/>
        <v>5186.1600000000008</v>
      </c>
      <c r="L210" s="64">
        <f t="shared" ref="L210:N210" si="105">+L195*L$188</f>
        <v>0</v>
      </c>
      <c r="M210" s="64">
        <f t="shared" si="105"/>
        <v>25836.3</v>
      </c>
      <c r="N210" s="64">
        <f t="shared" si="105"/>
        <v>38537.572500000009</v>
      </c>
      <c r="O210" s="61">
        <f t="shared" ref="O210:O215" si="106">SUM(C210:N210)</f>
        <v>274887.1993965517</v>
      </c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</row>
    <row r="211" spans="1:30" ht="15" customHeight="1">
      <c r="A211" s="36"/>
      <c r="B211" s="36" t="s">
        <v>66</v>
      </c>
      <c r="C211" s="64">
        <f>+C196*C$188</f>
        <v>22599</v>
      </c>
      <c r="D211" s="64">
        <f t="shared" ref="D211:N211" si="107">+D196*D$188</f>
        <v>20684.159999999996</v>
      </c>
      <c r="E211" s="64">
        <f t="shared" si="107"/>
        <v>19689.480000000003</v>
      </c>
      <c r="F211" s="64">
        <f t="shared" si="107"/>
        <v>10756.800000000001</v>
      </c>
      <c r="G211" s="64">
        <f t="shared" si="107"/>
        <v>7532.5531034482765</v>
      </c>
      <c r="H211" s="64">
        <f t="shared" si="107"/>
        <v>5432.0275862068966</v>
      </c>
      <c r="I211" s="64">
        <f t="shared" si="107"/>
        <v>10760.04</v>
      </c>
      <c r="J211" s="64">
        <f t="shared" si="107"/>
        <v>8142.7680000000009</v>
      </c>
      <c r="K211" s="64">
        <f t="shared" si="107"/>
        <v>2667.1680000000001</v>
      </c>
      <c r="L211" s="64">
        <f t="shared" si="107"/>
        <v>0</v>
      </c>
      <c r="M211" s="64">
        <f t="shared" si="107"/>
        <v>13287.24</v>
      </c>
      <c r="N211" s="64">
        <f t="shared" si="107"/>
        <v>19819.323000000004</v>
      </c>
      <c r="O211" s="61">
        <f t="shared" si="106"/>
        <v>141370.55968965517</v>
      </c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</row>
    <row r="212" spans="1:30" ht="15" customHeight="1">
      <c r="A212" s="36"/>
      <c r="B212" s="36" t="s">
        <v>68</v>
      </c>
      <c r="C212" s="64">
        <f>+C197*C$188</f>
        <v>45198</v>
      </c>
      <c r="D212" s="64">
        <f t="shared" ref="D212:N212" si="108">+D197*D$188</f>
        <v>41368.319999999992</v>
      </c>
      <c r="E212" s="64">
        <f t="shared" si="108"/>
        <v>39378.960000000006</v>
      </c>
      <c r="F212" s="64">
        <f t="shared" si="108"/>
        <v>21513.600000000002</v>
      </c>
      <c r="G212" s="64">
        <f t="shared" si="108"/>
        <v>15065.106206896553</v>
      </c>
      <c r="H212" s="64">
        <f t="shared" si="108"/>
        <v>10864.055172413793</v>
      </c>
      <c r="I212" s="64">
        <f t="shared" si="108"/>
        <v>21520.080000000002</v>
      </c>
      <c r="J212" s="64">
        <f t="shared" si="108"/>
        <v>16285.536000000002</v>
      </c>
      <c r="K212" s="64">
        <f t="shared" si="108"/>
        <v>5334.3360000000002</v>
      </c>
      <c r="L212" s="64">
        <f t="shared" si="108"/>
        <v>0</v>
      </c>
      <c r="M212" s="64">
        <f t="shared" si="108"/>
        <v>26574.48</v>
      </c>
      <c r="N212" s="64">
        <f t="shared" si="108"/>
        <v>39638.646000000008</v>
      </c>
      <c r="O212" s="61">
        <f t="shared" si="106"/>
        <v>282741.11937931034</v>
      </c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</row>
    <row r="213" spans="1:30" ht="15" customHeight="1">
      <c r="A213" s="36"/>
      <c r="B213" s="36" t="s">
        <v>70</v>
      </c>
      <c r="C213" s="64">
        <f>+C198*C$188</f>
        <v>67797</v>
      </c>
      <c r="D213" s="64">
        <f t="shared" ref="D213:N213" si="109">+D198*D$188</f>
        <v>62052.479999999996</v>
      </c>
      <c r="E213" s="64">
        <f t="shared" si="109"/>
        <v>59068.44000000001</v>
      </c>
      <c r="F213" s="64">
        <f t="shared" si="109"/>
        <v>32270.400000000001</v>
      </c>
      <c r="G213" s="64">
        <f t="shared" si="109"/>
        <v>22597.659310344829</v>
      </c>
      <c r="H213" s="64">
        <f t="shared" si="109"/>
        <v>16296.082758620691</v>
      </c>
      <c r="I213" s="64">
        <f t="shared" si="109"/>
        <v>32280.120000000006</v>
      </c>
      <c r="J213" s="64">
        <f t="shared" si="109"/>
        <v>24428.304</v>
      </c>
      <c r="K213" s="64">
        <f t="shared" si="109"/>
        <v>8001.5040000000008</v>
      </c>
      <c r="L213" s="64">
        <f t="shared" si="109"/>
        <v>0</v>
      </c>
      <c r="M213" s="64">
        <f t="shared" si="109"/>
        <v>39861.719999999994</v>
      </c>
      <c r="N213" s="64">
        <f t="shared" si="109"/>
        <v>59457.969000000012</v>
      </c>
      <c r="O213" s="61">
        <f t="shared" si="106"/>
        <v>424111.6790689656</v>
      </c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</row>
    <row r="214" spans="1:30" ht="15" customHeight="1">
      <c r="A214" s="36"/>
      <c r="B214" s="36" t="s">
        <v>72</v>
      </c>
      <c r="C214" s="64">
        <f>+C199*C$188</f>
        <v>60264</v>
      </c>
      <c r="D214" s="64">
        <f t="shared" ref="D214:N214" si="110">+D199*D$188</f>
        <v>55157.759999999995</v>
      </c>
      <c r="E214" s="64">
        <f t="shared" si="110"/>
        <v>52505.280000000006</v>
      </c>
      <c r="F214" s="64">
        <f t="shared" si="110"/>
        <v>28684.800000000003</v>
      </c>
      <c r="G214" s="64">
        <f t="shared" si="110"/>
        <v>20086.808275862069</v>
      </c>
      <c r="H214" s="64">
        <f t="shared" si="110"/>
        <v>14485.406896551725</v>
      </c>
      <c r="I214" s="64">
        <f t="shared" si="110"/>
        <v>28693.440000000002</v>
      </c>
      <c r="J214" s="64">
        <f t="shared" si="110"/>
        <v>21714.048000000003</v>
      </c>
      <c r="K214" s="64">
        <f t="shared" si="110"/>
        <v>7112.4480000000003</v>
      </c>
      <c r="L214" s="64">
        <f t="shared" si="110"/>
        <v>0</v>
      </c>
      <c r="M214" s="64">
        <f t="shared" si="110"/>
        <v>35432.639999999999</v>
      </c>
      <c r="N214" s="64">
        <f t="shared" si="110"/>
        <v>52851.528000000006</v>
      </c>
      <c r="O214" s="61">
        <f t="shared" si="106"/>
        <v>376988.15917241381</v>
      </c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</row>
    <row r="215" spans="1:30" ht="15" customHeight="1">
      <c r="A215" s="36"/>
      <c r="B215" s="36" t="s">
        <v>74</v>
      </c>
      <c r="C215" s="64">
        <f>+C200*C$188</f>
        <v>66541.5</v>
      </c>
      <c r="D215" s="64">
        <f t="shared" ref="D215:N215" si="111">+D200*D$188</f>
        <v>60903.359999999993</v>
      </c>
      <c r="E215" s="64">
        <f t="shared" si="111"/>
        <v>57974.580000000009</v>
      </c>
      <c r="F215" s="64">
        <f t="shared" si="111"/>
        <v>31672.800000000003</v>
      </c>
      <c r="G215" s="64">
        <f t="shared" si="111"/>
        <v>22179.184137931035</v>
      </c>
      <c r="H215" s="64">
        <f t="shared" si="111"/>
        <v>15994.303448275863</v>
      </c>
      <c r="I215" s="64">
        <f t="shared" si="111"/>
        <v>31682.340000000004</v>
      </c>
      <c r="J215" s="64">
        <f t="shared" si="111"/>
        <v>23975.928000000004</v>
      </c>
      <c r="K215" s="64">
        <f t="shared" si="111"/>
        <v>7853.3280000000004</v>
      </c>
      <c r="L215" s="64">
        <f t="shared" si="111"/>
        <v>0</v>
      </c>
      <c r="M215" s="64">
        <f t="shared" si="111"/>
        <v>39123.54</v>
      </c>
      <c r="N215" s="64">
        <f t="shared" si="111"/>
        <v>58356.895500000013</v>
      </c>
      <c r="O215" s="61">
        <f t="shared" si="106"/>
        <v>416257.7590862069</v>
      </c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</row>
    <row r="216" spans="1:30" ht="13.5" customHeight="1" thickBo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61">
        <f t="shared" ref="O216" si="112">SUM(C216:N216)</f>
        <v>0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</row>
    <row r="217" spans="1:30" ht="13.5" customHeight="1" thickBot="1">
      <c r="A217" s="36"/>
      <c r="B217" s="62" t="s">
        <v>47</v>
      </c>
      <c r="C217" s="63">
        <f t="shared" ref="C217:N217" si="113">SUM(C210:C216)</f>
        <v>306342</v>
      </c>
      <c r="D217" s="63">
        <f t="shared" si="113"/>
        <v>280385.27999999997</v>
      </c>
      <c r="E217" s="63">
        <f t="shared" si="113"/>
        <v>266901.84000000003</v>
      </c>
      <c r="F217" s="63">
        <f t="shared" si="113"/>
        <v>145814.40000000002</v>
      </c>
      <c r="G217" s="63">
        <f t="shared" si="113"/>
        <v>102107.94206896552</v>
      </c>
      <c r="H217" s="63">
        <f t="shared" si="113"/>
        <v>73634.151724137933</v>
      </c>
      <c r="I217" s="63">
        <f t="shared" si="113"/>
        <v>145858.32</v>
      </c>
      <c r="J217" s="63">
        <f t="shared" si="113"/>
        <v>110379.74400000002</v>
      </c>
      <c r="K217" s="63">
        <f t="shared" si="113"/>
        <v>36154.944000000003</v>
      </c>
      <c r="L217" s="63">
        <f t="shared" si="113"/>
        <v>0</v>
      </c>
      <c r="M217" s="63">
        <f t="shared" si="113"/>
        <v>180115.92</v>
      </c>
      <c r="N217" s="63">
        <f t="shared" si="113"/>
        <v>268661.93400000001</v>
      </c>
      <c r="O217" s="61">
        <f>SUM(C217:N217)</f>
        <v>1916356.4757931032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</row>
    <row r="218" spans="1:30" ht="12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</row>
    <row r="219" spans="1:30" ht="12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</row>
    <row r="220" spans="1:30" ht="12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</row>
    <row r="221" spans="1:30" ht="30.75" customHeight="1" thickBot="1">
      <c r="A221" s="36"/>
      <c r="B221" s="41" t="s">
        <v>96</v>
      </c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</row>
    <row r="222" spans="1:30" ht="15.75" customHeight="1">
      <c r="A222" s="36"/>
      <c r="B222" s="36" t="s">
        <v>76</v>
      </c>
      <c r="C222" s="504"/>
      <c r="D222" s="505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</row>
    <row r="223" spans="1:30" ht="15.75" customHeight="1">
      <c r="A223" s="36"/>
      <c r="B223" s="36"/>
      <c r="C223" s="58" t="s">
        <v>62</v>
      </c>
      <c r="D223" s="59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</row>
    <row r="224" spans="1:30" ht="15.75" customHeight="1">
      <c r="A224" s="36"/>
      <c r="B224" s="36"/>
      <c r="C224" s="86"/>
      <c r="D224" s="8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</row>
    <row r="225" spans="1:30" ht="15" customHeight="1">
      <c r="A225" s="36"/>
      <c r="B225" s="36" t="s">
        <v>64</v>
      </c>
      <c r="C225" s="64">
        <f>(1-$D$131)*C210</f>
        <v>7206.569999999997</v>
      </c>
      <c r="D225" s="64">
        <f t="shared" ref="D225:N225" si="114">(1-$D$131)*D210</f>
        <v>6595.9487999999965</v>
      </c>
      <c r="E225" s="64">
        <f t="shared" si="114"/>
        <v>6278.7563999999984</v>
      </c>
      <c r="F225" s="64">
        <f t="shared" si="114"/>
        <v>3430.2239999999983</v>
      </c>
      <c r="G225" s="64">
        <f t="shared" si="114"/>
        <v>2402.0474896551714</v>
      </c>
      <c r="H225" s="64">
        <f t="shared" si="114"/>
        <v>1732.2132413793095</v>
      </c>
      <c r="I225" s="64">
        <f t="shared" si="114"/>
        <v>3431.2571999999991</v>
      </c>
      <c r="J225" s="64">
        <f t="shared" si="114"/>
        <v>2596.6382399999989</v>
      </c>
      <c r="K225" s="64">
        <f t="shared" si="114"/>
        <v>850.53023999999971</v>
      </c>
      <c r="L225" s="64">
        <f t="shared" si="114"/>
        <v>0</v>
      </c>
      <c r="M225" s="64">
        <f t="shared" si="114"/>
        <v>4237.1531999999979</v>
      </c>
      <c r="N225" s="64">
        <f t="shared" si="114"/>
        <v>6320.1618899999985</v>
      </c>
      <c r="O225" s="64">
        <f t="shared" ref="O225:O230" si="115">SUM(C225:N225)</f>
        <v>45081.500701034463</v>
      </c>
      <c r="P225" s="36"/>
      <c r="Q225" s="61">
        <f>+O225</f>
        <v>45081.500701034463</v>
      </c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</row>
    <row r="226" spans="1:30" ht="15" customHeight="1">
      <c r="A226" s="36"/>
      <c r="B226" s="257" t="s">
        <v>66</v>
      </c>
      <c r="C226" s="260">
        <f t="shared" ref="C226:N226" si="116">(1-$D$131)*C211</f>
        <v>3706.2359999999981</v>
      </c>
      <c r="D226" s="260">
        <f t="shared" si="116"/>
        <v>3392.2022399999978</v>
      </c>
      <c r="E226" s="260">
        <f t="shared" si="116"/>
        <v>3229.0747199999992</v>
      </c>
      <c r="F226" s="260">
        <f t="shared" si="116"/>
        <v>1764.1151999999993</v>
      </c>
      <c r="G226" s="260">
        <f t="shared" si="116"/>
        <v>1235.3387089655168</v>
      </c>
      <c r="H226" s="260">
        <f t="shared" si="116"/>
        <v>890.85252413793057</v>
      </c>
      <c r="I226" s="260">
        <f t="shared" si="116"/>
        <v>1764.6465599999992</v>
      </c>
      <c r="J226" s="260">
        <f t="shared" si="116"/>
        <v>1335.4139519999994</v>
      </c>
      <c r="K226" s="260">
        <f t="shared" si="116"/>
        <v>437.41555199999982</v>
      </c>
      <c r="L226" s="260">
        <f t="shared" si="116"/>
        <v>0</v>
      </c>
      <c r="M226" s="260">
        <f t="shared" si="116"/>
        <v>2179.1073599999991</v>
      </c>
      <c r="N226" s="260">
        <f t="shared" si="116"/>
        <v>3250.3689719999993</v>
      </c>
      <c r="O226" s="260">
        <f t="shared" si="115"/>
        <v>23184.771789103437</v>
      </c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 spans="1:30" ht="15" customHeight="1">
      <c r="A227" s="36"/>
      <c r="B227" s="257" t="s">
        <v>68</v>
      </c>
      <c r="C227" s="260">
        <f t="shared" ref="C227:N227" si="117">(1-$D$131)*C212</f>
        <v>7412.4719999999961</v>
      </c>
      <c r="D227" s="260">
        <f t="shared" si="117"/>
        <v>6784.4044799999956</v>
      </c>
      <c r="E227" s="260">
        <f t="shared" si="117"/>
        <v>6458.1494399999983</v>
      </c>
      <c r="F227" s="260">
        <f t="shared" si="117"/>
        <v>3528.2303999999986</v>
      </c>
      <c r="G227" s="260">
        <f t="shared" si="117"/>
        <v>2470.6774179310337</v>
      </c>
      <c r="H227" s="260">
        <f t="shared" si="117"/>
        <v>1781.7050482758611</v>
      </c>
      <c r="I227" s="260">
        <f t="shared" si="117"/>
        <v>3529.2931199999985</v>
      </c>
      <c r="J227" s="260">
        <f t="shared" si="117"/>
        <v>2670.8279039999989</v>
      </c>
      <c r="K227" s="260">
        <f t="shared" si="117"/>
        <v>874.83110399999964</v>
      </c>
      <c r="L227" s="260">
        <f t="shared" si="117"/>
        <v>0</v>
      </c>
      <c r="M227" s="260">
        <f t="shared" si="117"/>
        <v>4358.2147199999981</v>
      </c>
      <c r="N227" s="260">
        <f t="shared" si="117"/>
        <v>6500.7379439999986</v>
      </c>
      <c r="O227" s="260">
        <f t="shared" si="115"/>
        <v>46369.543578206874</v>
      </c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</row>
    <row r="228" spans="1:30" ht="15" customHeight="1">
      <c r="A228" s="36"/>
      <c r="B228" s="257" t="s">
        <v>70</v>
      </c>
      <c r="C228" s="260">
        <f>(1-$D$131)*C213</f>
        <v>11118.707999999995</v>
      </c>
      <c r="D228" s="260">
        <f t="shared" ref="D228:N228" si="118">(1-$D$131)*D213</f>
        <v>10176.606719999994</v>
      </c>
      <c r="E228" s="260">
        <f t="shared" si="118"/>
        <v>9687.2241599999979</v>
      </c>
      <c r="F228" s="260">
        <f t="shared" si="118"/>
        <v>5292.3455999999978</v>
      </c>
      <c r="G228" s="260">
        <f t="shared" si="118"/>
        <v>3706.0161268965503</v>
      </c>
      <c r="H228" s="260">
        <f t="shared" si="118"/>
        <v>2672.5575724137921</v>
      </c>
      <c r="I228" s="260">
        <f t="shared" si="118"/>
        <v>5293.9396799999986</v>
      </c>
      <c r="J228" s="260">
        <f t="shared" si="118"/>
        <v>4006.2418559999983</v>
      </c>
      <c r="K228" s="260">
        <f t="shared" si="118"/>
        <v>1312.2466559999996</v>
      </c>
      <c r="L228" s="260">
        <f t="shared" si="118"/>
        <v>0</v>
      </c>
      <c r="M228" s="260">
        <f t="shared" si="118"/>
        <v>6537.3220799999963</v>
      </c>
      <c r="N228" s="260">
        <f t="shared" si="118"/>
        <v>9751.106915999997</v>
      </c>
      <c r="O228" s="260">
        <f t="shared" si="115"/>
        <v>69554.315367310322</v>
      </c>
      <c r="P228" s="36"/>
      <c r="Q228" s="61">
        <f>+O228+O227+O226</f>
        <v>139108.63073462062</v>
      </c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</row>
    <row r="229" spans="1:30" ht="15" customHeight="1">
      <c r="A229" s="36"/>
      <c r="B229" s="36" t="s">
        <v>72</v>
      </c>
      <c r="C229" s="64">
        <f>(1-$D$131)*C214</f>
        <v>9883.2959999999948</v>
      </c>
      <c r="D229" s="64">
        <f t="shared" ref="D229:N229" si="119">(1-$D$131)*D214</f>
        <v>9045.8726399999941</v>
      </c>
      <c r="E229" s="64">
        <f t="shared" si="119"/>
        <v>8610.8659199999965</v>
      </c>
      <c r="F229" s="64">
        <f t="shared" si="119"/>
        <v>4704.3071999999984</v>
      </c>
      <c r="G229" s="64">
        <f t="shared" si="119"/>
        <v>3294.2365572413778</v>
      </c>
      <c r="H229" s="64">
        <f t="shared" si="119"/>
        <v>2375.606731034482</v>
      </c>
      <c r="I229" s="64">
        <f t="shared" si="119"/>
        <v>4705.7241599999979</v>
      </c>
      <c r="J229" s="64">
        <f t="shared" si="119"/>
        <v>3561.1038719999988</v>
      </c>
      <c r="K229" s="64">
        <f t="shared" si="119"/>
        <v>1166.4414719999995</v>
      </c>
      <c r="L229" s="64">
        <f t="shared" si="119"/>
        <v>0</v>
      </c>
      <c r="M229" s="64">
        <f t="shared" si="119"/>
        <v>5810.9529599999969</v>
      </c>
      <c r="N229" s="64">
        <f t="shared" si="119"/>
        <v>8667.6505919999963</v>
      </c>
      <c r="O229" s="64">
        <f t="shared" si="115"/>
        <v>61826.058104275835</v>
      </c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</row>
    <row r="230" spans="1:30" ht="15" customHeight="1">
      <c r="A230" s="36"/>
      <c r="B230" s="36" t="s">
        <v>74</v>
      </c>
      <c r="C230" s="64">
        <f>(1-$D$131)*C215</f>
        <v>10912.805999999995</v>
      </c>
      <c r="D230" s="64">
        <f t="shared" ref="D230:N230" si="120">(1-$D$131)*D215</f>
        <v>9988.1510399999934</v>
      </c>
      <c r="E230" s="64">
        <f t="shared" si="120"/>
        <v>9507.8311199999971</v>
      </c>
      <c r="F230" s="64">
        <f t="shared" si="120"/>
        <v>5194.3391999999976</v>
      </c>
      <c r="G230" s="64">
        <f t="shared" si="120"/>
        <v>3637.386198620688</v>
      </c>
      <c r="H230" s="64">
        <f t="shared" si="120"/>
        <v>2623.0657655172404</v>
      </c>
      <c r="I230" s="64">
        <f t="shared" si="120"/>
        <v>5195.9037599999983</v>
      </c>
      <c r="J230" s="64">
        <f t="shared" si="120"/>
        <v>3932.0521919999987</v>
      </c>
      <c r="K230" s="64">
        <f t="shared" si="120"/>
        <v>1287.9457919999995</v>
      </c>
      <c r="L230" s="64">
        <f t="shared" si="120"/>
        <v>0</v>
      </c>
      <c r="M230" s="64">
        <f t="shared" si="120"/>
        <v>6416.260559999997</v>
      </c>
      <c r="N230" s="64">
        <f t="shared" si="120"/>
        <v>9570.5308619999978</v>
      </c>
      <c r="O230" s="64">
        <f t="shared" si="115"/>
        <v>68266.272490137897</v>
      </c>
      <c r="P230" s="36"/>
      <c r="Q230" s="61">
        <f>+O230+O229</f>
        <v>130092.33059441374</v>
      </c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</row>
    <row r="231" spans="1:30" ht="15.75" customHeight="1" thickBot="1">
      <c r="A231" s="36"/>
      <c r="B231" s="36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</row>
    <row r="232" spans="1:30" ht="15.75" customHeight="1" thickBot="1">
      <c r="A232" s="36"/>
      <c r="B232" s="62" t="s">
        <v>47</v>
      </c>
      <c r="C232" s="63">
        <f>SUM(C225:C231)</f>
        <v>50240.087999999974</v>
      </c>
      <c r="D232" s="63">
        <f>SUM(D225:D231)</f>
        <v>45983.185919999974</v>
      </c>
      <c r="E232" s="63">
        <f>SUM(E225:E231)</f>
        <v>43771.901759999986</v>
      </c>
      <c r="F232" s="63">
        <f t="shared" ref="F232:N232" si="121">SUM(F225:F231)</f>
        <v>23913.56159999999</v>
      </c>
      <c r="G232" s="63">
        <f t="shared" si="121"/>
        <v>16745.70249931034</v>
      </c>
      <c r="H232" s="63">
        <f t="shared" si="121"/>
        <v>12076.000882758615</v>
      </c>
      <c r="I232" s="63">
        <f t="shared" si="121"/>
        <v>23920.764479999991</v>
      </c>
      <c r="J232" s="63">
        <f t="shared" si="121"/>
        <v>18102.278015999993</v>
      </c>
      <c r="K232" s="63">
        <f t="shared" si="121"/>
        <v>5929.4108159999978</v>
      </c>
      <c r="L232" s="63">
        <f t="shared" si="121"/>
        <v>0</v>
      </c>
      <c r="M232" s="63">
        <f t="shared" si="121"/>
        <v>29539.01087999998</v>
      </c>
      <c r="N232" s="63">
        <f t="shared" si="121"/>
        <v>44060.557175999988</v>
      </c>
      <c r="O232" s="64">
        <f>SUM(C232:N232)</f>
        <v>314282.4620300688</v>
      </c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</row>
    <row r="233" spans="1:30" ht="12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</row>
    <row r="234" spans="1:30" ht="12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</row>
    <row r="235" spans="1:30" ht="12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</row>
    <row r="236" spans="1:30" ht="30.75" customHeight="1" thickBot="1">
      <c r="A236" s="36"/>
      <c r="B236" s="41" t="s">
        <v>96</v>
      </c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 spans="1:30" ht="15.75" customHeight="1">
      <c r="A237" s="36"/>
      <c r="B237" s="36" t="s">
        <v>76</v>
      </c>
      <c r="C237" s="504"/>
      <c r="D237" s="505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</row>
    <row r="238" spans="1:30" ht="15.75" customHeight="1">
      <c r="A238" s="36"/>
      <c r="B238" s="36"/>
      <c r="C238" s="58" t="s">
        <v>62</v>
      </c>
      <c r="D238" s="59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</row>
    <row r="239" spans="1:30" ht="15.75" customHeight="1">
      <c r="A239" s="36"/>
      <c r="B239" s="36"/>
      <c r="C239" s="86"/>
      <c r="D239" s="8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 spans="1:30" ht="15" customHeight="1">
      <c r="A240" s="36"/>
      <c r="B240" s="36" t="s">
        <v>64</v>
      </c>
      <c r="C240" s="64">
        <f>+C210-C225</f>
        <v>36735.93</v>
      </c>
      <c r="D240" s="64">
        <f t="shared" ref="D240:N240" si="122">+D210-D225</f>
        <v>33623.251199999999</v>
      </c>
      <c r="E240" s="64">
        <f t="shared" si="122"/>
        <v>32006.343600000007</v>
      </c>
      <c r="F240" s="64">
        <f t="shared" si="122"/>
        <v>17485.776000000002</v>
      </c>
      <c r="G240" s="64">
        <f t="shared" si="122"/>
        <v>12244.583544827588</v>
      </c>
      <c r="H240" s="64">
        <f t="shared" si="122"/>
        <v>8830.0626206896559</v>
      </c>
      <c r="I240" s="64">
        <f t="shared" si="122"/>
        <v>17491.042800000003</v>
      </c>
      <c r="J240" s="64">
        <f t="shared" si="122"/>
        <v>13236.521760000003</v>
      </c>
      <c r="K240" s="64">
        <f t="shared" si="122"/>
        <v>4335.6297600000007</v>
      </c>
      <c r="L240" s="64">
        <f t="shared" si="122"/>
        <v>0</v>
      </c>
      <c r="M240" s="64">
        <f t="shared" si="122"/>
        <v>21599.146800000002</v>
      </c>
      <c r="N240" s="64">
        <f t="shared" si="122"/>
        <v>32217.41061000001</v>
      </c>
      <c r="O240" s="64">
        <f t="shared" ref="O240:O245" si="123">SUM(C240:N240)</f>
        <v>229805.69869551726</v>
      </c>
      <c r="P240" s="61">
        <f>+O240</f>
        <v>229805.69869551726</v>
      </c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</row>
    <row r="241" spans="1:30" ht="15" customHeight="1">
      <c r="A241" s="36"/>
      <c r="B241" s="36" t="s">
        <v>66</v>
      </c>
      <c r="C241" s="64">
        <f t="shared" ref="C241:N241" si="124">+C211-C226</f>
        <v>18892.764000000003</v>
      </c>
      <c r="D241" s="64">
        <f t="shared" si="124"/>
        <v>17291.957759999998</v>
      </c>
      <c r="E241" s="64">
        <f t="shared" si="124"/>
        <v>16460.405280000003</v>
      </c>
      <c r="F241" s="64">
        <f t="shared" si="124"/>
        <v>8992.6848000000027</v>
      </c>
      <c r="G241" s="64">
        <f t="shared" si="124"/>
        <v>6297.2143944827594</v>
      </c>
      <c r="H241" s="64">
        <f t="shared" si="124"/>
        <v>4541.1750620689663</v>
      </c>
      <c r="I241" s="64">
        <f t="shared" si="124"/>
        <v>8995.3934400000016</v>
      </c>
      <c r="J241" s="64">
        <f t="shared" si="124"/>
        <v>6807.3540480000011</v>
      </c>
      <c r="K241" s="64">
        <f t="shared" si="124"/>
        <v>2229.7524480000002</v>
      </c>
      <c r="L241" s="64">
        <f t="shared" si="124"/>
        <v>0</v>
      </c>
      <c r="M241" s="64">
        <f t="shared" si="124"/>
        <v>11108.13264</v>
      </c>
      <c r="N241" s="64">
        <f t="shared" si="124"/>
        <v>16568.954028000004</v>
      </c>
      <c r="O241" s="64">
        <f t="shared" si="123"/>
        <v>118185.78790055173</v>
      </c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</row>
    <row r="242" spans="1:30" ht="15" customHeight="1">
      <c r="A242" s="36"/>
      <c r="B242" s="36" t="s">
        <v>68</v>
      </c>
      <c r="C242" s="64">
        <f t="shared" ref="C242:N242" si="125">+C212-C227</f>
        <v>37785.528000000006</v>
      </c>
      <c r="D242" s="64">
        <f t="shared" si="125"/>
        <v>34583.915519999995</v>
      </c>
      <c r="E242" s="64">
        <f t="shared" si="125"/>
        <v>32920.810560000005</v>
      </c>
      <c r="F242" s="64">
        <f t="shared" si="125"/>
        <v>17985.369600000005</v>
      </c>
      <c r="G242" s="64">
        <f t="shared" si="125"/>
        <v>12594.428788965519</v>
      </c>
      <c r="H242" s="64">
        <f t="shared" si="125"/>
        <v>9082.3501241379327</v>
      </c>
      <c r="I242" s="64">
        <f t="shared" si="125"/>
        <v>17990.786880000003</v>
      </c>
      <c r="J242" s="64">
        <f t="shared" si="125"/>
        <v>13614.708096000002</v>
      </c>
      <c r="K242" s="64">
        <f t="shared" si="125"/>
        <v>4459.5048960000004</v>
      </c>
      <c r="L242" s="64">
        <f t="shared" si="125"/>
        <v>0</v>
      </c>
      <c r="M242" s="64">
        <f t="shared" si="125"/>
        <v>22216.26528</v>
      </c>
      <c r="N242" s="64">
        <f t="shared" si="125"/>
        <v>33137.908056000007</v>
      </c>
      <c r="O242" s="64">
        <f t="shared" si="123"/>
        <v>236371.57580110346</v>
      </c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</row>
    <row r="243" spans="1:30" ht="15" customHeight="1">
      <c r="A243" s="36"/>
      <c r="B243" s="36" t="s">
        <v>70</v>
      </c>
      <c r="C243" s="64">
        <f t="shared" ref="C243:N243" si="126">+C213-C228</f>
        <v>56678.292000000001</v>
      </c>
      <c r="D243" s="64">
        <f t="shared" si="126"/>
        <v>51875.87328</v>
      </c>
      <c r="E243" s="64">
        <f t="shared" si="126"/>
        <v>49381.215840000012</v>
      </c>
      <c r="F243" s="64">
        <f t="shared" si="126"/>
        <v>26978.054400000005</v>
      </c>
      <c r="G243" s="64">
        <f t="shared" si="126"/>
        <v>18891.643183448279</v>
      </c>
      <c r="H243" s="64">
        <f t="shared" si="126"/>
        <v>13623.525186206898</v>
      </c>
      <c r="I243" s="64">
        <f t="shared" si="126"/>
        <v>26986.180320000007</v>
      </c>
      <c r="J243" s="64">
        <f t="shared" si="126"/>
        <v>20422.062144000003</v>
      </c>
      <c r="K243" s="64">
        <f t="shared" si="126"/>
        <v>6689.2573440000015</v>
      </c>
      <c r="L243" s="64">
        <f t="shared" si="126"/>
        <v>0</v>
      </c>
      <c r="M243" s="64">
        <f t="shared" si="126"/>
        <v>33324.397919999996</v>
      </c>
      <c r="N243" s="64">
        <f t="shared" si="126"/>
        <v>49706.862084000015</v>
      </c>
      <c r="O243" s="64">
        <f t="shared" si="123"/>
        <v>354557.36370165524</v>
      </c>
      <c r="P243" s="61">
        <f>+O241+O242+O243</f>
        <v>709114.72740331036</v>
      </c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</row>
    <row r="244" spans="1:30" ht="15" customHeight="1">
      <c r="A244" s="36"/>
      <c r="B244" s="36" t="s">
        <v>72</v>
      </c>
      <c r="C244" s="64">
        <f t="shared" ref="C244:N244" si="127">+C214-C229</f>
        <v>50380.704000000005</v>
      </c>
      <c r="D244" s="64">
        <f t="shared" si="127"/>
        <v>46111.887360000001</v>
      </c>
      <c r="E244" s="64">
        <f t="shared" si="127"/>
        <v>43894.41408000001</v>
      </c>
      <c r="F244" s="64">
        <f t="shared" si="127"/>
        <v>23980.492800000004</v>
      </c>
      <c r="G244" s="64">
        <f t="shared" si="127"/>
        <v>16792.571718620693</v>
      </c>
      <c r="H244" s="64">
        <f t="shared" si="127"/>
        <v>12109.800165517243</v>
      </c>
      <c r="I244" s="64">
        <f t="shared" si="127"/>
        <v>23987.715840000004</v>
      </c>
      <c r="J244" s="64">
        <f t="shared" si="127"/>
        <v>18152.944128000003</v>
      </c>
      <c r="K244" s="64">
        <f t="shared" si="127"/>
        <v>5946.0065280000008</v>
      </c>
      <c r="L244" s="64">
        <f t="shared" si="127"/>
        <v>0</v>
      </c>
      <c r="M244" s="64">
        <f t="shared" si="127"/>
        <v>29621.687040000004</v>
      </c>
      <c r="N244" s="64">
        <f t="shared" si="127"/>
        <v>44183.877408000008</v>
      </c>
      <c r="O244" s="64">
        <f t="shared" si="123"/>
        <v>315162.10106813797</v>
      </c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</row>
    <row r="245" spans="1:30" ht="15" customHeight="1">
      <c r="A245" s="36"/>
      <c r="B245" s="36" t="s">
        <v>74</v>
      </c>
      <c r="C245" s="64">
        <f t="shared" ref="C245:N245" si="128">+C215-C230</f>
        <v>55628.694000000003</v>
      </c>
      <c r="D245" s="64">
        <f t="shared" si="128"/>
        <v>50915.208960000004</v>
      </c>
      <c r="E245" s="64">
        <f t="shared" si="128"/>
        <v>48466.748880000014</v>
      </c>
      <c r="F245" s="64">
        <f t="shared" si="128"/>
        <v>26478.460800000004</v>
      </c>
      <c r="G245" s="64">
        <f t="shared" si="128"/>
        <v>18541.797939310349</v>
      </c>
      <c r="H245" s="64">
        <f t="shared" si="128"/>
        <v>13371.237682758623</v>
      </c>
      <c r="I245" s="64">
        <f t="shared" si="128"/>
        <v>26486.436240000006</v>
      </c>
      <c r="J245" s="64">
        <f t="shared" si="128"/>
        <v>20043.875808000004</v>
      </c>
      <c r="K245" s="64">
        <f t="shared" si="128"/>
        <v>6565.3822080000009</v>
      </c>
      <c r="L245" s="64">
        <f t="shared" si="128"/>
        <v>0</v>
      </c>
      <c r="M245" s="64">
        <f t="shared" si="128"/>
        <v>32707.279440000006</v>
      </c>
      <c r="N245" s="64">
        <f t="shared" si="128"/>
        <v>48786.364638000014</v>
      </c>
      <c r="O245" s="64">
        <f t="shared" si="123"/>
        <v>347991.48659606907</v>
      </c>
      <c r="P245" s="61">
        <f>+O245+O244</f>
        <v>663153.58766420698</v>
      </c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</row>
    <row r="246" spans="1:30" ht="15.75" customHeight="1" thickBot="1">
      <c r="A246" s="36"/>
      <c r="B246" s="36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</row>
    <row r="247" spans="1:30" ht="15.75" customHeight="1" thickBot="1">
      <c r="A247" s="36"/>
      <c r="B247" s="62" t="s">
        <v>47</v>
      </c>
      <c r="C247" s="63">
        <f t="shared" ref="C247:N247" si="129">SUM(C240:C246)</f>
        <v>256101.91200000001</v>
      </c>
      <c r="D247" s="63">
        <f t="shared" si="129"/>
        <v>234402.09408000001</v>
      </c>
      <c r="E247" s="63">
        <f t="shared" si="129"/>
        <v>223129.93824000005</v>
      </c>
      <c r="F247" s="63">
        <f t="shared" si="129"/>
        <v>121900.83840000002</v>
      </c>
      <c r="G247" s="63">
        <f t="shared" si="129"/>
        <v>85362.239569655183</v>
      </c>
      <c r="H247" s="63">
        <f t="shared" si="129"/>
        <v>61558.15084137932</v>
      </c>
      <c r="I247" s="63">
        <f t="shared" si="129"/>
        <v>121937.55552000004</v>
      </c>
      <c r="J247" s="63">
        <f t="shared" si="129"/>
        <v>92277.465984000009</v>
      </c>
      <c r="K247" s="63">
        <f t="shared" si="129"/>
        <v>30225.533184000007</v>
      </c>
      <c r="L247" s="63">
        <f t="shared" si="129"/>
        <v>0</v>
      </c>
      <c r="M247" s="63">
        <f t="shared" si="129"/>
        <v>150576.90912</v>
      </c>
      <c r="N247" s="63">
        <f t="shared" si="129"/>
        <v>224601.37682400004</v>
      </c>
      <c r="O247" s="64">
        <f>SUM(C247:N247)</f>
        <v>1602074.0137630347</v>
      </c>
      <c r="P247" s="64">
        <f>SUM(P240:P245)</f>
        <v>1602074.0137630347</v>
      </c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</row>
    <row r="248" spans="1:30" ht="12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</row>
    <row r="249" spans="1:30" ht="12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</row>
    <row r="250" spans="1:30" ht="30.75" customHeight="1" thickBot="1">
      <c r="A250" s="36"/>
      <c r="B250" s="41" t="s">
        <v>97</v>
      </c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</row>
    <row r="251" spans="1:30" ht="15.75" customHeight="1">
      <c r="A251" s="36"/>
      <c r="B251" s="36" t="s">
        <v>76</v>
      </c>
      <c r="C251" s="504"/>
      <c r="D251" s="50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</row>
    <row r="252" spans="1:30" ht="15.75" customHeight="1">
      <c r="A252" s="36"/>
      <c r="B252" s="36"/>
      <c r="C252" s="58" t="s">
        <v>62</v>
      </c>
      <c r="D252" s="59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</row>
    <row r="253" spans="1:30" ht="15.75" customHeight="1">
      <c r="A253" s="36"/>
      <c r="B253" s="36"/>
      <c r="C253" s="86"/>
      <c r="D253" s="8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</row>
    <row r="254" spans="1:30" ht="15" customHeight="1">
      <c r="A254" s="36"/>
      <c r="B254" s="36" t="s">
        <v>64</v>
      </c>
      <c r="C254" s="64">
        <f>+C240/C$188</f>
        <v>29.26</v>
      </c>
      <c r="D254" s="64">
        <f t="shared" ref="D254:N254" si="130">+D240/D$188</f>
        <v>29.26</v>
      </c>
      <c r="E254" s="64">
        <f t="shared" si="130"/>
        <v>29.260000000000005</v>
      </c>
      <c r="F254" s="64">
        <f t="shared" si="130"/>
        <v>29.26</v>
      </c>
      <c r="G254" s="64">
        <f t="shared" si="130"/>
        <v>29.26</v>
      </c>
      <c r="H254" s="64">
        <f t="shared" si="130"/>
        <v>29.26</v>
      </c>
      <c r="I254" s="64">
        <f t="shared" si="130"/>
        <v>29.26</v>
      </c>
      <c r="J254" s="64">
        <f t="shared" si="130"/>
        <v>29.260000000000005</v>
      </c>
      <c r="K254" s="64">
        <f t="shared" si="130"/>
        <v>29.26</v>
      </c>
      <c r="L254" s="64"/>
      <c r="M254" s="64">
        <f t="shared" si="130"/>
        <v>29.260000000000005</v>
      </c>
      <c r="N254" s="64">
        <f t="shared" si="130"/>
        <v>29.260000000000005</v>
      </c>
      <c r="O254" s="64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</row>
    <row r="255" spans="1:30" ht="15" customHeight="1">
      <c r="A255" s="36"/>
      <c r="B255" s="36" t="s">
        <v>66</v>
      </c>
      <c r="C255" s="64">
        <f t="shared" ref="C255:N255" si="131">+C241/C$188</f>
        <v>15.048000000000002</v>
      </c>
      <c r="D255" s="64">
        <f t="shared" si="131"/>
        <v>15.048</v>
      </c>
      <c r="E255" s="64">
        <f t="shared" si="131"/>
        <v>15.048</v>
      </c>
      <c r="F255" s="64">
        <f t="shared" si="131"/>
        <v>15.048000000000004</v>
      </c>
      <c r="G255" s="64">
        <f t="shared" si="131"/>
        <v>15.048</v>
      </c>
      <c r="H255" s="64">
        <f t="shared" si="131"/>
        <v>15.048000000000002</v>
      </c>
      <c r="I255" s="64">
        <f t="shared" si="131"/>
        <v>15.048</v>
      </c>
      <c r="J255" s="64">
        <f t="shared" si="131"/>
        <v>15.048000000000002</v>
      </c>
      <c r="K255" s="64">
        <f t="shared" si="131"/>
        <v>15.048</v>
      </c>
      <c r="L255" s="64"/>
      <c r="M255" s="64">
        <f t="shared" si="131"/>
        <v>15.048</v>
      </c>
      <c r="N255" s="64">
        <f t="shared" si="131"/>
        <v>15.048</v>
      </c>
      <c r="O255" s="64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</row>
    <row r="256" spans="1:30" ht="15" customHeight="1">
      <c r="A256" s="36"/>
      <c r="B256" s="36" t="s">
        <v>68</v>
      </c>
      <c r="C256" s="64">
        <f t="shared" ref="C256:N256" si="132">+C242/C$188</f>
        <v>30.096000000000004</v>
      </c>
      <c r="D256" s="64">
        <f t="shared" si="132"/>
        <v>30.096</v>
      </c>
      <c r="E256" s="64">
        <f t="shared" si="132"/>
        <v>30.096</v>
      </c>
      <c r="F256" s="64">
        <f t="shared" si="132"/>
        <v>30.096000000000007</v>
      </c>
      <c r="G256" s="64">
        <f t="shared" si="132"/>
        <v>30.096</v>
      </c>
      <c r="H256" s="64">
        <f t="shared" si="132"/>
        <v>30.096000000000004</v>
      </c>
      <c r="I256" s="64">
        <f t="shared" si="132"/>
        <v>30.096</v>
      </c>
      <c r="J256" s="64">
        <f t="shared" si="132"/>
        <v>30.096000000000004</v>
      </c>
      <c r="K256" s="64">
        <f t="shared" si="132"/>
        <v>30.096</v>
      </c>
      <c r="L256" s="64"/>
      <c r="M256" s="64">
        <f t="shared" si="132"/>
        <v>30.096</v>
      </c>
      <c r="N256" s="64">
        <f t="shared" si="132"/>
        <v>30.096</v>
      </c>
      <c r="O256" s="64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</row>
    <row r="257" spans="1:30" ht="15" customHeight="1">
      <c r="A257" s="36"/>
      <c r="B257" s="36" t="s">
        <v>70</v>
      </c>
      <c r="C257" s="64">
        <f t="shared" ref="C257:N257" si="133">+C243/C$188</f>
        <v>45.143999999999998</v>
      </c>
      <c r="D257" s="64">
        <f t="shared" si="133"/>
        <v>45.144000000000005</v>
      </c>
      <c r="E257" s="64">
        <f t="shared" si="133"/>
        <v>45.144000000000005</v>
      </c>
      <c r="F257" s="64">
        <f t="shared" si="133"/>
        <v>45.144000000000005</v>
      </c>
      <c r="G257" s="64">
        <f t="shared" si="133"/>
        <v>45.144000000000005</v>
      </c>
      <c r="H257" s="64">
        <f t="shared" si="133"/>
        <v>45.144000000000005</v>
      </c>
      <c r="I257" s="64">
        <f t="shared" si="133"/>
        <v>45.144000000000005</v>
      </c>
      <c r="J257" s="64">
        <f t="shared" si="133"/>
        <v>45.144000000000005</v>
      </c>
      <c r="K257" s="64">
        <f t="shared" si="133"/>
        <v>45.144000000000005</v>
      </c>
      <c r="L257" s="64"/>
      <c r="M257" s="64">
        <f t="shared" si="133"/>
        <v>45.143999999999998</v>
      </c>
      <c r="N257" s="64">
        <f t="shared" si="133"/>
        <v>45.144000000000005</v>
      </c>
      <c r="O257" s="64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</row>
    <row r="258" spans="1:30" ht="15" customHeight="1">
      <c r="A258" s="36"/>
      <c r="B258" s="36" t="s">
        <v>72</v>
      </c>
      <c r="C258" s="64">
        <f t="shared" ref="C258:N258" si="134">+C244/C$188</f>
        <v>40.128000000000007</v>
      </c>
      <c r="D258" s="64">
        <f t="shared" si="134"/>
        <v>40.128000000000007</v>
      </c>
      <c r="E258" s="64">
        <f t="shared" si="134"/>
        <v>40.128000000000007</v>
      </c>
      <c r="F258" s="64">
        <f t="shared" si="134"/>
        <v>40.128000000000007</v>
      </c>
      <c r="G258" s="64">
        <f t="shared" si="134"/>
        <v>40.128000000000007</v>
      </c>
      <c r="H258" s="64">
        <f t="shared" si="134"/>
        <v>40.128000000000007</v>
      </c>
      <c r="I258" s="64">
        <f t="shared" si="134"/>
        <v>40.128</v>
      </c>
      <c r="J258" s="64">
        <f t="shared" si="134"/>
        <v>40.128</v>
      </c>
      <c r="K258" s="64">
        <f t="shared" si="134"/>
        <v>40.128</v>
      </c>
      <c r="L258" s="64"/>
      <c r="M258" s="64">
        <f t="shared" si="134"/>
        <v>40.128000000000007</v>
      </c>
      <c r="N258" s="64">
        <f t="shared" si="134"/>
        <v>40.128</v>
      </c>
      <c r="O258" s="64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</row>
    <row r="259" spans="1:30" ht="15" customHeight="1">
      <c r="A259" s="36"/>
      <c r="B259" s="36" t="s">
        <v>74</v>
      </c>
      <c r="C259" s="64">
        <f t="shared" ref="C259:N259" si="135">+C245/C$188</f>
        <v>44.308</v>
      </c>
      <c r="D259" s="64">
        <f t="shared" si="135"/>
        <v>44.308000000000007</v>
      </c>
      <c r="E259" s="64">
        <f t="shared" si="135"/>
        <v>44.308000000000007</v>
      </c>
      <c r="F259" s="64">
        <f t="shared" si="135"/>
        <v>44.308000000000007</v>
      </c>
      <c r="G259" s="64">
        <f t="shared" si="135"/>
        <v>44.308000000000007</v>
      </c>
      <c r="H259" s="64">
        <f t="shared" si="135"/>
        <v>44.308000000000007</v>
      </c>
      <c r="I259" s="64">
        <f t="shared" si="135"/>
        <v>44.308000000000007</v>
      </c>
      <c r="J259" s="64">
        <f t="shared" si="135"/>
        <v>44.308000000000007</v>
      </c>
      <c r="K259" s="64">
        <f t="shared" si="135"/>
        <v>44.308</v>
      </c>
      <c r="L259" s="64"/>
      <c r="M259" s="64">
        <f t="shared" si="135"/>
        <v>44.308000000000014</v>
      </c>
      <c r="N259" s="64">
        <f t="shared" si="135"/>
        <v>44.308000000000007</v>
      </c>
      <c r="O259" s="64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</row>
    <row r="260" spans="1:30" ht="15.75" customHeight="1" thickBot="1">
      <c r="A260" s="36"/>
      <c r="B260" s="36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</row>
    <row r="261" spans="1:30" ht="15.75" customHeight="1" thickBot="1">
      <c r="A261" s="36"/>
      <c r="B261" s="62" t="s">
        <v>47</v>
      </c>
      <c r="C261" s="63">
        <f t="shared" ref="C261:N261" si="136">SUM(C254:C260)</f>
        <v>203.98400000000001</v>
      </c>
      <c r="D261" s="63">
        <f t="shared" si="136"/>
        <v>203.98400000000004</v>
      </c>
      <c r="E261" s="63">
        <f t="shared" si="136"/>
        <v>203.98400000000004</v>
      </c>
      <c r="F261" s="63">
        <f t="shared" si="136"/>
        <v>203.98400000000004</v>
      </c>
      <c r="G261" s="63">
        <f t="shared" si="136"/>
        <v>203.98400000000004</v>
      </c>
      <c r="H261" s="63">
        <f t="shared" si="136"/>
        <v>203.98400000000004</v>
      </c>
      <c r="I261" s="63">
        <f t="shared" si="136"/>
        <v>203.98399999999998</v>
      </c>
      <c r="J261" s="63">
        <f t="shared" si="136"/>
        <v>203.98400000000004</v>
      </c>
      <c r="K261" s="63">
        <f t="shared" si="136"/>
        <v>203.98399999999998</v>
      </c>
      <c r="L261" s="63">
        <f t="shared" si="136"/>
        <v>0</v>
      </c>
      <c r="M261" s="63">
        <f t="shared" si="136"/>
        <v>203.98400000000004</v>
      </c>
      <c r="N261" s="63">
        <f t="shared" si="136"/>
        <v>203.98400000000004</v>
      </c>
      <c r="O261" s="64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</row>
    <row r="262" spans="1:30" ht="12.75" customHeight="1">
      <c r="A262" s="36"/>
      <c r="B262" s="36"/>
      <c r="C262" s="36" t="s">
        <v>98</v>
      </c>
      <c r="D262" s="36" t="s">
        <v>62</v>
      </c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</row>
    <row r="263" spans="1:30" ht="15" customHeight="1">
      <c r="A263" s="36"/>
      <c r="B263" s="36" t="s">
        <v>64</v>
      </c>
      <c r="C263" s="87">
        <f>+C254*3</f>
        <v>87.78</v>
      </c>
      <c r="D263" s="61">
        <f>+C69</f>
        <v>105</v>
      </c>
      <c r="E263" s="36"/>
      <c r="F263" s="88">
        <f t="shared" ref="F263:F268" si="137">+D263-C263</f>
        <v>17.22</v>
      </c>
      <c r="G263" s="16">
        <f t="shared" ref="G263:G268" si="138">+F263/D263</f>
        <v>0.16399999999999998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</row>
    <row r="264" spans="1:30" ht="15" customHeight="1">
      <c r="A264" s="36"/>
      <c r="B264" s="36" t="s">
        <v>66</v>
      </c>
      <c r="C264" s="88">
        <f t="shared" ref="C264:C266" si="139">+C255</f>
        <v>15.048000000000002</v>
      </c>
      <c r="D264" s="61">
        <f t="shared" ref="D264:D266" si="140">+C70/3</f>
        <v>18</v>
      </c>
      <c r="E264" s="36"/>
      <c r="F264" s="88">
        <f t="shared" si="137"/>
        <v>2.9519999999999982</v>
      </c>
      <c r="G264" s="16">
        <f t="shared" si="138"/>
        <v>0.1639999999999999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</row>
    <row r="265" spans="1:30" ht="15" customHeight="1">
      <c r="A265" s="36"/>
      <c r="B265" s="36" t="s">
        <v>68</v>
      </c>
      <c r="C265" s="88">
        <f t="shared" si="139"/>
        <v>30.096000000000004</v>
      </c>
      <c r="D265" s="61">
        <f t="shared" si="140"/>
        <v>36</v>
      </c>
      <c r="E265" s="36"/>
      <c r="F265" s="88">
        <f t="shared" si="137"/>
        <v>5.9039999999999964</v>
      </c>
      <c r="G265" s="16">
        <f t="shared" si="138"/>
        <v>0.1639999999999999</v>
      </c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</row>
    <row r="266" spans="1:30" ht="15" customHeight="1">
      <c r="A266" s="36"/>
      <c r="B266" s="36" t="s">
        <v>70</v>
      </c>
      <c r="C266" s="88">
        <f t="shared" si="139"/>
        <v>45.143999999999998</v>
      </c>
      <c r="D266" s="61">
        <f t="shared" si="140"/>
        <v>54</v>
      </c>
      <c r="E266" s="36"/>
      <c r="F266" s="88">
        <f t="shared" si="137"/>
        <v>8.8560000000000016</v>
      </c>
      <c r="G266" s="16">
        <f t="shared" si="138"/>
        <v>0.16400000000000003</v>
      </c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 spans="1:30" ht="15" customHeight="1">
      <c r="A267" s="36"/>
      <c r="B267" s="36" t="s">
        <v>72</v>
      </c>
      <c r="C267" s="88">
        <f t="shared" ref="C267:C268" si="141">+C258*3</f>
        <v>120.38400000000001</v>
      </c>
      <c r="D267" s="61">
        <f t="shared" ref="D267:D268" si="142">+C73</f>
        <v>144</v>
      </c>
      <c r="E267" s="36"/>
      <c r="F267" s="88">
        <f t="shared" si="137"/>
        <v>23.615999999999985</v>
      </c>
      <c r="G267" s="16">
        <f t="shared" si="138"/>
        <v>0.1639999999999999</v>
      </c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</row>
    <row r="268" spans="1:30" ht="15" customHeight="1">
      <c r="A268" s="36"/>
      <c r="B268" s="36" t="s">
        <v>74</v>
      </c>
      <c r="C268" s="88">
        <f t="shared" si="141"/>
        <v>132.92400000000001</v>
      </c>
      <c r="D268" s="61">
        <f t="shared" si="142"/>
        <v>159</v>
      </c>
      <c r="E268" s="36"/>
      <c r="F268" s="88">
        <f t="shared" si="137"/>
        <v>26.075999999999993</v>
      </c>
      <c r="G268" s="16">
        <f t="shared" si="138"/>
        <v>0.16399999999999995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</row>
    <row r="269" spans="1:30" ht="12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</row>
    <row r="270" spans="1:30" ht="12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</row>
    <row r="271" spans="1:30" ht="13.5" customHeight="1" thickBo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</row>
    <row r="272" spans="1:30" ht="21" customHeight="1" thickBot="1">
      <c r="A272" s="36"/>
      <c r="B272" s="511" t="s">
        <v>99</v>
      </c>
      <c r="C272" s="509"/>
      <c r="D272" s="509"/>
      <c r="E272" s="509"/>
      <c r="F272" s="509"/>
      <c r="G272" s="509"/>
      <c r="H272" s="509"/>
      <c r="I272" s="509"/>
      <c r="J272" s="509"/>
      <c r="K272" s="509"/>
      <c r="L272" s="509"/>
      <c r="M272" s="509"/>
      <c r="N272" s="510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</row>
    <row r="273" spans="1:30" ht="12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</row>
    <row r="274" spans="1:30" ht="13.5" customHeight="1" thickBot="1">
      <c r="A274" s="36"/>
      <c r="B274" s="512" t="s">
        <v>100</v>
      </c>
      <c r="C274" s="513"/>
      <c r="D274" s="513"/>
      <c r="E274" s="513"/>
      <c r="F274" s="513"/>
      <c r="G274" s="513"/>
      <c r="H274" s="513"/>
      <c r="I274" s="513"/>
      <c r="J274" s="513"/>
      <c r="K274" s="513"/>
      <c r="L274" s="513"/>
      <c r="M274" s="513"/>
      <c r="N274" s="513"/>
      <c r="O274" s="513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</row>
    <row r="275" spans="1:30" ht="13.5" customHeight="1" thickBot="1">
      <c r="A275" s="36"/>
      <c r="B275" s="90" t="s">
        <v>101</v>
      </c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</row>
    <row r="276" spans="1:30" ht="13.5" customHeight="1" thickBot="1">
      <c r="A276" s="36"/>
      <c r="B276" s="42" t="s">
        <v>50</v>
      </c>
      <c r="C276" s="43" t="s">
        <v>13</v>
      </c>
      <c r="D276" s="43" t="s">
        <v>14</v>
      </c>
      <c r="E276" s="43" t="s">
        <v>15</v>
      </c>
      <c r="F276" s="43" t="s">
        <v>16</v>
      </c>
      <c r="G276" s="43" t="s">
        <v>51</v>
      </c>
      <c r="H276" s="43" t="s">
        <v>18</v>
      </c>
      <c r="I276" s="43" t="s">
        <v>19</v>
      </c>
      <c r="J276" s="43" t="s">
        <v>20</v>
      </c>
      <c r="K276" s="43" t="s">
        <v>21</v>
      </c>
      <c r="L276" s="43" t="s">
        <v>22</v>
      </c>
      <c r="M276" s="43" t="s">
        <v>23</v>
      </c>
      <c r="N276" s="43" t="s">
        <v>24</v>
      </c>
      <c r="O276" s="44" t="s">
        <v>25</v>
      </c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</row>
    <row r="277" spans="1:30" ht="12.75" customHeight="1">
      <c r="A277" s="36"/>
      <c r="B277" s="36" t="s">
        <v>41</v>
      </c>
      <c r="C277" s="71">
        <f t="shared" ref="C277:N277" si="143">+C153</f>
        <v>101461.14000000001</v>
      </c>
      <c r="D277" s="71">
        <f t="shared" si="143"/>
        <v>84611.560000000012</v>
      </c>
      <c r="E277" s="71">
        <f t="shared" si="143"/>
        <v>75459.450000000012</v>
      </c>
      <c r="F277" s="71">
        <f t="shared" si="143"/>
        <v>56367.3</v>
      </c>
      <c r="G277" s="71">
        <f t="shared" si="143"/>
        <v>24627.306000000004</v>
      </c>
      <c r="H277" s="71">
        <f t="shared" si="143"/>
        <v>13881.78</v>
      </c>
      <c r="I277" s="71">
        <f t="shared" si="143"/>
        <v>23907.510000000002</v>
      </c>
      <c r="J277" s="71">
        <f t="shared" si="143"/>
        <v>19126.008000000002</v>
      </c>
      <c r="K277" s="71">
        <f t="shared" si="143"/>
        <v>5393.2031999999999</v>
      </c>
      <c r="L277" s="71">
        <f t="shared" si="143"/>
        <v>0</v>
      </c>
      <c r="M277" s="71">
        <f t="shared" si="143"/>
        <v>34610.400000000001</v>
      </c>
      <c r="N277" s="71">
        <f t="shared" si="143"/>
        <v>83890.092000000004</v>
      </c>
      <c r="O277" s="71">
        <f t="shared" ref="O277:O282" si="144">SUM(C277:N277)</f>
        <v>523335.74920000002</v>
      </c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</row>
    <row r="278" spans="1:30" ht="12.75" customHeight="1">
      <c r="A278" s="36"/>
      <c r="B278" s="36" t="s">
        <v>42</v>
      </c>
      <c r="C278" s="71">
        <f t="shared" ref="C278:N278" si="145">+C154</f>
        <v>31254.696000000004</v>
      </c>
      <c r="D278" s="71">
        <f t="shared" si="145"/>
        <v>38200.183999999994</v>
      </c>
      <c r="E278" s="71">
        <f t="shared" si="145"/>
        <v>31254.696000000004</v>
      </c>
      <c r="F278" s="71">
        <f t="shared" si="145"/>
        <v>11148.060000000001</v>
      </c>
      <c r="G278" s="71">
        <f t="shared" si="145"/>
        <v>8982.603793103448</v>
      </c>
      <c r="H278" s="71">
        <f t="shared" si="145"/>
        <v>4641.9620689655185</v>
      </c>
      <c r="I278" s="71">
        <f t="shared" si="145"/>
        <v>10249.778</v>
      </c>
      <c r="J278" s="71">
        <f t="shared" si="145"/>
        <v>10542.6288</v>
      </c>
      <c r="K278" s="71">
        <f t="shared" si="145"/>
        <v>4133.1840000000002</v>
      </c>
      <c r="L278" s="71">
        <f t="shared" si="145"/>
        <v>0</v>
      </c>
      <c r="M278" s="71">
        <f t="shared" si="145"/>
        <v>19442.392200000002</v>
      </c>
      <c r="N278" s="71">
        <f t="shared" si="145"/>
        <v>34144.33</v>
      </c>
      <c r="O278" s="71">
        <f t="shared" si="144"/>
        <v>203994.51486206899</v>
      </c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 spans="1:30" ht="12.75" customHeight="1">
      <c r="A279" s="36"/>
      <c r="B279" s="36" t="s">
        <v>43</v>
      </c>
      <c r="C279" s="71">
        <f t="shared" ref="C279:N279" si="146">+C155</f>
        <v>50380.704000000012</v>
      </c>
      <c r="D279" s="71">
        <f t="shared" si="146"/>
        <v>44873.135999999999</v>
      </c>
      <c r="E279" s="71">
        <f t="shared" si="146"/>
        <v>43609.104000000007</v>
      </c>
      <c r="F279" s="71">
        <f t="shared" si="146"/>
        <v>15348.960000000001</v>
      </c>
      <c r="G279" s="71">
        <f t="shared" si="146"/>
        <v>11532.62</v>
      </c>
      <c r="H279" s="71">
        <f t="shared" si="146"/>
        <v>8184.4400000000005</v>
      </c>
      <c r="I279" s="71">
        <f t="shared" si="146"/>
        <v>20609.908000000003</v>
      </c>
      <c r="J279" s="71">
        <f t="shared" si="146"/>
        <v>15148.654399999999</v>
      </c>
      <c r="K279" s="71">
        <f t="shared" si="146"/>
        <v>4875.5519999999997</v>
      </c>
      <c r="L279" s="71">
        <f t="shared" si="146"/>
        <v>0</v>
      </c>
      <c r="M279" s="71">
        <f t="shared" si="146"/>
        <v>17235.979200000002</v>
      </c>
      <c r="N279" s="71">
        <f t="shared" si="146"/>
        <v>46958.788800000002</v>
      </c>
      <c r="O279" s="71">
        <f t="shared" si="144"/>
        <v>278757.84639999998</v>
      </c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</row>
    <row r="280" spans="1:30" ht="12.75" customHeight="1">
      <c r="A280" s="36"/>
      <c r="B280" s="36" t="s">
        <v>44</v>
      </c>
      <c r="C280" s="71">
        <f t="shared" ref="C280:N280" si="147">+C156</f>
        <v>76388.664000000004</v>
      </c>
      <c r="D280" s="71">
        <f t="shared" si="147"/>
        <v>74685.732000000018</v>
      </c>
      <c r="E280" s="71">
        <f t="shared" si="147"/>
        <v>72334.064000000013</v>
      </c>
      <c r="F280" s="71">
        <f t="shared" si="147"/>
        <v>20833.120000000003</v>
      </c>
      <c r="G280" s="71">
        <f t="shared" si="147"/>
        <v>21293.49655172414</v>
      </c>
      <c r="H280" s="71">
        <f t="shared" si="147"/>
        <v>13220.186896551724</v>
      </c>
      <c r="I280" s="71">
        <f t="shared" si="147"/>
        <v>20473.640000000003</v>
      </c>
      <c r="J280" s="71">
        <f t="shared" si="147"/>
        <v>22930.4768</v>
      </c>
      <c r="K280" s="71">
        <f t="shared" si="147"/>
        <v>5778.4320000000007</v>
      </c>
      <c r="L280" s="71">
        <f t="shared" si="147"/>
        <v>0</v>
      </c>
      <c r="M280" s="71">
        <f t="shared" si="147"/>
        <v>21255.300000000003</v>
      </c>
      <c r="N280" s="71">
        <f t="shared" si="147"/>
        <v>64259.97600000001</v>
      </c>
      <c r="O280" s="71">
        <f t="shared" si="144"/>
        <v>413453.08824827598</v>
      </c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</row>
    <row r="281" spans="1:30" ht="12.75" customHeight="1">
      <c r="A281" s="36"/>
      <c r="B281" s="36" t="s">
        <v>45</v>
      </c>
      <c r="C281" s="71">
        <f t="shared" ref="C281:N281" si="148">+C157</f>
        <v>78914.22</v>
      </c>
      <c r="D281" s="71">
        <f t="shared" si="148"/>
        <v>77217.140000000014</v>
      </c>
      <c r="E281" s="71">
        <f t="shared" si="148"/>
        <v>66186.12000000001</v>
      </c>
      <c r="F281" s="71">
        <f t="shared" si="148"/>
        <v>50682.500000000007</v>
      </c>
      <c r="G281" s="71">
        <f t="shared" si="148"/>
        <v>21976.530172413797</v>
      </c>
      <c r="H281" s="71">
        <f t="shared" si="148"/>
        <v>28818.577586206906</v>
      </c>
      <c r="I281" s="71">
        <f t="shared" si="148"/>
        <v>60165.875000000007</v>
      </c>
      <c r="J281" s="71">
        <f t="shared" si="148"/>
        <v>31600.799999999996</v>
      </c>
      <c r="K281" s="71">
        <f t="shared" si="148"/>
        <v>9751.1040000000012</v>
      </c>
      <c r="L281" s="71">
        <f t="shared" si="148"/>
        <v>0</v>
      </c>
      <c r="M281" s="71">
        <f t="shared" si="148"/>
        <v>74333.044499999989</v>
      </c>
      <c r="N281" s="71">
        <f t="shared" si="148"/>
        <v>96861.050000000017</v>
      </c>
      <c r="O281" s="71">
        <f t="shared" si="144"/>
        <v>596506.96125862072</v>
      </c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</row>
    <row r="282" spans="1:30" ht="12.75" customHeight="1">
      <c r="A282" s="36"/>
      <c r="B282" s="36" t="s">
        <v>46</v>
      </c>
      <c r="C282" s="71">
        <f t="shared" ref="C282:N282" si="149">+C158</f>
        <v>76802.484000000011</v>
      </c>
      <c r="D282" s="71">
        <f t="shared" si="149"/>
        <v>52902.080000000002</v>
      </c>
      <c r="E282" s="71">
        <f t="shared" si="149"/>
        <v>70284.191999999995</v>
      </c>
      <c r="F282" s="71">
        <f t="shared" si="149"/>
        <v>56536.590000000004</v>
      </c>
      <c r="G282" s="71">
        <f t="shared" si="149"/>
        <v>32806.513793103455</v>
      </c>
      <c r="H282" s="71">
        <f t="shared" si="149"/>
        <v>24084.006896551728</v>
      </c>
      <c r="I282" s="71">
        <f t="shared" si="149"/>
        <v>52638.740000000005</v>
      </c>
      <c r="J282" s="71">
        <f t="shared" si="149"/>
        <v>31493.123200000002</v>
      </c>
      <c r="K282" s="71">
        <f t="shared" si="149"/>
        <v>10042.032000000001</v>
      </c>
      <c r="L282" s="71">
        <f t="shared" si="149"/>
        <v>0</v>
      </c>
      <c r="M282" s="71">
        <f t="shared" si="149"/>
        <v>58024.774500000007</v>
      </c>
      <c r="N282" s="71">
        <f t="shared" si="149"/>
        <v>122734.35966000002</v>
      </c>
      <c r="O282" s="71">
        <f t="shared" si="144"/>
        <v>588348.89604965516</v>
      </c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</row>
    <row r="283" spans="1:30" ht="12.75" customHeight="1">
      <c r="A283" s="36"/>
      <c r="B283" s="36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</row>
    <row r="284" spans="1:30" ht="12.75" customHeight="1">
      <c r="A284" s="36"/>
      <c r="B284" s="36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</row>
    <row r="285" spans="1:30" ht="12.75" customHeight="1">
      <c r="A285" s="36"/>
      <c r="B285" s="36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</row>
    <row r="286" spans="1:30" ht="13.5" customHeight="1" thickBot="1">
      <c r="A286" s="36"/>
      <c r="B286" s="36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</row>
    <row r="287" spans="1:30" ht="13.5" customHeight="1" thickBot="1">
      <c r="A287" s="36"/>
      <c r="B287" s="91" t="s">
        <v>25</v>
      </c>
      <c r="C287" s="92">
        <f t="shared" ref="C287:O287" si="150">SUM(C277:C282)</f>
        <v>415201.908</v>
      </c>
      <c r="D287" s="92">
        <f t="shared" si="150"/>
        <v>372489.83200000005</v>
      </c>
      <c r="E287" s="92">
        <f t="shared" si="150"/>
        <v>359127.62599999999</v>
      </c>
      <c r="F287" s="92">
        <f t="shared" si="150"/>
        <v>210916.53</v>
      </c>
      <c r="G287" s="92">
        <f t="shared" si="150"/>
        <v>121219.07031034485</v>
      </c>
      <c r="H287" s="92">
        <f t="shared" si="150"/>
        <v>92830.95344827589</v>
      </c>
      <c r="I287" s="92">
        <f t="shared" si="150"/>
        <v>188045.451</v>
      </c>
      <c r="J287" s="92">
        <f t="shared" si="150"/>
        <v>130841.6912</v>
      </c>
      <c r="K287" s="92">
        <f t="shared" si="150"/>
        <v>39973.5072</v>
      </c>
      <c r="L287" s="92">
        <f t="shared" si="150"/>
        <v>0</v>
      </c>
      <c r="M287" s="92">
        <f t="shared" si="150"/>
        <v>224901.89039999997</v>
      </c>
      <c r="N287" s="92">
        <f t="shared" si="150"/>
        <v>448848.59646000009</v>
      </c>
      <c r="O287" s="93">
        <f t="shared" si="150"/>
        <v>2604397.0560186207</v>
      </c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</row>
    <row r="288" spans="1:30" ht="12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</row>
    <row r="289" spans="1:30" ht="12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</row>
    <row r="290" spans="1:30" ht="12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</row>
    <row r="291" spans="1:30" ht="12.75" customHeight="1">
      <c r="A291" s="36"/>
      <c r="B291" s="36" t="s">
        <v>64</v>
      </c>
      <c r="C291" s="61">
        <f>+C240</f>
        <v>36735.93</v>
      </c>
      <c r="D291" s="61">
        <f t="shared" ref="D291:O291" si="151">+D240</f>
        <v>33623.251199999999</v>
      </c>
      <c r="E291" s="61">
        <f t="shared" si="151"/>
        <v>32006.343600000007</v>
      </c>
      <c r="F291" s="61">
        <f t="shared" si="151"/>
        <v>17485.776000000002</v>
      </c>
      <c r="G291" s="61">
        <f t="shared" si="151"/>
        <v>12244.583544827588</v>
      </c>
      <c r="H291" s="61">
        <f t="shared" si="151"/>
        <v>8830.0626206896559</v>
      </c>
      <c r="I291" s="61">
        <f t="shared" si="151"/>
        <v>17491.042800000003</v>
      </c>
      <c r="J291" s="61">
        <f t="shared" si="151"/>
        <v>13236.521760000003</v>
      </c>
      <c r="K291" s="61">
        <f t="shared" si="151"/>
        <v>4335.6297600000007</v>
      </c>
      <c r="L291" s="61">
        <f t="shared" si="151"/>
        <v>0</v>
      </c>
      <c r="M291" s="61">
        <f t="shared" si="151"/>
        <v>21599.146800000002</v>
      </c>
      <c r="N291" s="61">
        <f t="shared" si="151"/>
        <v>32217.41061000001</v>
      </c>
      <c r="O291" s="61">
        <f t="shared" si="151"/>
        <v>229805.69869551726</v>
      </c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</row>
    <row r="292" spans="1:30" ht="12.75" customHeight="1">
      <c r="A292" s="36"/>
      <c r="B292" s="36" t="s">
        <v>66</v>
      </c>
      <c r="C292" s="61">
        <f t="shared" ref="C292:O292" si="152">+C241</f>
        <v>18892.764000000003</v>
      </c>
      <c r="D292" s="61">
        <f t="shared" si="152"/>
        <v>17291.957759999998</v>
      </c>
      <c r="E292" s="61">
        <f t="shared" si="152"/>
        <v>16460.405280000003</v>
      </c>
      <c r="F292" s="61">
        <f t="shared" si="152"/>
        <v>8992.6848000000027</v>
      </c>
      <c r="G292" s="61">
        <f t="shared" si="152"/>
        <v>6297.2143944827594</v>
      </c>
      <c r="H292" s="61">
        <f t="shared" si="152"/>
        <v>4541.1750620689663</v>
      </c>
      <c r="I292" s="61">
        <f t="shared" si="152"/>
        <v>8995.3934400000016</v>
      </c>
      <c r="J292" s="61">
        <f t="shared" si="152"/>
        <v>6807.3540480000011</v>
      </c>
      <c r="K292" s="61">
        <f t="shared" si="152"/>
        <v>2229.7524480000002</v>
      </c>
      <c r="L292" s="61">
        <f t="shared" si="152"/>
        <v>0</v>
      </c>
      <c r="M292" s="61">
        <f t="shared" si="152"/>
        <v>11108.13264</v>
      </c>
      <c r="N292" s="61">
        <f t="shared" si="152"/>
        <v>16568.954028000004</v>
      </c>
      <c r="O292" s="61">
        <f t="shared" si="152"/>
        <v>118185.78790055173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</row>
    <row r="293" spans="1:30" ht="12.75" customHeight="1">
      <c r="A293" s="36"/>
      <c r="B293" s="36" t="s">
        <v>68</v>
      </c>
      <c r="C293" s="61">
        <f t="shared" ref="C293:O293" si="153">+C242</f>
        <v>37785.528000000006</v>
      </c>
      <c r="D293" s="61">
        <f t="shared" si="153"/>
        <v>34583.915519999995</v>
      </c>
      <c r="E293" s="61">
        <f t="shared" si="153"/>
        <v>32920.810560000005</v>
      </c>
      <c r="F293" s="61">
        <f t="shared" si="153"/>
        <v>17985.369600000005</v>
      </c>
      <c r="G293" s="61">
        <f t="shared" si="153"/>
        <v>12594.428788965519</v>
      </c>
      <c r="H293" s="61">
        <f t="shared" si="153"/>
        <v>9082.3501241379327</v>
      </c>
      <c r="I293" s="61">
        <f t="shared" si="153"/>
        <v>17990.786880000003</v>
      </c>
      <c r="J293" s="61">
        <f t="shared" si="153"/>
        <v>13614.708096000002</v>
      </c>
      <c r="K293" s="61">
        <f t="shared" si="153"/>
        <v>4459.5048960000004</v>
      </c>
      <c r="L293" s="61">
        <f t="shared" si="153"/>
        <v>0</v>
      </c>
      <c r="M293" s="61">
        <f t="shared" si="153"/>
        <v>22216.26528</v>
      </c>
      <c r="N293" s="61">
        <f t="shared" si="153"/>
        <v>33137.908056000007</v>
      </c>
      <c r="O293" s="61">
        <f t="shared" si="153"/>
        <v>236371.57580110346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</row>
    <row r="294" spans="1:30" ht="12.75" customHeight="1">
      <c r="A294" s="36"/>
      <c r="B294" s="36" t="s">
        <v>70</v>
      </c>
      <c r="C294" s="61">
        <f t="shared" ref="C294:O294" si="154">+C243</f>
        <v>56678.292000000001</v>
      </c>
      <c r="D294" s="61">
        <f t="shared" si="154"/>
        <v>51875.87328</v>
      </c>
      <c r="E294" s="61">
        <f t="shared" si="154"/>
        <v>49381.215840000012</v>
      </c>
      <c r="F294" s="61">
        <f t="shared" si="154"/>
        <v>26978.054400000005</v>
      </c>
      <c r="G294" s="61">
        <f t="shared" si="154"/>
        <v>18891.643183448279</v>
      </c>
      <c r="H294" s="61">
        <f t="shared" si="154"/>
        <v>13623.525186206898</v>
      </c>
      <c r="I294" s="61">
        <f t="shared" si="154"/>
        <v>26986.180320000007</v>
      </c>
      <c r="J294" s="61">
        <f t="shared" si="154"/>
        <v>20422.062144000003</v>
      </c>
      <c r="K294" s="61">
        <f t="shared" si="154"/>
        <v>6689.2573440000015</v>
      </c>
      <c r="L294" s="61">
        <f t="shared" si="154"/>
        <v>0</v>
      </c>
      <c r="M294" s="61">
        <f t="shared" si="154"/>
        <v>33324.397919999996</v>
      </c>
      <c r="N294" s="61">
        <f t="shared" si="154"/>
        <v>49706.862084000015</v>
      </c>
      <c r="O294" s="61">
        <f t="shared" si="154"/>
        <v>354557.36370165524</v>
      </c>
      <c r="P294" s="61">
        <f>+O294+O293+O292</f>
        <v>709114.72740331036</v>
      </c>
      <c r="Q294" s="36">
        <v>704726.73</v>
      </c>
      <c r="R294" s="61">
        <f>+P294-Q294</f>
        <v>4387.997403310379</v>
      </c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</row>
    <row r="295" spans="1:30" ht="12.75" customHeight="1">
      <c r="A295" s="36"/>
      <c r="B295" s="36" t="s">
        <v>72</v>
      </c>
      <c r="C295" s="61">
        <f t="shared" ref="C295:O295" si="155">+C244</f>
        <v>50380.704000000005</v>
      </c>
      <c r="D295" s="61">
        <f t="shared" si="155"/>
        <v>46111.887360000001</v>
      </c>
      <c r="E295" s="61">
        <f t="shared" si="155"/>
        <v>43894.41408000001</v>
      </c>
      <c r="F295" s="61">
        <f t="shared" si="155"/>
        <v>23980.492800000004</v>
      </c>
      <c r="G295" s="61">
        <f t="shared" si="155"/>
        <v>16792.571718620693</v>
      </c>
      <c r="H295" s="61">
        <f t="shared" si="155"/>
        <v>12109.800165517243</v>
      </c>
      <c r="I295" s="61">
        <f t="shared" si="155"/>
        <v>23987.715840000004</v>
      </c>
      <c r="J295" s="61">
        <f t="shared" si="155"/>
        <v>18152.944128000003</v>
      </c>
      <c r="K295" s="61">
        <f t="shared" si="155"/>
        <v>5946.0065280000008</v>
      </c>
      <c r="L295" s="61">
        <f t="shared" si="155"/>
        <v>0</v>
      </c>
      <c r="M295" s="61">
        <f t="shared" si="155"/>
        <v>29621.687040000004</v>
      </c>
      <c r="N295" s="61">
        <f t="shared" si="155"/>
        <v>44183.877408000008</v>
      </c>
      <c r="O295" s="61">
        <f t="shared" si="155"/>
        <v>315162.10106813797</v>
      </c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 spans="1:30" ht="12.75" customHeight="1">
      <c r="A296" s="36"/>
      <c r="B296" s="36" t="s">
        <v>74</v>
      </c>
      <c r="C296" s="61">
        <f t="shared" ref="C296:O296" si="156">+C245</f>
        <v>55628.694000000003</v>
      </c>
      <c r="D296" s="61">
        <f t="shared" si="156"/>
        <v>50915.208960000004</v>
      </c>
      <c r="E296" s="61">
        <f t="shared" si="156"/>
        <v>48466.748880000014</v>
      </c>
      <c r="F296" s="61">
        <f t="shared" si="156"/>
        <v>26478.460800000004</v>
      </c>
      <c r="G296" s="61">
        <f t="shared" si="156"/>
        <v>18541.797939310349</v>
      </c>
      <c r="H296" s="61">
        <f t="shared" si="156"/>
        <v>13371.237682758623</v>
      </c>
      <c r="I296" s="61">
        <f t="shared" si="156"/>
        <v>26486.436240000006</v>
      </c>
      <c r="J296" s="61">
        <f t="shared" si="156"/>
        <v>20043.875808000004</v>
      </c>
      <c r="K296" s="61">
        <f t="shared" si="156"/>
        <v>6565.3822080000009</v>
      </c>
      <c r="L296" s="61">
        <f t="shared" si="156"/>
        <v>0</v>
      </c>
      <c r="M296" s="61">
        <f t="shared" si="156"/>
        <v>32707.279440000006</v>
      </c>
      <c r="N296" s="61">
        <f t="shared" si="156"/>
        <v>48786.364638000014</v>
      </c>
      <c r="O296" s="61">
        <f t="shared" si="156"/>
        <v>347991.48659606907</v>
      </c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</row>
    <row r="297" spans="1:30" ht="13.5" customHeight="1" thickBo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</row>
    <row r="298" spans="1:30" ht="13.5" customHeight="1" thickBot="1">
      <c r="A298" s="36"/>
      <c r="B298" s="91" t="s">
        <v>47</v>
      </c>
      <c r="C298" s="94">
        <f t="shared" ref="C298:K298" si="157">SUM(C291:C297)</f>
        <v>256101.91200000001</v>
      </c>
      <c r="D298" s="94">
        <f t="shared" si="157"/>
        <v>234402.09408000001</v>
      </c>
      <c r="E298" s="94">
        <f t="shared" si="157"/>
        <v>223129.93824000005</v>
      </c>
      <c r="F298" s="94">
        <f t="shared" si="157"/>
        <v>121900.83840000002</v>
      </c>
      <c r="G298" s="94">
        <f t="shared" si="157"/>
        <v>85362.239569655183</v>
      </c>
      <c r="H298" s="94">
        <f t="shared" si="157"/>
        <v>61558.15084137932</v>
      </c>
      <c r="I298" s="94">
        <f t="shared" si="157"/>
        <v>121937.55552000004</v>
      </c>
      <c r="J298" s="94">
        <f t="shared" si="157"/>
        <v>92277.465984000009</v>
      </c>
      <c r="K298" s="94">
        <f t="shared" si="157"/>
        <v>30225.533184000007</v>
      </c>
      <c r="L298" s="94">
        <f t="shared" ref="L298" si="158">SUM(L291:L297)</f>
        <v>0</v>
      </c>
      <c r="M298" s="94">
        <f>SUM(M291:M297)</f>
        <v>150576.90912</v>
      </c>
      <c r="N298" s="94">
        <f>SUM(N291:N297)</f>
        <v>224601.37682400004</v>
      </c>
      <c r="O298" s="95">
        <f>SUM(O291:O297)</f>
        <v>1602074.0137630347</v>
      </c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 spans="1:30" ht="13.5" customHeight="1" thickBo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</row>
    <row r="300" spans="1:30" ht="13.5" customHeight="1" thickBot="1">
      <c r="A300" s="36"/>
      <c r="B300" s="91" t="s">
        <v>102</v>
      </c>
      <c r="C300" s="96">
        <f t="shared" ref="C300:O300" si="159">+C298+C287</f>
        <v>671303.82000000007</v>
      </c>
      <c r="D300" s="96">
        <f t="shared" si="159"/>
        <v>606891.92608000012</v>
      </c>
      <c r="E300" s="96">
        <f t="shared" si="159"/>
        <v>582257.56423999998</v>
      </c>
      <c r="F300" s="96">
        <f t="shared" si="159"/>
        <v>332817.36840000004</v>
      </c>
      <c r="G300" s="96">
        <f t="shared" si="159"/>
        <v>206581.30988000002</v>
      </c>
      <c r="H300" s="96">
        <f t="shared" si="159"/>
        <v>154389.10428965522</v>
      </c>
      <c r="I300" s="96">
        <f t="shared" si="159"/>
        <v>309983.00652000005</v>
      </c>
      <c r="J300" s="96">
        <f t="shared" si="159"/>
        <v>223119.15718400001</v>
      </c>
      <c r="K300" s="96">
        <f t="shared" si="159"/>
        <v>70199.040384000007</v>
      </c>
      <c r="L300" s="96">
        <f t="shared" si="159"/>
        <v>0</v>
      </c>
      <c r="M300" s="96">
        <f t="shared" si="159"/>
        <v>375478.79952</v>
      </c>
      <c r="N300" s="96">
        <f t="shared" si="159"/>
        <v>673449.97328400007</v>
      </c>
      <c r="O300" s="97">
        <f t="shared" si="159"/>
        <v>4206471.0697816554</v>
      </c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</row>
    <row r="301" spans="1:30" ht="12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 spans="1:30" ht="12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</row>
    <row r="303" spans="1:30" ht="15" customHeight="1">
      <c r="A303" s="36"/>
      <c r="B303" s="98" t="s">
        <v>103</v>
      </c>
      <c r="C303" s="61">
        <f>+(C292+C293+C294)*0.34</f>
        <v>38541.238560000005</v>
      </c>
      <c r="D303" s="61">
        <f t="shared" ref="D303:N303" si="160">+(D292+D293+D294)*0.34</f>
        <v>35275.593830400001</v>
      </c>
      <c r="E303" s="61">
        <f t="shared" si="160"/>
        <v>33579.226771200003</v>
      </c>
      <c r="F303" s="61">
        <f t="shared" si="160"/>
        <v>18345.076992000006</v>
      </c>
      <c r="G303" s="61">
        <f t="shared" si="160"/>
        <v>12846.317364744831</v>
      </c>
      <c r="H303" s="61">
        <f t="shared" si="160"/>
        <v>9263.9971266206921</v>
      </c>
      <c r="I303" s="61">
        <f t="shared" si="160"/>
        <v>18350.602617600005</v>
      </c>
      <c r="J303" s="61">
        <f t="shared" si="160"/>
        <v>13887.002257920003</v>
      </c>
      <c r="K303" s="61">
        <f t="shared" si="160"/>
        <v>4548.6949939200013</v>
      </c>
      <c r="L303" s="61">
        <f t="shared" si="160"/>
        <v>0</v>
      </c>
      <c r="M303" s="61">
        <f t="shared" si="160"/>
        <v>22660.590585600003</v>
      </c>
      <c r="N303" s="61">
        <f t="shared" si="160"/>
        <v>33800.666217120008</v>
      </c>
      <c r="O303" s="61">
        <f>SUM(C303:N303)</f>
        <v>241099.00731712559</v>
      </c>
      <c r="P303" s="36">
        <v>239607.09</v>
      </c>
      <c r="Q303" s="61">
        <f>+O303-P303</f>
        <v>1491.917317125597</v>
      </c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</row>
    <row r="304" spans="1:30" ht="15" customHeight="1">
      <c r="A304" s="36"/>
      <c r="B304" s="98" t="s">
        <v>5</v>
      </c>
      <c r="C304" s="61">
        <f>2.5*75*C7</f>
        <v>5812.5</v>
      </c>
      <c r="D304" s="61">
        <f t="shared" ref="D304:N304" si="161">2.5*75*D7</f>
        <v>5250</v>
      </c>
      <c r="E304" s="61">
        <f t="shared" si="161"/>
        <v>5812.5</v>
      </c>
      <c r="F304" s="61">
        <f t="shared" si="161"/>
        <v>5625</v>
      </c>
      <c r="G304" s="61">
        <f t="shared" si="161"/>
        <v>5812.5</v>
      </c>
      <c r="H304" s="61">
        <f t="shared" si="161"/>
        <v>5625</v>
      </c>
      <c r="I304" s="61">
        <f t="shared" si="161"/>
        <v>5812.5</v>
      </c>
      <c r="J304" s="61">
        <f t="shared" si="161"/>
        <v>5812.5</v>
      </c>
      <c r="K304" s="61">
        <f t="shared" si="161"/>
        <v>5625</v>
      </c>
      <c r="L304" s="61">
        <v>0</v>
      </c>
      <c r="M304" s="61">
        <f t="shared" si="161"/>
        <v>5625</v>
      </c>
      <c r="N304" s="61">
        <f t="shared" si="161"/>
        <v>5812.5</v>
      </c>
      <c r="O304" s="61">
        <f>SUM(C304:N304)</f>
        <v>62625</v>
      </c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</row>
    <row r="305" spans="1:30" ht="15" customHeight="1">
      <c r="A305" s="36"/>
      <c r="B305" s="98" t="s">
        <v>6</v>
      </c>
      <c r="C305" s="61">
        <f>1.2%*C287</f>
        <v>4982.422896</v>
      </c>
      <c r="D305" s="61">
        <f t="shared" ref="D305:N305" si="162">1.2%*D287</f>
        <v>4469.8779840000007</v>
      </c>
      <c r="E305" s="61">
        <f t="shared" si="162"/>
        <v>4309.5315119999996</v>
      </c>
      <c r="F305" s="61">
        <f t="shared" si="162"/>
        <v>2530.99836</v>
      </c>
      <c r="G305" s="61">
        <f t="shared" si="162"/>
        <v>1454.6288437241383</v>
      </c>
      <c r="H305" s="61">
        <f t="shared" si="162"/>
        <v>1113.9714413793106</v>
      </c>
      <c r="I305" s="61">
        <f t="shared" si="162"/>
        <v>2256.5454119999999</v>
      </c>
      <c r="J305" s="61">
        <f t="shared" si="162"/>
        <v>1570.1002943999999</v>
      </c>
      <c r="K305" s="61">
        <f t="shared" si="162"/>
        <v>479.6820864</v>
      </c>
      <c r="L305" s="61">
        <f t="shared" si="162"/>
        <v>0</v>
      </c>
      <c r="M305" s="61">
        <f t="shared" si="162"/>
        <v>2698.8226847999999</v>
      </c>
      <c r="N305" s="61">
        <f t="shared" si="162"/>
        <v>5386.1831575200013</v>
      </c>
      <c r="O305" s="61">
        <f>SUM(C305:N305)</f>
        <v>31252.764672223453</v>
      </c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</row>
    <row r="306" spans="1:30" ht="15" customHeight="1">
      <c r="A306" s="36"/>
      <c r="B306" s="98" t="s">
        <v>104</v>
      </c>
      <c r="C306" s="61">
        <f>0.5%*C287</f>
        <v>2076.00954</v>
      </c>
      <c r="D306" s="61">
        <f t="shared" ref="D306:N306" si="163">0.5%*D287</f>
        <v>1862.4491600000003</v>
      </c>
      <c r="E306" s="61">
        <f t="shared" si="163"/>
        <v>1795.63813</v>
      </c>
      <c r="F306" s="61">
        <f t="shared" si="163"/>
        <v>1054.5826500000001</v>
      </c>
      <c r="G306" s="61">
        <f t="shared" si="163"/>
        <v>606.09535155172421</v>
      </c>
      <c r="H306" s="61">
        <f t="shared" si="163"/>
        <v>464.15476724137943</v>
      </c>
      <c r="I306" s="61">
        <f t="shared" si="163"/>
        <v>940.22725500000001</v>
      </c>
      <c r="J306" s="61">
        <f t="shared" si="163"/>
        <v>654.20845600000007</v>
      </c>
      <c r="K306" s="61">
        <f t="shared" si="163"/>
        <v>199.867536</v>
      </c>
      <c r="L306" s="61">
        <f t="shared" si="163"/>
        <v>0</v>
      </c>
      <c r="M306" s="61">
        <f t="shared" si="163"/>
        <v>1124.509452</v>
      </c>
      <c r="N306" s="61">
        <f t="shared" si="163"/>
        <v>2244.2429823000007</v>
      </c>
      <c r="O306" s="61">
        <f>SUM(C306:N306)</f>
        <v>13021.985280093104</v>
      </c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</row>
    <row r="307" spans="1:30" ht="15" customHeight="1">
      <c r="A307" s="36"/>
      <c r="B307" s="98" t="s">
        <v>10</v>
      </c>
      <c r="C307" s="61">
        <f>35*C188*0.8</f>
        <v>35154</v>
      </c>
      <c r="D307" s="61">
        <f t="shared" ref="D307:N307" si="164">35*D188*0.8</f>
        <v>32175.360000000001</v>
      </c>
      <c r="E307" s="61">
        <f t="shared" si="164"/>
        <v>30628.080000000005</v>
      </c>
      <c r="F307" s="61">
        <f t="shared" si="164"/>
        <v>16732.8</v>
      </c>
      <c r="G307" s="61">
        <f t="shared" si="164"/>
        <v>11717.304827586209</v>
      </c>
      <c r="H307" s="61">
        <f t="shared" si="164"/>
        <v>8449.8206896551728</v>
      </c>
      <c r="I307" s="61">
        <f t="shared" si="164"/>
        <v>16737.840000000004</v>
      </c>
      <c r="J307" s="61">
        <f t="shared" si="164"/>
        <v>12666.528000000002</v>
      </c>
      <c r="K307" s="61">
        <f t="shared" si="164"/>
        <v>4148.9280000000008</v>
      </c>
      <c r="L307" s="61">
        <f t="shared" si="164"/>
        <v>0</v>
      </c>
      <c r="M307" s="61">
        <f t="shared" si="164"/>
        <v>20669.04</v>
      </c>
      <c r="N307" s="61">
        <f t="shared" si="164"/>
        <v>30830.058000000008</v>
      </c>
      <c r="O307" s="61">
        <f>SUM(C307:N307)</f>
        <v>219909.75951724141</v>
      </c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</row>
    <row r="308" spans="1:30" ht="15" customHeight="1">
      <c r="A308" s="36"/>
      <c r="B308" s="98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</row>
    <row r="309" spans="1:30" ht="12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</row>
    <row r="310" spans="1:30" ht="15" customHeight="1">
      <c r="A310" s="36"/>
      <c r="B310" s="98" t="s">
        <v>105</v>
      </c>
      <c r="C310" s="61">
        <f t="shared" ref="C310:N310" si="165">SUM(C303:C309)</f>
        <v>86566.170996000001</v>
      </c>
      <c r="D310" s="61">
        <f t="shared" si="165"/>
        <v>79033.280974399997</v>
      </c>
      <c r="E310" s="61">
        <f t="shared" si="165"/>
        <v>76124.976413200013</v>
      </c>
      <c r="F310" s="61">
        <f t="shared" si="165"/>
        <v>44288.458002000007</v>
      </c>
      <c r="G310" s="61">
        <f t="shared" si="165"/>
        <v>32436.846387606904</v>
      </c>
      <c r="H310" s="61">
        <f t="shared" si="165"/>
        <v>24916.944024896555</v>
      </c>
      <c r="I310" s="61">
        <f t="shared" si="165"/>
        <v>44097.71528460001</v>
      </c>
      <c r="J310" s="61">
        <f t="shared" si="165"/>
        <v>34590.339008320007</v>
      </c>
      <c r="K310" s="61">
        <f t="shared" si="165"/>
        <v>15002.172616320004</v>
      </c>
      <c r="L310" s="61">
        <f t="shared" si="165"/>
        <v>0</v>
      </c>
      <c r="M310" s="61">
        <f t="shared" si="165"/>
        <v>52777.9627224</v>
      </c>
      <c r="N310" s="61">
        <f t="shared" si="165"/>
        <v>78073.650356940008</v>
      </c>
      <c r="O310" s="61">
        <f>SUM(O303:O309)</f>
        <v>567908.51678668358</v>
      </c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</row>
    <row r="311" spans="1:30" ht="12.75" customHeight="1">
      <c r="A311" s="36"/>
      <c r="B311" s="36"/>
      <c r="C311" s="88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</row>
    <row r="312" spans="1:30" ht="13.5" customHeight="1" thickBo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</row>
    <row r="313" spans="1:30" ht="13.5" customHeight="1" thickBot="1">
      <c r="A313" s="36"/>
      <c r="B313" s="91" t="s">
        <v>106</v>
      </c>
      <c r="C313" s="96">
        <f t="shared" ref="C313:N313" si="166">+C310+C300</f>
        <v>757869.99099600012</v>
      </c>
      <c r="D313" s="96">
        <f t="shared" si="166"/>
        <v>685925.20705440012</v>
      </c>
      <c r="E313" s="96">
        <f t="shared" si="166"/>
        <v>658382.54065320001</v>
      </c>
      <c r="F313" s="96">
        <f t="shared" si="166"/>
        <v>377105.82640200004</v>
      </c>
      <c r="G313" s="96">
        <f t="shared" si="166"/>
        <v>239018.15626760692</v>
      </c>
      <c r="H313" s="96">
        <f t="shared" si="166"/>
        <v>179306.04831455176</v>
      </c>
      <c r="I313" s="96">
        <f t="shared" si="166"/>
        <v>354080.72180460009</v>
      </c>
      <c r="J313" s="96">
        <f t="shared" si="166"/>
        <v>257709.49619232002</v>
      </c>
      <c r="K313" s="96">
        <f t="shared" si="166"/>
        <v>85201.213000320015</v>
      </c>
      <c r="L313" s="96">
        <f t="shared" si="166"/>
        <v>0</v>
      </c>
      <c r="M313" s="96">
        <f t="shared" si="166"/>
        <v>428256.76224239997</v>
      </c>
      <c r="N313" s="96">
        <f t="shared" si="166"/>
        <v>751523.62364094006</v>
      </c>
      <c r="O313" s="96">
        <f>+O310+O300</f>
        <v>4774379.5865683388</v>
      </c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</row>
    <row r="314" spans="1:30" ht="12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</row>
    <row r="315" spans="1:30" ht="13.5" customHeight="1" thickBo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</row>
    <row r="316" spans="1:30" ht="18.75" customHeight="1" thickBot="1">
      <c r="A316" s="36"/>
      <c r="B316" s="36"/>
      <c r="C316" s="99" t="str">
        <f t="shared" ref="C316:O316" si="167">+C276</f>
        <v>January</v>
      </c>
      <c r="D316" s="100" t="str">
        <f t="shared" si="167"/>
        <v>February</v>
      </c>
      <c r="E316" s="100" t="str">
        <f t="shared" si="167"/>
        <v>March</v>
      </c>
      <c r="F316" s="100" t="str">
        <f t="shared" si="167"/>
        <v>April</v>
      </c>
      <c r="G316" s="100" t="str">
        <f t="shared" si="167"/>
        <v xml:space="preserve">May </v>
      </c>
      <c r="H316" s="100" t="str">
        <f t="shared" si="167"/>
        <v>June</v>
      </c>
      <c r="I316" s="100" t="str">
        <f t="shared" si="167"/>
        <v>July</v>
      </c>
      <c r="J316" s="100" t="str">
        <f t="shared" si="167"/>
        <v>August</v>
      </c>
      <c r="K316" s="100" t="str">
        <f t="shared" si="167"/>
        <v>September</v>
      </c>
      <c r="L316" s="100" t="str">
        <f t="shared" si="167"/>
        <v>October</v>
      </c>
      <c r="M316" s="100" t="str">
        <f t="shared" si="167"/>
        <v>November</v>
      </c>
      <c r="N316" s="100" t="str">
        <f t="shared" si="167"/>
        <v>December</v>
      </c>
      <c r="O316" s="101" t="str">
        <f t="shared" si="167"/>
        <v>TOTAL</v>
      </c>
      <c r="P316" s="36"/>
      <c r="Q316" s="36" t="s">
        <v>107</v>
      </c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</row>
    <row r="317" spans="1:30" ht="12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</row>
    <row r="318" spans="1:30" ht="12.75" customHeight="1">
      <c r="A318" s="36"/>
      <c r="B318" s="36" t="s">
        <v>108</v>
      </c>
      <c r="C318" s="36">
        <f t="shared" ref="C318:N318" si="168">+C9</f>
        <v>930</v>
      </c>
      <c r="D318" s="36">
        <f t="shared" si="168"/>
        <v>840</v>
      </c>
      <c r="E318" s="36">
        <f t="shared" si="168"/>
        <v>930</v>
      </c>
      <c r="F318" s="36">
        <f t="shared" si="168"/>
        <v>900</v>
      </c>
      <c r="G318" s="36">
        <f t="shared" si="168"/>
        <v>930</v>
      </c>
      <c r="H318" s="36">
        <f t="shared" si="168"/>
        <v>900</v>
      </c>
      <c r="I318" s="36">
        <f t="shared" si="168"/>
        <v>930</v>
      </c>
      <c r="J318" s="36">
        <f t="shared" si="168"/>
        <v>930</v>
      </c>
      <c r="K318" s="36">
        <f t="shared" si="168"/>
        <v>900</v>
      </c>
      <c r="L318" s="36">
        <v>0</v>
      </c>
      <c r="M318" s="36">
        <f t="shared" si="168"/>
        <v>900</v>
      </c>
      <c r="N318" s="36">
        <f t="shared" si="168"/>
        <v>930</v>
      </c>
      <c r="O318" s="36">
        <f>SUM(C318:N318)</f>
        <v>10020</v>
      </c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</row>
    <row r="319" spans="1:30" ht="12.75" customHeight="1">
      <c r="A319" s="36"/>
      <c r="B319" s="36" t="s">
        <v>109</v>
      </c>
      <c r="C319" s="68">
        <f t="shared" ref="C319:N319" si="169">+C103</f>
        <v>697.5</v>
      </c>
      <c r="D319" s="68">
        <f t="shared" si="169"/>
        <v>638.4</v>
      </c>
      <c r="E319" s="68">
        <f t="shared" si="169"/>
        <v>607.70000000000005</v>
      </c>
      <c r="F319" s="68">
        <f t="shared" si="169"/>
        <v>332</v>
      </c>
      <c r="G319" s="68">
        <f t="shared" si="169"/>
        <v>232.48620689655172</v>
      </c>
      <c r="H319" s="68">
        <f t="shared" si="169"/>
        <v>167.65517241379311</v>
      </c>
      <c r="I319" s="68">
        <f t="shared" si="169"/>
        <v>332.1</v>
      </c>
      <c r="J319" s="68">
        <f t="shared" si="169"/>
        <v>251.32</v>
      </c>
      <c r="K319" s="68">
        <f t="shared" si="169"/>
        <v>82.320000000000007</v>
      </c>
      <c r="L319" s="68">
        <f t="shared" si="169"/>
        <v>0</v>
      </c>
      <c r="M319" s="68">
        <f t="shared" si="169"/>
        <v>410.09999999999997</v>
      </c>
      <c r="N319" s="68">
        <f t="shared" si="169"/>
        <v>611.70749999999998</v>
      </c>
      <c r="O319" s="68">
        <f>+O103</f>
        <v>4363.2888793103448</v>
      </c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</row>
    <row r="320" spans="1:30" ht="12.75" customHeight="1">
      <c r="A320" s="36"/>
      <c r="B320" s="36" t="s">
        <v>110</v>
      </c>
      <c r="C320" s="68">
        <f t="shared" ref="C320:N320" si="170">+C188</f>
        <v>1255.5</v>
      </c>
      <c r="D320" s="68">
        <f t="shared" si="170"/>
        <v>1149.1199999999999</v>
      </c>
      <c r="E320" s="68">
        <f t="shared" si="170"/>
        <v>1093.8600000000001</v>
      </c>
      <c r="F320" s="68">
        <f t="shared" si="170"/>
        <v>597.6</v>
      </c>
      <c r="G320" s="68">
        <f t="shared" si="170"/>
        <v>418.47517241379313</v>
      </c>
      <c r="H320" s="68">
        <f t="shared" si="170"/>
        <v>301.77931034482759</v>
      </c>
      <c r="I320" s="68">
        <f t="shared" si="170"/>
        <v>597.78000000000009</v>
      </c>
      <c r="J320" s="68">
        <f t="shared" si="170"/>
        <v>452.37600000000003</v>
      </c>
      <c r="K320" s="68">
        <f t="shared" si="170"/>
        <v>148.17600000000002</v>
      </c>
      <c r="L320" s="68">
        <f t="shared" si="170"/>
        <v>0</v>
      </c>
      <c r="M320" s="68">
        <f t="shared" si="170"/>
        <v>738.18</v>
      </c>
      <c r="N320" s="68">
        <f t="shared" si="170"/>
        <v>1101.0735000000002</v>
      </c>
      <c r="O320" s="68">
        <f>+O188</f>
        <v>7853.9199827586217</v>
      </c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</row>
    <row r="321" spans="1:30" ht="15" customHeight="1">
      <c r="A321" s="36"/>
      <c r="B321" s="36" t="s">
        <v>111</v>
      </c>
      <c r="C321" s="16">
        <f t="shared" ref="C321:K321" si="171">+C319/C318</f>
        <v>0.75</v>
      </c>
      <c r="D321" s="16">
        <f t="shared" si="171"/>
        <v>0.76</v>
      </c>
      <c r="E321" s="16">
        <f t="shared" si="171"/>
        <v>0.65344086021505376</v>
      </c>
      <c r="F321" s="16">
        <f t="shared" si="171"/>
        <v>0.36888888888888888</v>
      </c>
      <c r="G321" s="16">
        <f t="shared" si="171"/>
        <v>0.2499851687059696</v>
      </c>
      <c r="H321" s="16">
        <f t="shared" si="171"/>
        <v>0.18628352490421457</v>
      </c>
      <c r="I321" s="16">
        <f t="shared" si="171"/>
        <v>0.35709677419354841</v>
      </c>
      <c r="J321" s="16">
        <f t="shared" si="171"/>
        <v>0.27023655913978495</v>
      </c>
      <c r="K321" s="16">
        <f t="shared" si="171"/>
        <v>9.1466666666666668E-2</v>
      </c>
      <c r="L321" s="16"/>
      <c r="M321" s="16">
        <f>+M319/M318</f>
        <v>0.45566666666666661</v>
      </c>
      <c r="N321" s="16">
        <f>+N319/N318</f>
        <v>0.65774999999999995</v>
      </c>
      <c r="O321" s="16">
        <f>+O319/O318</f>
        <v>0.43545797198706038</v>
      </c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</row>
    <row r="322" spans="1:30" ht="15" customHeight="1">
      <c r="A322" s="36"/>
      <c r="B322" s="36" t="s">
        <v>112</v>
      </c>
      <c r="C322" s="102">
        <f t="shared" ref="C322:K322" si="172">+C327/C319</f>
        <v>595.27155268817205</v>
      </c>
      <c r="D322" s="102">
        <f t="shared" si="172"/>
        <v>583.47404761904772</v>
      </c>
      <c r="E322" s="102">
        <f t="shared" si="172"/>
        <v>590.96203060720745</v>
      </c>
      <c r="F322" s="102">
        <f t="shared" si="172"/>
        <v>635.29075301204819</v>
      </c>
      <c r="G322" s="102">
        <f t="shared" si="172"/>
        <v>521.40327776212166</v>
      </c>
      <c r="H322" s="102">
        <f t="shared" si="172"/>
        <v>553.70169683257927</v>
      </c>
      <c r="I322" s="102">
        <f t="shared" si="172"/>
        <v>566.23140921409208</v>
      </c>
      <c r="J322" s="102">
        <f t="shared" si="172"/>
        <v>520.61790227598283</v>
      </c>
      <c r="K322" s="102">
        <f t="shared" si="172"/>
        <v>485.58682215743437</v>
      </c>
      <c r="L322" s="102">
        <v>0</v>
      </c>
      <c r="M322" s="102">
        <f>+M327/M319</f>
        <v>548.40743818580836</v>
      </c>
      <c r="N322" s="102">
        <f>+N327/N319</f>
        <v>733.76343507313561</v>
      </c>
      <c r="O322" s="102">
        <f>+O327/O319</f>
        <v>596.88852332652982</v>
      </c>
      <c r="P322" s="36">
        <v>487</v>
      </c>
      <c r="Q322" s="79">
        <f>+O322-P322</f>
        <v>109.88852332652982</v>
      </c>
      <c r="R322" s="16">
        <f>+Q322/P322</f>
        <v>0.22564378506474295</v>
      </c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</row>
    <row r="323" spans="1:30" ht="12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</row>
    <row r="324" spans="1:30" ht="12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</row>
    <row r="325" spans="1:30" ht="12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 spans="1:30" ht="12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 spans="1:30" ht="15" customHeight="1">
      <c r="A327" s="36"/>
      <c r="B327" s="36" t="s">
        <v>113</v>
      </c>
      <c r="C327" s="250">
        <f t="shared" ref="C327:N327" si="173">+C287</f>
        <v>415201.908</v>
      </c>
      <c r="D327" s="103">
        <f t="shared" si="173"/>
        <v>372489.83200000005</v>
      </c>
      <c r="E327" s="103">
        <f t="shared" si="173"/>
        <v>359127.62599999999</v>
      </c>
      <c r="F327" s="103">
        <f t="shared" si="173"/>
        <v>210916.53</v>
      </c>
      <c r="G327" s="103">
        <f t="shared" si="173"/>
        <v>121219.07031034485</v>
      </c>
      <c r="H327" s="103">
        <f t="shared" si="173"/>
        <v>92830.95344827589</v>
      </c>
      <c r="I327" s="103">
        <f t="shared" si="173"/>
        <v>188045.451</v>
      </c>
      <c r="J327" s="103">
        <f t="shared" si="173"/>
        <v>130841.6912</v>
      </c>
      <c r="K327" s="103">
        <f t="shared" si="173"/>
        <v>39973.5072</v>
      </c>
      <c r="L327" s="103">
        <f t="shared" si="173"/>
        <v>0</v>
      </c>
      <c r="M327" s="103">
        <f t="shared" si="173"/>
        <v>224901.89039999997</v>
      </c>
      <c r="N327" s="103">
        <f t="shared" si="173"/>
        <v>448848.59646000009</v>
      </c>
      <c r="O327" s="104">
        <f>+O287</f>
        <v>2604397.0560186207</v>
      </c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</row>
    <row r="328" spans="1:30" ht="14.25" customHeight="1">
      <c r="A328" s="36"/>
      <c r="B328" s="98" t="s">
        <v>114</v>
      </c>
      <c r="C328" s="251">
        <f>+C292+C293+C294</f>
        <v>113356.584</v>
      </c>
      <c r="D328" s="105">
        <f t="shared" ref="D328:O328" si="174">+D292+D293+D294</f>
        <v>103751.74656</v>
      </c>
      <c r="E328" s="105">
        <f t="shared" si="174"/>
        <v>98762.431680000009</v>
      </c>
      <c r="F328" s="105">
        <f t="shared" si="174"/>
        <v>53956.108800000016</v>
      </c>
      <c r="G328" s="105">
        <f t="shared" si="174"/>
        <v>37783.286366896558</v>
      </c>
      <c r="H328" s="105">
        <f t="shared" si="174"/>
        <v>27247.050372413796</v>
      </c>
      <c r="I328" s="105">
        <f t="shared" si="174"/>
        <v>53972.360640000014</v>
      </c>
      <c r="J328" s="105">
        <f t="shared" si="174"/>
        <v>40844.124288000006</v>
      </c>
      <c r="K328" s="105">
        <f t="shared" si="174"/>
        <v>13378.514688000003</v>
      </c>
      <c r="L328" s="105">
        <f t="shared" si="174"/>
        <v>0</v>
      </c>
      <c r="M328" s="105">
        <f t="shared" si="174"/>
        <v>66648.795840000006</v>
      </c>
      <c r="N328" s="105">
        <f t="shared" si="174"/>
        <v>99413.724168000015</v>
      </c>
      <c r="O328" s="106">
        <f t="shared" si="174"/>
        <v>709114.72740331036</v>
      </c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</row>
    <row r="329" spans="1:30" ht="15" customHeight="1">
      <c r="A329" s="36"/>
      <c r="B329" s="98" t="s">
        <v>103</v>
      </c>
      <c r="C329" s="251">
        <f>+C303</f>
        <v>38541.238560000005</v>
      </c>
      <c r="D329" s="105">
        <f t="shared" ref="D329:O329" si="175">+D303</f>
        <v>35275.593830400001</v>
      </c>
      <c r="E329" s="105">
        <f t="shared" si="175"/>
        <v>33579.226771200003</v>
      </c>
      <c r="F329" s="105">
        <f t="shared" si="175"/>
        <v>18345.076992000006</v>
      </c>
      <c r="G329" s="105">
        <f t="shared" si="175"/>
        <v>12846.317364744831</v>
      </c>
      <c r="H329" s="105">
        <f t="shared" si="175"/>
        <v>9263.9971266206921</v>
      </c>
      <c r="I329" s="105">
        <f t="shared" si="175"/>
        <v>18350.602617600005</v>
      </c>
      <c r="J329" s="105">
        <f t="shared" si="175"/>
        <v>13887.002257920003</v>
      </c>
      <c r="K329" s="105">
        <f t="shared" si="175"/>
        <v>4548.6949939200013</v>
      </c>
      <c r="L329" s="105">
        <f t="shared" si="175"/>
        <v>0</v>
      </c>
      <c r="M329" s="105">
        <f t="shared" si="175"/>
        <v>22660.590585600003</v>
      </c>
      <c r="N329" s="105">
        <f t="shared" si="175"/>
        <v>33800.666217120008</v>
      </c>
      <c r="O329" s="106">
        <f t="shared" si="175"/>
        <v>241099.00731712559</v>
      </c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 spans="1:30" ht="15" customHeight="1">
      <c r="A330" s="36"/>
      <c r="B330" s="492" t="s">
        <v>4</v>
      </c>
      <c r="C330" s="251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 spans="1:30" ht="15" customHeight="1">
      <c r="A331" s="36"/>
      <c r="B331" s="98" t="s">
        <v>5</v>
      </c>
      <c r="C331" s="251">
        <f>+C304</f>
        <v>5812.5</v>
      </c>
      <c r="D331" s="105">
        <f t="shared" ref="D331:O331" si="176">+D304</f>
        <v>5250</v>
      </c>
      <c r="E331" s="105">
        <f t="shared" si="176"/>
        <v>5812.5</v>
      </c>
      <c r="F331" s="105">
        <f t="shared" si="176"/>
        <v>5625</v>
      </c>
      <c r="G331" s="105">
        <f t="shared" si="176"/>
        <v>5812.5</v>
      </c>
      <c r="H331" s="105">
        <f t="shared" si="176"/>
        <v>5625</v>
      </c>
      <c r="I331" s="105">
        <f t="shared" si="176"/>
        <v>5812.5</v>
      </c>
      <c r="J331" s="105">
        <f t="shared" si="176"/>
        <v>5812.5</v>
      </c>
      <c r="K331" s="105">
        <f t="shared" si="176"/>
        <v>5625</v>
      </c>
      <c r="L331" s="105">
        <f t="shared" si="176"/>
        <v>0</v>
      </c>
      <c r="M331" s="105">
        <f t="shared" si="176"/>
        <v>5625</v>
      </c>
      <c r="N331" s="105">
        <f t="shared" si="176"/>
        <v>5812.5</v>
      </c>
      <c r="O331" s="106">
        <f t="shared" si="176"/>
        <v>62625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 spans="1:30" ht="15" customHeight="1">
      <c r="A332" s="36"/>
      <c r="B332" s="98" t="s">
        <v>6</v>
      </c>
      <c r="C332" s="251">
        <f>+C305</f>
        <v>4982.422896</v>
      </c>
      <c r="D332" s="105">
        <f t="shared" ref="D332:O332" si="177">+D305</f>
        <v>4469.8779840000007</v>
      </c>
      <c r="E332" s="105">
        <f t="shared" si="177"/>
        <v>4309.5315119999996</v>
      </c>
      <c r="F332" s="105">
        <f t="shared" si="177"/>
        <v>2530.99836</v>
      </c>
      <c r="G332" s="105">
        <f t="shared" si="177"/>
        <v>1454.6288437241383</v>
      </c>
      <c r="H332" s="105">
        <f t="shared" si="177"/>
        <v>1113.9714413793106</v>
      </c>
      <c r="I332" s="105">
        <f t="shared" si="177"/>
        <v>2256.5454119999999</v>
      </c>
      <c r="J332" s="105">
        <f t="shared" si="177"/>
        <v>1570.1002943999999</v>
      </c>
      <c r="K332" s="105">
        <f t="shared" si="177"/>
        <v>479.6820864</v>
      </c>
      <c r="L332" s="105">
        <f t="shared" si="177"/>
        <v>0</v>
      </c>
      <c r="M332" s="105">
        <f t="shared" si="177"/>
        <v>2698.8226847999999</v>
      </c>
      <c r="N332" s="105">
        <f t="shared" si="177"/>
        <v>5386.1831575200013</v>
      </c>
      <c r="O332" s="106">
        <f t="shared" si="177"/>
        <v>31252.764672223453</v>
      </c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 spans="1:30" ht="15" customHeight="1">
      <c r="A333" s="36"/>
      <c r="B333" s="98" t="s">
        <v>7</v>
      </c>
      <c r="C333" s="251">
        <f>+C295+C296</f>
        <v>106009.39800000002</v>
      </c>
      <c r="D333" s="105">
        <f t="shared" ref="D333:O333" si="178">+D295+D296</f>
        <v>97027.096320000011</v>
      </c>
      <c r="E333" s="105">
        <f t="shared" si="178"/>
        <v>92361.162960000016</v>
      </c>
      <c r="F333" s="105">
        <f t="shared" si="178"/>
        <v>50458.953600000008</v>
      </c>
      <c r="G333" s="105">
        <f t="shared" si="178"/>
        <v>35334.369657931042</v>
      </c>
      <c r="H333" s="105">
        <f t="shared" si="178"/>
        <v>25481.037848275868</v>
      </c>
      <c r="I333" s="105">
        <f t="shared" si="178"/>
        <v>50474.152080000014</v>
      </c>
      <c r="J333" s="105">
        <f t="shared" si="178"/>
        <v>38196.819936000007</v>
      </c>
      <c r="K333" s="105">
        <f t="shared" si="178"/>
        <v>12511.388736000001</v>
      </c>
      <c r="L333" s="105">
        <f t="shared" si="178"/>
        <v>0</v>
      </c>
      <c r="M333" s="105">
        <f t="shared" si="178"/>
        <v>62328.96648000001</v>
      </c>
      <c r="N333" s="105">
        <f t="shared" si="178"/>
        <v>92970.242046000028</v>
      </c>
      <c r="O333" s="106">
        <f t="shared" si="178"/>
        <v>663153.58766420698</v>
      </c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4" spans="1:30" ht="15" customHeight="1">
      <c r="A334" s="36"/>
      <c r="B334" s="98" t="s">
        <v>8</v>
      </c>
      <c r="C334" s="251">
        <f>+C291</f>
        <v>36735.93</v>
      </c>
      <c r="D334" s="105">
        <f t="shared" ref="D334:O334" si="179">+D291</f>
        <v>33623.251199999999</v>
      </c>
      <c r="E334" s="105">
        <f t="shared" si="179"/>
        <v>32006.343600000007</v>
      </c>
      <c r="F334" s="105">
        <f t="shared" si="179"/>
        <v>17485.776000000002</v>
      </c>
      <c r="G334" s="105">
        <f t="shared" si="179"/>
        <v>12244.583544827588</v>
      </c>
      <c r="H334" s="105">
        <f t="shared" si="179"/>
        <v>8830.0626206896559</v>
      </c>
      <c r="I334" s="105">
        <f t="shared" si="179"/>
        <v>17491.042800000003</v>
      </c>
      <c r="J334" s="105">
        <f t="shared" si="179"/>
        <v>13236.521760000003</v>
      </c>
      <c r="K334" s="105">
        <f t="shared" si="179"/>
        <v>4335.6297600000007</v>
      </c>
      <c r="L334" s="105">
        <f t="shared" si="179"/>
        <v>0</v>
      </c>
      <c r="M334" s="105">
        <f t="shared" si="179"/>
        <v>21599.146800000002</v>
      </c>
      <c r="N334" s="105">
        <f t="shared" si="179"/>
        <v>32217.41061000001</v>
      </c>
      <c r="O334" s="106">
        <f t="shared" si="179"/>
        <v>229805.69869551726</v>
      </c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 spans="1:30" ht="15" customHeight="1">
      <c r="A335" s="36"/>
      <c r="B335" s="98" t="s">
        <v>104</v>
      </c>
      <c r="C335" s="251">
        <f>+C306</f>
        <v>2076.00954</v>
      </c>
      <c r="D335" s="105">
        <f t="shared" ref="D335:O335" si="180">+D306</f>
        <v>1862.4491600000003</v>
      </c>
      <c r="E335" s="105">
        <f t="shared" si="180"/>
        <v>1795.63813</v>
      </c>
      <c r="F335" s="105">
        <f t="shared" si="180"/>
        <v>1054.5826500000001</v>
      </c>
      <c r="G335" s="105">
        <f t="shared" si="180"/>
        <v>606.09535155172421</v>
      </c>
      <c r="H335" s="105">
        <f t="shared" si="180"/>
        <v>464.15476724137943</v>
      </c>
      <c r="I335" s="105">
        <f t="shared" si="180"/>
        <v>940.22725500000001</v>
      </c>
      <c r="J335" s="105">
        <f t="shared" si="180"/>
        <v>654.20845600000007</v>
      </c>
      <c r="K335" s="105">
        <f t="shared" si="180"/>
        <v>199.867536</v>
      </c>
      <c r="L335" s="105">
        <f t="shared" si="180"/>
        <v>0</v>
      </c>
      <c r="M335" s="105">
        <f t="shared" si="180"/>
        <v>1124.509452</v>
      </c>
      <c r="N335" s="105">
        <f t="shared" si="180"/>
        <v>2244.2429823000007</v>
      </c>
      <c r="O335" s="106">
        <f t="shared" si="180"/>
        <v>13021.985280093104</v>
      </c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</row>
    <row r="336" spans="1:30" ht="15" customHeight="1">
      <c r="A336" s="36"/>
      <c r="B336" s="98" t="s">
        <v>10</v>
      </c>
      <c r="C336" s="251">
        <f>+C307</f>
        <v>35154</v>
      </c>
      <c r="D336" s="105">
        <f t="shared" ref="D336:O336" si="181">+D307</f>
        <v>32175.360000000001</v>
      </c>
      <c r="E336" s="105">
        <f t="shared" si="181"/>
        <v>30628.080000000005</v>
      </c>
      <c r="F336" s="105">
        <f t="shared" si="181"/>
        <v>16732.8</v>
      </c>
      <c r="G336" s="105">
        <f t="shared" si="181"/>
        <v>11717.304827586209</v>
      </c>
      <c r="H336" s="105">
        <f t="shared" si="181"/>
        <v>8449.8206896551728</v>
      </c>
      <c r="I336" s="105">
        <f t="shared" si="181"/>
        <v>16737.840000000004</v>
      </c>
      <c r="J336" s="105">
        <f t="shared" si="181"/>
        <v>12666.528000000002</v>
      </c>
      <c r="K336" s="105">
        <f t="shared" si="181"/>
        <v>4148.9280000000008</v>
      </c>
      <c r="L336" s="105">
        <f t="shared" si="181"/>
        <v>0</v>
      </c>
      <c r="M336" s="105">
        <f t="shared" si="181"/>
        <v>20669.04</v>
      </c>
      <c r="N336" s="105">
        <f t="shared" si="181"/>
        <v>30830.058000000008</v>
      </c>
      <c r="O336" s="106">
        <f t="shared" si="181"/>
        <v>219909.75951724141</v>
      </c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</row>
    <row r="337" spans="1:30" ht="15" customHeight="1">
      <c r="A337" s="36"/>
      <c r="B337" s="98" t="s">
        <v>115</v>
      </c>
      <c r="C337" s="251">
        <v>900</v>
      </c>
      <c r="D337" s="251">
        <v>900</v>
      </c>
      <c r="E337" s="251">
        <v>900</v>
      </c>
      <c r="F337" s="251">
        <v>900</v>
      </c>
      <c r="G337" s="251">
        <v>900</v>
      </c>
      <c r="H337" s="251">
        <v>900</v>
      </c>
      <c r="I337" s="251">
        <v>900</v>
      </c>
      <c r="J337" s="251">
        <v>900</v>
      </c>
      <c r="K337" s="251">
        <v>900</v>
      </c>
      <c r="L337" s="251">
        <v>0</v>
      </c>
      <c r="M337" s="251">
        <v>900</v>
      </c>
      <c r="N337" s="251">
        <v>900</v>
      </c>
      <c r="O337" s="106">
        <f>SUM(C337:N337)</f>
        <v>9900</v>
      </c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</row>
    <row r="338" spans="1:30" ht="13.5" customHeight="1" thickBot="1">
      <c r="A338" s="36"/>
      <c r="B338" s="36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52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</row>
    <row r="339" spans="1:30" ht="16.5" customHeight="1" thickBot="1">
      <c r="A339" s="36"/>
      <c r="B339" s="107" t="s">
        <v>25</v>
      </c>
      <c r="C339" s="108">
        <f t="shared" ref="C339:N339" si="182">SUM(C327:C338)</f>
        <v>758769.99099600001</v>
      </c>
      <c r="D339" s="108">
        <f t="shared" si="182"/>
        <v>686825.20705440012</v>
      </c>
      <c r="E339" s="108">
        <f t="shared" si="182"/>
        <v>659282.54065320001</v>
      </c>
      <c r="F339" s="108">
        <f t="shared" si="182"/>
        <v>378005.82640200004</v>
      </c>
      <c r="G339" s="108">
        <f t="shared" si="182"/>
        <v>239918.15626760694</v>
      </c>
      <c r="H339" s="108">
        <f t="shared" si="182"/>
        <v>180206.04831455176</v>
      </c>
      <c r="I339" s="108">
        <f t="shared" si="182"/>
        <v>354980.72180460003</v>
      </c>
      <c r="J339" s="108">
        <f t="shared" si="182"/>
        <v>258609.49619232002</v>
      </c>
      <c r="K339" s="108">
        <f t="shared" si="182"/>
        <v>86101.21300032</v>
      </c>
      <c r="L339" s="108">
        <f t="shared" si="182"/>
        <v>0</v>
      </c>
      <c r="M339" s="108">
        <f t="shared" si="182"/>
        <v>429156.76224239997</v>
      </c>
      <c r="N339" s="108">
        <f t="shared" si="182"/>
        <v>752423.62364094018</v>
      </c>
      <c r="O339" s="108">
        <f>SUM(O327:O338)</f>
        <v>4784279.5865683379</v>
      </c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</row>
    <row r="340" spans="1:30" ht="12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</row>
    <row r="341" spans="1:30" ht="12.75" customHeight="1">
      <c r="A341" s="36"/>
      <c r="B341" s="36"/>
      <c r="C341" s="36"/>
      <c r="D341" s="36"/>
      <c r="E341" s="36"/>
      <c r="F341" s="36"/>
      <c r="G341" s="233"/>
      <c r="H341" s="233"/>
      <c r="I341" s="233"/>
      <c r="J341" s="233"/>
      <c r="K341" s="233"/>
      <c r="L341" s="233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</row>
    <row r="342" spans="1:30" s="249" customFormat="1" ht="12.75" customHeight="1">
      <c r="A342" s="228"/>
      <c r="B342" s="231" t="s">
        <v>185</v>
      </c>
      <c r="C342" s="231"/>
      <c r="D342" s="231"/>
      <c r="E342" s="231">
        <f>+E339+D339+C339</f>
        <v>2104877.7387036001</v>
      </c>
      <c r="F342" s="231"/>
      <c r="G342" s="235"/>
      <c r="H342" s="231">
        <f>+H339+G339+F339</f>
        <v>798130.03098415874</v>
      </c>
      <c r="I342" s="235"/>
      <c r="J342" s="235"/>
      <c r="K342" s="231">
        <f>+K339+J339+I339</f>
        <v>699691.43099724012</v>
      </c>
      <c r="L342" s="235"/>
      <c r="M342" s="231"/>
      <c r="N342" s="231">
        <f>+N339+M339+L339</f>
        <v>1181580.3858833401</v>
      </c>
      <c r="O342" s="231">
        <f>SUM(C342:N342)</f>
        <v>4784279.5865683388</v>
      </c>
      <c r="P342" s="228"/>
      <c r="Q342" s="228"/>
      <c r="R342" s="228"/>
      <c r="S342" s="228"/>
      <c r="T342" s="228"/>
      <c r="U342" s="228"/>
      <c r="V342" s="228"/>
      <c r="W342" s="228"/>
      <c r="X342" s="228"/>
      <c r="Y342" s="228"/>
      <c r="Z342" s="228"/>
      <c r="AA342" s="228"/>
      <c r="AB342" s="228"/>
      <c r="AC342" s="228"/>
      <c r="AD342" s="228"/>
    </row>
    <row r="343" spans="1:30" ht="12.75" customHeight="1">
      <c r="A343" s="36"/>
      <c r="B343" s="229"/>
      <c r="C343" s="229"/>
      <c r="D343" s="229"/>
      <c r="E343" s="229"/>
      <c r="F343" s="229"/>
      <c r="G343" s="233"/>
      <c r="H343" s="233"/>
      <c r="I343" s="235"/>
      <c r="J343" s="233"/>
      <c r="K343" s="233"/>
      <c r="L343" s="233"/>
      <c r="M343" s="229"/>
      <c r="N343" s="229"/>
      <c r="O343" s="229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</row>
    <row r="344" spans="1:30" ht="12.75" customHeight="1">
      <c r="A344" s="36"/>
      <c r="B344" s="229"/>
      <c r="C344" s="247"/>
      <c r="D344" s="247"/>
      <c r="E344" s="247"/>
      <c r="F344" s="231"/>
      <c r="G344" s="233"/>
      <c r="H344" s="236"/>
      <c r="I344" s="233"/>
      <c r="J344" s="233"/>
      <c r="K344" s="233"/>
      <c r="L344" s="234"/>
      <c r="M344" s="229"/>
      <c r="N344" s="229"/>
      <c r="O344" s="229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</row>
    <row r="345" spans="1:30" ht="12.75" customHeight="1">
      <c r="A345" s="36"/>
      <c r="B345" s="229"/>
      <c r="C345" s="229"/>
      <c r="D345" s="229"/>
      <c r="E345" s="229"/>
      <c r="F345" s="229"/>
      <c r="G345" s="233"/>
      <c r="H345" s="236"/>
      <c r="I345" s="233"/>
      <c r="J345" s="233"/>
      <c r="K345" s="233"/>
      <c r="L345" s="233"/>
      <c r="M345" s="229"/>
      <c r="N345" s="229"/>
      <c r="O345" s="229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</row>
    <row r="346" spans="1:30" ht="12.75" customHeight="1">
      <c r="A346" s="36"/>
      <c r="B346" s="229"/>
      <c r="C346" s="229"/>
      <c r="D346" s="229"/>
      <c r="E346" s="229"/>
      <c r="F346" s="229"/>
      <c r="G346" s="233"/>
      <c r="H346" s="237"/>
      <c r="I346" s="233"/>
      <c r="J346" s="233"/>
      <c r="K346" s="233"/>
      <c r="L346" s="233"/>
      <c r="M346" s="229"/>
      <c r="N346" s="229"/>
      <c r="O346" s="229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</row>
    <row r="347" spans="1:30" ht="12.75" customHeight="1">
      <c r="A347" s="36"/>
      <c r="B347" s="248"/>
      <c r="C347" s="232"/>
      <c r="D347" s="232"/>
      <c r="E347" s="232"/>
      <c r="F347" s="230"/>
      <c r="G347" s="229"/>
      <c r="H347" s="229"/>
      <c r="I347" s="229"/>
      <c r="J347" s="229"/>
      <c r="K347" s="229"/>
      <c r="L347" s="229"/>
      <c r="M347" s="229"/>
      <c r="N347" s="229"/>
      <c r="O347" s="229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</row>
    <row r="348" spans="1:30" ht="12.75" customHeight="1">
      <c r="A348" s="36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</row>
    <row r="349" spans="1:30" ht="12.75" customHeight="1">
      <c r="A349" s="36"/>
      <c r="B349" s="229"/>
      <c r="C349" s="247"/>
      <c r="D349" s="247"/>
      <c r="E349" s="230"/>
      <c r="F349" s="230"/>
      <c r="G349" s="230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 spans="1:30" ht="12.75" customHeight="1">
      <c r="A350" s="36"/>
      <c r="B350" s="229"/>
      <c r="C350" s="229"/>
      <c r="D350" s="229"/>
      <c r="E350" s="229"/>
      <c r="F350" s="229"/>
      <c r="G350" s="229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</row>
    <row r="351" spans="1:30" ht="12.75" customHeight="1">
      <c r="A351" s="36"/>
      <c r="B351" s="229"/>
      <c r="C351" s="229"/>
      <c r="D351" s="229"/>
      <c r="E351" s="229"/>
      <c r="F351" s="229"/>
      <c r="G351" s="229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</row>
    <row r="352" spans="1:30" ht="12.75" customHeight="1">
      <c r="A352" s="36"/>
      <c r="B352" s="494"/>
      <c r="C352" s="495"/>
      <c r="D352" s="495"/>
      <c r="E352" s="495"/>
      <c r="F352" s="230"/>
      <c r="G352" s="232"/>
      <c r="H352" s="219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</row>
    <row r="353" spans="1:30" ht="12.75" customHeight="1">
      <c r="A353" s="36"/>
      <c r="B353" s="229"/>
      <c r="C353" s="229"/>
      <c r="D353" s="229"/>
      <c r="E353" s="229"/>
      <c r="F353" s="229"/>
      <c r="G353" s="229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</row>
    <row r="354" spans="1:30" ht="12.75" customHeight="1">
      <c r="A354" s="36"/>
      <c r="B354" s="229"/>
      <c r="C354" s="229"/>
      <c r="D354" s="229"/>
      <c r="E354" s="229"/>
      <c r="F354" s="229"/>
      <c r="G354" s="229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</row>
    <row r="355" spans="1:30" ht="12.75" customHeight="1">
      <c r="A355" s="36"/>
      <c r="B355" s="229"/>
      <c r="C355" s="229"/>
      <c r="D355" s="229"/>
      <c r="E355" s="229"/>
      <c r="F355" s="229"/>
      <c r="G355" s="229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</row>
    <row r="356" spans="1:30" ht="12.75" customHeight="1">
      <c r="A356" s="36"/>
      <c r="B356" s="229"/>
      <c r="C356" s="229"/>
      <c r="D356" s="229"/>
      <c r="E356" s="229"/>
      <c r="F356" s="229"/>
      <c r="G356" s="230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</row>
    <row r="357" spans="1:30" ht="12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</row>
    <row r="358" spans="1:30" ht="12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</row>
    <row r="359" spans="1:30" ht="12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</row>
    <row r="360" spans="1:30" ht="12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</row>
    <row r="361" spans="1:30" ht="12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</row>
    <row r="362" spans="1:30" ht="12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</row>
    <row r="363" spans="1:30" ht="12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</row>
    <row r="364" spans="1:30" ht="12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</row>
    <row r="365" spans="1:30" ht="12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</row>
    <row r="366" spans="1:30" ht="12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</row>
    <row r="367" spans="1:30" ht="12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</row>
    <row r="368" spans="1:30" ht="12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</row>
    <row r="369" spans="1:30" ht="12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</row>
    <row r="370" spans="1:30" ht="12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</row>
    <row r="371" spans="1:30" ht="12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</row>
    <row r="372" spans="1:30" ht="12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</row>
    <row r="373" spans="1:30" ht="12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 spans="1:30" ht="12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</row>
    <row r="375" spans="1:30" ht="12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</row>
    <row r="376" spans="1:30" ht="12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</row>
    <row r="377" spans="1:30" ht="12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</row>
    <row r="378" spans="1:30" ht="12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</row>
    <row r="379" spans="1:30" ht="12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</row>
    <row r="380" spans="1:30" ht="12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</row>
    <row r="381" spans="1:30" ht="12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</row>
    <row r="382" spans="1:30" ht="12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</row>
    <row r="383" spans="1:30" ht="12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</row>
    <row r="384" spans="1:30" ht="12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</row>
    <row r="385" spans="1:30" ht="12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</row>
    <row r="386" spans="1:30" ht="12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</row>
    <row r="387" spans="1:30" ht="12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</row>
    <row r="388" spans="1:30" ht="12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</row>
    <row r="389" spans="1:30" ht="12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</row>
    <row r="390" spans="1:30" ht="12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</row>
    <row r="391" spans="1:30" ht="12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</row>
    <row r="392" spans="1:30" ht="12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 spans="1:30" ht="12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</row>
    <row r="394" spans="1:30" ht="12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</row>
    <row r="395" spans="1:30" ht="12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</row>
    <row r="396" spans="1:30" ht="12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</row>
    <row r="397" spans="1:30" ht="12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</row>
    <row r="398" spans="1:30" ht="12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</row>
    <row r="399" spans="1:30" ht="12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</row>
    <row r="400" spans="1:30" ht="12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</row>
    <row r="401" spans="1:30" ht="12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</row>
    <row r="402" spans="1:30" ht="12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</row>
    <row r="403" spans="1:30" ht="12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</row>
    <row r="404" spans="1:30" ht="12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 spans="1:30" ht="12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</row>
    <row r="406" spans="1:30" ht="12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</row>
    <row r="407" spans="1:30" ht="12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</row>
    <row r="408" spans="1:30" ht="12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</row>
    <row r="409" spans="1:30" ht="12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</row>
    <row r="410" spans="1:30" ht="12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</row>
    <row r="411" spans="1:30" ht="12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</row>
    <row r="412" spans="1:30" ht="12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</row>
    <row r="413" spans="1:30" ht="12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</row>
    <row r="414" spans="1:30" ht="12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</row>
    <row r="415" spans="1:30" ht="12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</row>
    <row r="416" spans="1:30" ht="12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</row>
    <row r="417" spans="1:30" ht="12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</row>
    <row r="418" spans="1:30" ht="12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 spans="1:30" ht="12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</row>
    <row r="420" spans="1:30" ht="12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</row>
    <row r="421" spans="1:30" ht="12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</row>
    <row r="422" spans="1:30" ht="12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 spans="1:30" ht="12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</row>
    <row r="424" spans="1:30" ht="12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</row>
    <row r="425" spans="1:30" ht="12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</row>
    <row r="426" spans="1:30" ht="12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</row>
    <row r="427" spans="1:30" ht="12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 spans="1:30" ht="12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</row>
    <row r="429" spans="1:30" ht="12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</row>
    <row r="430" spans="1:30" ht="12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</row>
    <row r="431" spans="1:30" ht="12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</row>
    <row r="432" spans="1:30" ht="12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</row>
    <row r="433" spans="1:30" ht="12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 spans="1:30" ht="12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</row>
    <row r="435" spans="1:30" ht="12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</row>
    <row r="436" spans="1:30" ht="12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</row>
    <row r="437" spans="1:30" ht="12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</row>
    <row r="438" spans="1:30" ht="12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</row>
    <row r="439" spans="1:30" ht="12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</row>
    <row r="440" spans="1:30" ht="12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</row>
    <row r="441" spans="1:30" ht="12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</row>
    <row r="442" spans="1:30" ht="12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</row>
    <row r="443" spans="1:30" ht="12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</row>
    <row r="444" spans="1:30" ht="12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</row>
    <row r="445" spans="1:30" ht="12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</row>
    <row r="446" spans="1:30" ht="12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</row>
    <row r="447" spans="1:30" ht="12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</row>
    <row r="448" spans="1:30" ht="12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</row>
    <row r="449" spans="1:30" ht="12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</row>
    <row r="450" spans="1:30" ht="12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</row>
    <row r="451" spans="1:30" ht="12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</row>
    <row r="452" spans="1:30" ht="12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</row>
    <row r="453" spans="1:30" ht="12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</row>
    <row r="454" spans="1:30" ht="12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</row>
    <row r="455" spans="1:30" ht="12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</row>
    <row r="456" spans="1:30" ht="12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</row>
    <row r="457" spans="1:30" ht="12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</row>
    <row r="458" spans="1:30" ht="12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 spans="1:30" ht="12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</row>
    <row r="460" spans="1:30" ht="12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</row>
    <row r="461" spans="1:30" ht="12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</row>
    <row r="462" spans="1:30" ht="12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</row>
    <row r="463" spans="1:30" ht="12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</row>
    <row r="464" spans="1:30" ht="12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</row>
    <row r="465" spans="1:30" ht="12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</row>
    <row r="466" spans="1:30" ht="12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</row>
    <row r="467" spans="1:30" ht="12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 spans="1:30" ht="12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</row>
    <row r="469" spans="1:30" ht="12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</row>
    <row r="470" spans="1:30" ht="12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</row>
    <row r="471" spans="1:30" ht="12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</row>
    <row r="472" spans="1:30" ht="12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 spans="1:30" ht="12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</row>
    <row r="474" spans="1:30" ht="12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</row>
    <row r="475" spans="1:30" ht="12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</row>
    <row r="476" spans="1:30" ht="12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</row>
    <row r="477" spans="1:30" ht="12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</row>
    <row r="478" spans="1:30" ht="12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</row>
    <row r="479" spans="1:30" ht="12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</row>
    <row r="480" spans="1:30" ht="12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</row>
    <row r="481" spans="1:30" ht="12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</row>
    <row r="482" spans="1:30" ht="12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 spans="1:30" ht="12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</row>
    <row r="484" spans="1:30" ht="12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</row>
    <row r="485" spans="1:30" ht="12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</row>
    <row r="486" spans="1:30" ht="12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</row>
    <row r="487" spans="1:30" ht="12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</row>
    <row r="488" spans="1:30" ht="12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</row>
    <row r="489" spans="1:30" ht="12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</row>
    <row r="490" spans="1:30" ht="12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</row>
    <row r="491" spans="1:30" ht="12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</row>
    <row r="492" spans="1:30" ht="12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 spans="1:30" ht="12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</row>
    <row r="494" spans="1:30" ht="12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</row>
    <row r="495" spans="1:30" ht="12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</row>
    <row r="496" spans="1:30" ht="12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</row>
    <row r="497" spans="1:30" ht="12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</row>
    <row r="498" spans="1:30" ht="12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 spans="1:30" ht="12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</row>
    <row r="500" spans="1:30" ht="12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</row>
    <row r="501" spans="1:30" ht="12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</row>
    <row r="502" spans="1:30" ht="12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</row>
    <row r="503" spans="1:30" ht="12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</row>
    <row r="504" spans="1:30" ht="12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</row>
    <row r="505" spans="1:30" ht="12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</row>
    <row r="506" spans="1:30" ht="12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</row>
    <row r="507" spans="1:30" ht="12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</row>
    <row r="508" spans="1:30" ht="12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</row>
    <row r="509" spans="1:30" ht="12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</row>
    <row r="510" spans="1:30" ht="12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</row>
    <row r="511" spans="1:30" ht="12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</row>
    <row r="512" spans="1:30" ht="12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 spans="1:30" ht="12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</row>
    <row r="514" spans="1:30" ht="12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</row>
    <row r="515" spans="1:30" ht="12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</row>
    <row r="516" spans="1:30" ht="12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</row>
    <row r="517" spans="1:30" ht="12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</row>
    <row r="518" spans="1:30" ht="12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</row>
    <row r="519" spans="1:30" ht="12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</row>
    <row r="520" spans="1:30" ht="12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</row>
    <row r="521" spans="1:30" ht="12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</row>
    <row r="522" spans="1:30" ht="12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</row>
    <row r="523" spans="1:30" ht="12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</row>
    <row r="524" spans="1:30" ht="12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</row>
    <row r="525" spans="1:30" ht="12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</row>
    <row r="526" spans="1:30" ht="12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</row>
    <row r="527" spans="1:30" ht="12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</row>
    <row r="528" spans="1:30" ht="12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 spans="1:30" ht="12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</row>
    <row r="530" spans="1:30" ht="12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</row>
    <row r="531" spans="1:30" ht="12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</row>
    <row r="532" spans="1:30" ht="12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</row>
    <row r="533" spans="1:30" ht="12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</row>
    <row r="534" spans="1:30" ht="12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</row>
    <row r="535" spans="1:30" ht="12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</row>
    <row r="536" spans="1:30" ht="12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</row>
    <row r="537" spans="1:30" ht="12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</row>
    <row r="538" spans="1:30" ht="12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</row>
    <row r="539" spans="1:30" ht="12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</row>
    <row r="540" spans="1:30" ht="12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</row>
    <row r="541" spans="1:30" ht="12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</row>
    <row r="542" spans="1:30" ht="12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</row>
    <row r="543" spans="1:30" ht="12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</row>
    <row r="544" spans="1:30" ht="12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</row>
    <row r="545" spans="1:30" ht="12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</row>
    <row r="546" spans="1:30" ht="12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 spans="1:30" ht="12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</row>
    <row r="548" spans="1:30" ht="12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</row>
    <row r="549" spans="1:30" ht="12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</row>
    <row r="550" spans="1:30" ht="12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</row>
    <row r="551" spans="1:30" ht="12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</row>
    <row r="552" spans="1:30" ht="12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</row>
    <row r="553" spans="1:30" ht="12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</row>
    <row r="554" spans="1:30" ht="12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</row>
    <row r="555" spans="1:30" ht="12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</row>
    <row r="556" spans="1:30" ht="12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</row>
    <row r="557" spans="1:30" ht="12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 spans="1:30" ht="12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</row>
    <row r="559" spans="1:30" ht="12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</row>
    <row r="560" spans="1:30" ht="12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</row>
    <row r="561" spans="1:30" ht="12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</row>
    <row r="562" spans="1:30" ht="12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</row>
    <row r="563" spans="1:30" ht="12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</row>
    <row r="564" spans="1:30" ht="12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</row>
    <row r="565" spans="1:30" ht="12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</row>
    <row r="566" spans="1:30" ht="12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</row>
    <row r="567" spans="1:30" ht="12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</row>
    <row r="568" spans="1:30" ht="12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</row>
    <row r="569" spans="1:30" ht="12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</row>
    <row r="570" spans="1:30" ht="12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</row>
    <row r="571" spans="1:30" ht="12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</row>
    <row r="572" spans="1:30" ht="12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</row>
    <row r="573" spans="1:30" ht="12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</row>
    <row r="574" spans="1:30" ht="12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</row>
    <row r="575" spans="1:30" ht="12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</row>
    <row r="576" spans="1:30" ht="12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</row>
    <row r="577" spans="1:30" ht="12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</row>
    <row r="578" spans="1:30" ht="12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</row>
    <row r="579" spans="1:30" ht="12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</row>
    <row r="580" spans="1:30" ht="12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</row>
    <row r="581" spans="1:30" ht="12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</row>
    <row r="582" spans="1:30" ht="12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</row>
    <row r="583" spans="1:30" ht="12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</row>
    <row r="584" spans="1:30" ht="12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 spans="1:30" ht="12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</row>
    <row r="586" spans="1:30" ht="12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</row>
    <row r="587" spans="1:30" ht="12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</row>
    <row r="588" spans="1:30" ht="12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</row>
    <row r="589" spans="1:30" ht="12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</row>
    <row r="590" spans="1:30" ht="12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</row>
    <row r="591" spans="1:30" ht="12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</row>
    <row r="592" spans="1:30" ht="12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</row>
    <row r="593" spans="1:30" ht="12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 spans="1:30" ht="12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</row>
    <row r="595" spans="1:30" ht="12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</row>
    <row r="596" spans="1:30" ht="12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</row>
    <row r="597" spans="1:30" ht="12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</row>
    <row r="598" spans="1:30" ht="12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</row>
    <row r="599" spans="1:30" ht="12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</row>
    <row r="600" spans="1:30" ht="12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</row>
    <row r="601" spans="1:30" ht="12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</row>
    <row r="602" spans="1:30" ht="12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</row>
    <row r="603" spans="1:30" ht="12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</row>
    <row r="604" spans="1:30" ht="12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</row>
    <row r="605" spans="1:30" ht="12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</row>
    <row r="606" spans="1:30" ht="12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</row>
    <row r="607" spans="1:30" ht="12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</row>
    <row r="608" spans="1:30" ht="12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</row>
    <row r="609" spans="1:30" ht="12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</row>
    <row r="610" spans="1:30" ht="12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</row>
    <row r="611" spans="1:30" ht="12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</row>
    <row r="612" spans="1:30" ht="12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</row>
    <row r="613" spans="1:30" ht="12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</row>
    <row r="614" spans="1:30" ht="12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</row>
    <row r="615" spans="1:30" ht="12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</row>
    <row r="616" spans="1:30" ht="12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</row>
    <row r="617" spans="1:30" ht="12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</row>
    <row r="618" spans="1:30" ht="12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</row>
    <row r="619" spans="1:30" ht="12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</row>
    <row r="620" spans="1:30" ht="12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</row>
    <row r="621" spans="1:30" ht="12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</row>
    <row r="622" spans="1:30" ht="12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</row>
    <row r="623" spans="1:30" ht="12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</row>
    <row r="624" spans="1:30" ht="12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</row>
    <row r="625" spans="1:30" ht="12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</row>
    <row r="626" spans="1:30" ht="12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 spans="1:30" ht="12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</row>
    <row r="628" spans="1:30" ht="12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</row>
    <row r="629" spans="1:30" ht="12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</row>
    <row r="630" spans="1:30" ht="12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</row>
    <row r="631" spans="1:30" ht="12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</row>
    <row r="632" spans="1:30" ht="12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</row>
    <row r="633" spans="1:30" ht="12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</row>
    <row r="634" spans="1:30" ht="12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</row>
    <row r="635" spans="1:30" ht="12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</row>
    <row r="636" spans="1:30" ht="12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</row>
    <row r="637" spans="1:30" ht="12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</row>
    <row r="638" spans="1:30" ht="12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</row>
    <row r="639" spans="1:30" ht="12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</row>
    <row r="640" spans="1:30" ht="12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</row>
    <row r="641" spans="1:30" ht="12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</row>
    <row r="642" spans="1:30" ht="12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</row>
    <row r="643" spans="1:30" ht="12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</row>
    <row r="644" spans="1:30" ht="12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</row>
    <row r="645" spans="1:30" ht="12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</row>
    <row r="646" spans="1:30" ht="12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</row>
    <row r="647" spans="1:30" ht="12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</row>
    <row r="648" spans="1:30" ht="12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</row>
    <row r="649" spans="1:30" ht="12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</row>
    <row r="650" spans="1:30" ht="12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 spans="1:30" ht="12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 spans="1:30" ht="12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</row>
    <row r="653" spans="1:30" ht="12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</row>
    <row r="654" spans="1:30" ht="12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</row>
    <row r="655" spans="1:30" ht="12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</row>
    <row r="656" spans="1:30" ht="12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</row>
    <row r="657" spans="1:30" ht="12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</row>
    <row r="658" spans="1:30" ht="12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 spans="1:30" ht="12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 spans="1:30" ht="12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</row>
    <row r="661" spans="1:30" ht="12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</row>
    <row r="662" spans="1:30" ht="12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</row>
    <row r="663" spans="1:30" ht="12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</row>
    <row r="664" spans="1:30" ht="12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</row>
    <row r="665" spans="1:30" ht="12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</row>
    <row r="666" spans="1:30" ht="12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</row>
    <row r="667" spans="1:30" ht="12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</row>
    <row r="668" spans="1:30" ht="12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</row>
    <row r="669" spans="1:30" ht="12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</row>
    <row r="670" spans="1:30" ht="12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</row>
    <row r="671" spans="1:30" ht="12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</row>
    <row r="672" spans="1:30" ht="12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</row>
    <row r="673" spans="1:30" ht="12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</row>
    <row r="674" spans="1:30" ht="12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</row>
    <row r="675" spans="1:30" ht="12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</row>
    <row r="676" spans="1:30" ht="12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</row>
    <row r="677" spans="1:30" ht="12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</row>
    <row r="678" spans="1:30" ht="12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</row>
    <row r="679" spans="1:30" ht="12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</row>
    <row r="680" spans="1:30" ht="12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</row>
    <row r="681" spans="1:30" ht="12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</row>
    <row r="682" spans="1:30" ht="12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</row>
    <row r="683" spans="1:30" ht="12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</row>
    <row r="684" spans="1:30" ht="12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</row>
    <row r="685" spans="1:30" ht="12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</row>
    <row r="686" spans="1:30" ht="12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</row>
    <row r="687" spans="1:30" ht="12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</row>
    <row r="688" spans="1:30" ht="12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</row>
    <row r="689" spans="1:30" ht="12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</row>
    <row r="690" spans="1:30" ht="12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</row>
    <row r="691" spans="1:30" ht="12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</row>
    <row r="692" spans="1:30" ht="12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</row>
    <row r="693" spans="1:30" ht="12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</row>
    <row r="694" spans="1:30" ht="12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</row>
    <row r="695" spans="1:30" ht="12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</row>
    <row r="696" spans="1:30" ht="12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</row>
    <row r="697" spans="1:30" ht="12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 spans="1:30" ht="12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</row>
    <row r="699" spans="1:30" ht="12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</row>
    <row r="700" spans="1:30" ht="12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</row>
    <row r="701" spans="1:30" ht="12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</row>
    <row r="702" spans="1:30" ht="12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</row>
    <row r="703" spans="1:30" ht="12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</row>
    <row r="704" spans="1:30" ht="12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</row>
    <row r="705" spans="1:30" ht="12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</row>
    <row r="706" spans="1:30" ht="12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</row>
    <row r="707" spans="1:30" ht="12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</row>
    <row r="708" spans="1:30" ht="12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</row>
    <row r="709" spans="1:30" ht="12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</row>
    <row r="710" spans="1:30" ht="12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</row>
    <row r="711" spans="1:30" ht="12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</row>
    <row r="712" spans="1:30" ht="12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 spans="1:30" ht="12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 spans="1:30" ht="12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</row>
    <row r="715" spans="1:30" ht="12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</row>
    <row r="716" spans="1:30" ht="12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</row>
    <row r="717" spans="1:30" ht="12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</row>
    <row r="718" spans="1:30" ht="12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</row>
    <row r="719" spans="1:30" ht="12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</row>
    <row r="720" spans="1:30" ht="12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</row>
    <row r="721" spans="1:30" ht="12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</row>
    <row r="722" spans="1:30" ht="12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</row>
    <row r="723" spans="1:30" ht="12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</row>
    <row r="724" spans="1:30" ht="12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</row>
    <row r="725" spans="1:30" ht="12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</row>
    <row r="726" spans="1:30" ht="12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</row>
    <row r="727" spans="1:30" ht="12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</row>
    <row r="728" spans="1:30" ht="12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</row>
    <row r="729" spans="1:30" ht="12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</row>
    <row r="730" spans="1:30" ht="12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</row>
    <row r="731" spans="1:30" ht="12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</row>
    <row r="732" spans="1:30" ht="12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</row>
    <row r="733" spans="1:30" ht="12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</row>
    <row r="734" spans="1:30" ht="12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</row>
    <row r="735" spans="1:30" ht="12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</row>
    <row r="736" spans="1:30" ht="12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</row>
    <row r="737" spans="1:30" ht="12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</row>
    <row r="738" spans="1:30" ht="12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</row>
    <row r="739" spans="1:30" ht="12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</row>
    <row r="740" spans="1:30" ht="12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</row>
    <row r="741" spans="1:30" ht="12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</row>
    <row r="742" spans="1:30" ht="12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</row>
    <row r="743" spans="1:30" ht="12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</row>
    <row r="744" spans="1:30" ht="12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</row>
    <row r="745" spans="1:30" ht="12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</row>
    <row r="746" spans="1:30" ht="12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</row>
    <row r="747" spans="1:30" ht="12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</row>
    <row r="748" spans="1:30" ht="12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</row>
    <row r="749" spans="1:30" ht="12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</row>
    <row r="750" spans="1:30" ht="12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</row>
    <row r="751" spans="1:30" ht="12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</row>
    <row r="752" spans="1:30" ht="12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</row>
    <row r="753" spans="1:30" ht="12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</row>
    <row r="754" spans="1:30" ht="12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</row>
    <row r="755" spans="1:30" ht="12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</row>
    <row r="756" spans="1:30" ht="12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</row>
    <row r="757" spans="1:30" ht="12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</row>
    <row r="758" spans="1:30" ht="12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</row>
    <row r="759" spans="1:30" ht="12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</row>
    <row r="760" spans="1:30" ht="12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</row>
    <row r="761" spans="1:30" ht="12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</row>
    <row r="762" spans="1:30" ht="12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</row>
    <row r="763" spans="1:30" ht="12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</row>
    <row r="764" spans="1:30" ht="12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</row>
    <row r="765" spans="1:30" ht="12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</row>
    <row r="766" spans="1:30" ht="12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</row>
    <row r="767" spans="1:30" ht="12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</row>
    <row r="768" spans="1:30" ht="12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</row>
    <row r="769" spans="1:30" ht="12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</row>
    <row r="770" spans="1:30" ht="12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</row>
    <row r="771" spans="1:30" ht="12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</row>
    <row r="772" spans="1:30" ht="12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</row>
    <row r="773" spans="1:30" ht="12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</row>
    <row r="774" spans="1:30" ht="12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</row>
    <row r="775" spans="1:30" ht="12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</row>
    <row r="776" spans="1:30" ht="12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</row>
    <row r="777" spans="1:30" ht="12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</row>
    <row r="778" spans="1:30" ht="12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</row>
    <row r="779" spans="1:30" ht="12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</row>
    <row r="780" spans="1:30" ht="12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</row>
    <row r="781" spans="1:30" ht="12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</row>
    <row r="782" spans="1:30" ht="12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</row>
    <row r="783" spans="1:30" ht="12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</row>
    <row r="784" spans="1:30" ht="12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</row>
    <row r="785" spans="1:30" ht="12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</row>
    <row r="786" spans="1:30" ht="12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</row>
    <row r="787" spans="1:30" ht="12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</row>
    <row r="788" spans="1:30" ht="12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</row>
    <row r="789" spans="1:30" ht="12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</row>
    <row r="790" spans="1:30" ht="12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</row>
    <row r="791" spans="1:30" ht="12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</row>
    <row r="792" spans="1:30" ht="12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</row>
    <row r="793" spans="1:30" ht="12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</row>
    <row r="794" spans="1:30" ht="12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</row>
    <row r="795" spans="1:30" ht="12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</row>
    <row r="796" spans="1:30" ht="12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</row>
    <row r="797" spans="1:30" ht="12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</row>
    <row r="798" spans="1:30" ht="12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</row>
    <row r="799" spans="1:30" ht="12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</row>
    <row r="800" spans="1:30" ht="12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</row>
    <row r="801" spans="1:30" ht="12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</row>
    <row r="802" spans="1:30" ht="12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</row>
    <row r="803" spans="1:30" ht="12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</row>
    <row r="804" spans="1:30" ht="12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</row>
    <row r="805" spans="1:30" ht="12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</row>
    <row r="806" spans="1:30" ht="12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</row>
    <row r="807" spans="1:30" ht="12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</row>
    <row r="808" spans="1:30" ht="12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</row>
    <row r="809" spans="1:30" ht="12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</row>
    <row r="810" spans="1:30" ht="12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</row>
    <row r="811" spans="1:30" ht="12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</row>
    <row r="812" spans="1:30" ht="12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</row>
    <row r="813" spans="1:30" ht="12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</row>
    <row r="814" spans="1:30" ht="12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</row>
    <row r="815" spans="1:30" ht="12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</row>
    <row r="816" spans="1:30" ht="12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</row>
    <row r="817" spans="1:30" ht="12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</row>
    <row r="818" spans="1:30" ht="12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</row>
    <row r="819" spans="1:30" ht="12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</row>
    <row r="820" spans="1:30" ht="12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</row>
    <row r="821" spans="1:30" ht="12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</row>
    <row r="822" spans="1:30" ht="12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</row>
    <row r="823" spans="1:30" ht="12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</row>
    <row r="824" spans="1:30" ht="12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</row>
    <row r="825" spans="1:30" ht="12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</row>
    <row r="826" spans="1:30" ht="12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</row>
    <row r="827" spans="1:30" ht="12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</row>
    <row r="828" spans="1:30" ht="12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</row>
    <row r="829" spans="1:30" ht="12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</row>
    <row r="830" spans="1:30" ht="12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</row>
    <row r="831" spans="1:30" ht="12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</row>
    <row r="832" spans="1:30" ht="12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</row>
    <row r="833" spans="1:30" ht="12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</row>
    <row r="834" spans="1:30" ht="12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</row>
    <row r="835" spans="1:30" ht="12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</row>
    <row r="836" spans="1:30" ht="12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</row>
    <row r="837" spans="1:30" ht="12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</row>
    <row r="838" spans="1:30" ht="12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</row>
    <row r="839" spans="1:30" ht="12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</row>
    <row r="840" spans="1:30" ht="12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</row>
    <row r="841" spans="1:30" ht="12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</row>
    <row r="842" spans="1:30" ht="12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</row>
    <row r="843" spans="1:30" ht="12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</row>
    <row r="844" spans="1:30" ht="12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</row>
    <row r="845" spans="1:30" ht="12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</row>
    <row r="846" spans="1:30" ht="12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</row>
    <row r="847" spans="1:30" ht="12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</row>
    <row r="848" spans="1:30" ht="12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</row>
    <row r="849" spans="1:30" ht="12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</row>
    <row r="850" spans="1:30" ht="12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</row>
    <row r="851" spans="1:30" ht="12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</row>
    <row r="852" spans="1:30" ht="12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</row>
    <row r="853" spans="1:30" ht="12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</row>
    <row r="854" spans="1:30" ht="12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</row>
    <row r="855" spans="1:30" ht="12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</row>
    <row r="856" spans="1:30" ht="12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</row>
    <row r="857" spans="1:30" ht="12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</row>
    <row r="858" spans="1:30" ht="12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</row>
    <row r="859" spans="1:30" ht="12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</row>
    <row r="860" spans="1:30" ht="12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</row>
    <row r="861" spans="1:30" ht="12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</row>
    <row r="862" spans="1:30" ht="12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</row>
    <row r="863" spans="1:30" ht="12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</row>
    <row r="864" spans="1:30" ht="12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</row>
    <row r="865" spans="1:30" ht="12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</row>
    <row r="866" spans="1:30" ht="12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</row>
    <row r="867" spans="1:30" ht="12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</row>
    <row r="868" spans="1:30" ht="12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</row>
    <row r="869" spans="1:30" ht="12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</row>
    <row r="870" spans="1:30" ht="12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</row>
    <row r="871" spans="1:30" ht="12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</row>
    <row r="872" spans="1:30" ht="12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</row>
    <row r="873" spans="1:30" ht="12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</row>
    <row r="874" spans="1:30" ht="12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</row>
    <row r="875" spans="1:30" ht="12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</row>
    <row r="876" spans="1:30" ht="12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</row>
    <row r="877" spans="1:30" ht="12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</row>
    <row r="878" spans="1:30" ht="12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</row>
    <row r="879" spans="1:30" ht="12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</row>
    <row r="880" spans="1:30" ht="12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</row>
    <row r="881" spans="1:30" ht="12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</row>
    <row r="882" spans="1:30" ht="12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</row>
    <row r="883" spans="1:30" ht="12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</row>
    <row r="884" spans="1:30" ht="12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</row>
    <row r="885" spans="1:30" ht="12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</row>
    <row r="886" spans="1:30" ht="12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</row>
    <row r="887" spans="1:30" ht="12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</row>
    <row r="888" spans="1:30" ht="12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</row>
    <row r="889" spans="1:30" ht="12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</row>
    <row r="890" spans="1:30" ht="12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</row>
    <row r="891" spans="1:30" ht="12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</row>
    <row r="892" spans="1:30" ht="12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</row>
    <row r="893" spans="1:30" ht="12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</row>
    <row r="894" spans="1:30" ht="12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</row>
    <row r="895" spans="1:30" ht="12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</row>
    <row r="896" spans="1:30" ht="12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</row>
    <row r="897" spans="1:30" ht="12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</row>
    <row r="898" spans="1:30" ht="12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</row>
    <row r="899" spans="1:30" ht="12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</row>
    <row r="900" spans="1:30" ht="12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</row>
    <row r="901" spans="1:30" ht="12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</row>
    <row r="902" spans="1:30" ht="12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</row>
    <row r="903" spans="1:30" ht="12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</row>
    <row r="904" spans="1:30" ht="12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</row>
    <row r="905" spans="1:30" ht="12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</row>
    <row r="906" spans="1:30" ht="12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</row>
    <row r="907" spans="1:30" ht="12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</row>
    <row r="908" spans="1:30" ht="12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</row>
    <row r="909" spans="1:30" ht="12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</row>
    <row r="910" spans="1:30" ht="12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</row>
    <row r="911" spans="1:30" ht="12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</row>
    <row r="912" spans="1:30" ht="12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</row>
    <row r="913" spans="1:30" ht="12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</row>
    <row r="914" spans="1:30" ht="12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</row>
    <row r="915" spans="1:30" ht="12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</row>
    <row r="916" spans="1:30" ht="12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</row>
    <row r="917" spans="1:30" ht="12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</row>
    <row r="918" spans="1:30" ht="12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</row>
    <row r="919" spans="1:30" ht="12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</row>
    <row r="920" spans="1:30" ht="12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</row>
    <row r="921" spans="1:30" ht="12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</row>
    <row r="922" spans="1:30" ht="12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</row>
    <row r="923" spans="1:30" ht="12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</row>
    <row r="924" spans="1:30" ht="12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</row>
    <row r="925" spans="1:30" ht="12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</row>
    <row r="926" spans="1:30" ht="12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</row>
    <row r="927" spans="1:30" ht="12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</row>
    <row r="928" spans="1:30" ht="12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</row>
    <row r="929" spans="1:30" ht="12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</row>
    <row r="930" spans="1:30" ht="12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</row>
    <row r="931" spans="1:30" ht="12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</row>
    <row r="932" spans="1:30" ht="12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</row>
    <row r="933" spans="1:30" ht="12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</row>
    <row r="934" spans="1:30" ht="12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</row>
    <row r="935" spans="1:30" ht="12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</row>
    <row r="936" spans="1:30" ht="12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</row>
    <row r="937" spans="1:30" ht="12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</row>
    <row r="938" spans="1:30" ht="12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</row>
    <row r="939" spans="1:30" ht="12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</row>
    <row r="940" spans="1:30" ht="12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</row>
    <row r="941" spans="1:30" ht="12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</row>
    <row r="942" spans="1:30" ht="12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</row>
    <row r="943" spans="1:30" ht="12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</row>
    <row r="944" spans="1:30" ht="12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</row>
    <row r="945" spans="1:30" ht="12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</row>
    <row r="946" spans="1:30" ht="12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</row>
    <row r="947" spans="1:30" ht="12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</row>
    <row r="948" spans="1:30" ht="12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</row>
    <row r="949" spans="1:30" ht="12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</row>
    <row r="950" spans="1:30" ht="12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</row>
    <row r="951" spans="1:30" ht="12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</row>
    <row r="952" spans="1:30" ht="12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</row>
    <row r="953" spans="1:30" ht="12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</row>
    <row r="954" spans="1:30" ht="12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</row>
    <row r="955" spans="1:30" ht="12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</row>
    <row r="956" spans="1:30" ht="12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</row>
    <row r="957" spans="1:30" ht="12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</row>
    <row r="958" spans="1:30" ht="12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</row>
    <row r="959" spans="1:30" ht="12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</row>
    <row r="960" spans="1:30" ht="12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</row>
    <row r="961" spans="1:30" ht="12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</row>
    <row r="962" spans="1:30" ht="12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</row>
    <row r="963" spans="1:30" ht="12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</row>
    <row r="964" spans="1:30" ht="12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</row>
    <row r="965" spans="1:30" ht="12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</row>
    <row r="966" spans="1:30" ht="12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</row>
    <row r="967" spans="1:30" ht="12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</row>
    <row r="968" spans="1:30" ht="12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</row>
    <row r="969" spans="1:30" ht="12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</row>
    <row r="970" spans="1:30" ht="12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</row>
    <row r="971" spans="1:30" ht="12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</row>
    <row r="972" spans="1:30" ht="12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</row>
    <row r="973" spans="1:30" ht="12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</row>
    <row r="974" spans="1:30" ht="12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</row>
    <row r="975" spans="1:30" ht="12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</row>
    <row r="976" spans="1:30" ht="12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</row>
    <row r="977" spans="1:30" ht="12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</row>
    <row r="978" spans="1:30" ht="12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</row>
    <row r="979" spans="1:30" ht="12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</row>
    <row r="980" spans="1:30" ht="12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</row>
    <row r="981" spans="1:30" ht="12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</row>
    <row r="982" spans="1:30" ht="12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</row>
    <row r="983" spans="1:30" ht="12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</row>
    <row r="984" spans="1:30" ht="12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</row>
    <row r="985" spans="1:30" ht="12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</row>
    <row r="986" spans="1:30" ht="12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</row>
    <row r="987" spans="1:30" ht="12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</row>
    <row r="988" spans="1:30" ht="12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</row>
    <row r="989" spans="1:30" ht="12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</row>
    <row r="990" spans="1:30" ht="12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</row>
    <row r="991" spans="1:30" ht="12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</row>
    <row r="992" spans="1:30" ht="12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</row>
    <row r="993" spans="1:30" ht="12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</row>
    <row r="994" spans="1:30" ht="12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</row>
    <row r="995" spans="1:30" ht="12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</row>
    <row r="996" spans="1:30" ht="12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</row>
    <row r="997" spans="1:30" ht="12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</row>
    <row r="998" spans="1:30" ht="12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</row>
    <row r="999" spans="1:30" ht="12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</row>
    <row r="1000" spans="1:30" ht="12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</row>
    <row r="1001" spans="1:30" ht="12.7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</row>
  </sheetData>
  <mergeCells count="12">
    <mergeCell ref="C222:D222"/>
    <mergeCell ref="C237:D237"/>
    <mergeCell ref="C251:D251"/>
    <mergeCell ref="B272:N272"/>
    <mergeCell ref="B274:O274"/>
    <mergeCell ref="C193:D193"/>
    <mergeCell ref="C207:D207"/>
    <mergeCell ref="Q48:S48"/>
    <mergeCell ref="Q54:S54"/>
    <mergeCell ref="C67:D67"/>
    <mergeCell ref="C80:D80"/>
    <mergeCell ref="B162:O162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2D6A-5E9F-4BBA-AE5E-019633299A47}">
  <dimension ref="A1:AD737"/>
  <sheetViews>
    <sheetView showGridLines="0" workbookViewId="0">
      <pane xSplit="2" ySplit="4" topLeftCell="C141" activePane="bottomRight" state="frozen"/>
      <selection pane="topRight" activeCell="C1" sqref="C1"/>
      <selection pane="bottomLeft" activeCell="A5" sqref="A5"/>
      <selection pane="bottomRight" activeCell="O98" sqref="O98"/>
    </sheetView>
  </sheetViews>
  <sheetFormatPr defaultColWidth="14.42578125" defaultRowHeight="15" customHeight="1"/>
  <cols>
    <col min="1" max="1" width="2" style="417" customWidth="1"/>
    <col min="2" max="2" width="39.7109375" style="417" customWidth="1"/>
    <col min="3" max="14" width="12.7109375" style="417" customWidth="1"/>
    <col min="15" max="15" width="17.85546875" style="417" customWidth="1"/>
    <col min="16" max="16" width="11.5703125" style="417" customWidth="1"/>
    <col min="17" max="17" width="17" style="417" customWidth="1"/>
    <col min="18" max="18" width="17.5703125" style="417" customWidth="1"/>
    <col min="19" max="19" width="13.7109375" style="417" customWidth="1"/>
    <col min="20" max="30" width="11.5703125" style="417" customWidth="1"/>
    <col min="31" max="16384" width="14.42578125" style="417"/>
  </cols>
  <sheetData>
    <row r="1" spans="1:30" ht="12.75" customHeight="1">
      <c r="A1" s="416"/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</row>
    <row r="2" spans="1:30" ht="12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</row>
    <row r="3" spans="1:30" ht="12.75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</row>
    <row r="4" spans="1:30" ht="15.75" customHeight="1">
      <c r="A4" s="416"/>
      <c r="B4" s="416"/>
      <c r="C4" s="418">
        <v>46023</v>
      </c>
      <c r="D4" s="418">
        <v>46024</v>
      </c>
      <c r="E4" s="418">
        <v>46025</v>
      </c>
      <c r="F4" s="419">
        <v>46026</v>
      </c>
      <c r="G4" s="419">
        <v>46027</v>
      </c>
      <c r="H4" s="419">
        <v>46028</v>
      </c>
      <c r="I4" s="420">
        <v>46029</v>
      </c>
      <c r="J4" s="420">
        <v>46030</v>
      </c>
      <c r="K4" s="420">
        <v>46031</v>
      </c>
      <c r="L4" s="421">
        <v>46032</v>
      </c>
      <c r="M4" s="421">
        <v>46033</v>
      </c>
      <c r="N4" s="421">
        <v>46034</v>
      </c>
      <c r="O4" s="416"/>
      <c r="P4" s="416"/>
      <c r="Q4" s="416"/>
      <c r="R4" s="416"/>
      <c r="S4" s="416"/>
      <c r="T4" s="416"/>
      <c r="U4" s="416"/>
      <c r="V4" s="416"/>
      <c r="W4" s="416"/>
      <c r="X4" s="416"/>
      <c r="Y4" s="416"/>
      <c r="Z4" s="416"/>
      <c r="AA4" s="416"/>
      <c r="AB4" s="416"/>
      <c r="AC4" s="416"/>
      <c r="AD4" s="416"/>
    </row>
    <row r="5" spans="1:30" ht="12.75" customHeight="1">
      <c r="A5" s="416"/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</row>
    <row r="6" spans="1:30" ht="12.75" customHeight="1">
      <c r="A6" s="416"/>
      <c r="B6" s="416" t="s">
        <v>37</v>
      </c>
      <c r="C6" s="416">
        <v>30</v>
      </c>
      <c r="D6" s="416">
        <v>30</v>
      </c>
      <c r="E6" s="416">
        <v>30</v>
      </c>
      <c r="F6" s="416">
        <v>30</v>
      </c>
      <c r="G6" s="416">
        <v>30</v>
      </c>
      <c r="H6" s="416">
        <v>30</v>
      </c>
      <c r="I6" s="416">
        <v>30</v>
      </c>
      <c r="J6" s="416">
        <v>30</v>
      </c>
      <c r="K6" s="416">
        <v>30</v>
      </c>
      <c r="L6" s="416">
        <v>30</v>
      </c>
      <c r="M6" s="416">
        <v>30</v>
      </c>
      <c r="N6" s="416">
        <v>30</v>
      </c>
      <c r="O6" s="416"/>
      <c r="P6" s="416"/>
      <c r="Q6" s="416"/>
      <c r="R6" s="416"/>
      <c r="S6" s="416"/>
      <c r="T6" s="416"/>
      <c r="U6" s="416"/>
      <c r="V6" s="416"/>
      <c r="W6" s="416"/>
      <c r="X6" s="416"/>
      <c r="Y6" s="416"/>
      <c r="Z6" s="416"/>
      <c r="AA6" s="416"/>
      <c r="AB6" s="416"/>
      <c r="AC6" s="416"/>
      <c r="AD6" s="416"/>
    </row>
    <row r="7" spans="1:30" ht="12.75" customHeight="1">
      <c r="A7" s="416"/>
      <c r="B7" s="416" t="s">
        <v>38</v>
      </c>
      <c r="C7" s="416">
        <v>31</v>
      </c>
      <c r="D7" s="416">
        <v>28</v>
      </c>
      <c r="E7" s="416">
        <v>31</v>
      </c>
      <c r="F7" s="416">
        <v>30</v>
      </c>
      <c r="G7" s="416">
        <v>31</v>
      </c>
      <c r="H7" s="416">
        <v>30</v>
      </c>
      <c r="I7" s="416">
        <v>31</v>
      </c>
      <c r="J7" s="416">
        <v>31</v>
      </c>
      <c r="K7" s="416">
        <v>30</v>
      </c>
      <c r="L7" s="416">
        <v>11</v>
      </c>
      <c r="M7" s="416">
        <v>30</v>
      </c>
      <c r="N7" s="416">
        <v>31</v>
      </c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</row>
    <row r="8" spans="1:30" ht="12.75" customHeight="1">
      <c r="A8" s="416"/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416"/>
      <c r="N8" s="416"/>
      <c r="O8" s="416"/>
      <c r="P8" s="416"/>
      <c r="Q8" s="416"/>
      <c r="R8" s="416"/>
      <c r="S8" s="416"/>
      <c r="T8" s="416"/>
      <c r="U8" s="416"/>
      <c r="V8" s="416"/>
      <c r="W8" s="416"/>
      <c r="X8" s="416"/>
      <c r="Y8" s="416"/>
      <c r="Z8" s="416"/>
      <c r="AA8" s="416"/>
      <c r="AB8" s="416"/>
      <c r="AC8" s="416"/>
      <c r="AD8" s="416"/>
    </row>
    <row r="9" spans="1:30" ht="12.75" customHeight="1">
      <c r="A9" s="416"/>
      <c r="B9" s="416" t="s">
        <v>39</v>
      </c>
      <c r="C9" s="416">
        <f t="shared" ref="C9:N9" si="0">+C6*C7</f>
        <v>930</v>
      </c>
      <c r="D9" s="416">
        <f t="shared" si="0"/>
        <v>840</v>
      </c>
      <c r="E9" s="416">
        <f t="shared" si="0"/>
        <v>930</v>
      </c>
      <c r="F9" s="416">
        <f t="shared" si="0"/>
        <v>900</v>
      </c>
      <c r="G9" s="416">
        <f t="shared" si="0"/>
        <v>930</v>
      </c>
      <c r="H9" s="416">
        <f t="shared" si="0"/>
        <v>900</v>
      </c>
      <c r="I9" s="416">
        <f t="shared" si="0"/>
        <v>930</v>
      </c>
      <c r="J9" s="416">
        <f t="shared" si="0"/>
        <v>930</v>
      </c>
      <c r="K9" s="416">
        <f t="shared" si="0"/>
        <v>900</v>
      </c>
      <c r="L9" s="416">
        <f t="shared" si="0"/>
        <v>330</v>
      </c>
      <c r="M9" s="416">
        <f t="shared" si="0"/>
        <v>900</v>
      </c>
      <c r="N9" s="416">
        <f t="shared" si="0"/>
        <v>930</v>
      </c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416"/>
      <c r="Z9" s="416"/>
      <c r="AA9" s="416"/>
      <c r="AB9" s="416"/>
      <c r="AC9" s="416"/>
      <c r="AD9" s="416"/>
    </row>
    <row r="10" spans="1:30" ht="12.75" customHeight="1">
      <c r="A10" s="416"/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</row>
    <row r="11" spans="1:30" ht="12.75" customHeight="1">
      <c r="A11" s="416"/>
      <c r="B11" s="416"/>
      <c r="C11" s="416"/>
      <c r="D11" s="416"/>
      <c r="E11" s="416"/>
      <c r="F11" s="416"/>
      <c r="G11" s="416"/>
      <c r="H11" s="416"/>
      <c r="I11" s="416"/>
      <c r="J11" s="416"/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</row>
    <row r="12" spans="1:30" ht="30" customHeight="1">
      <c r="A12" s="416"/>
      <c r="B12" s="422" t="s">
        <v>40</v>
      </c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</row>
    <row r="13" spans="1:30" ht="12.75" customHeight="1">
      <c r="A13" s="416"/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</row>
    <row r="14" spans="1:30" ht="12.75" customHeight="1">
      <c r="A14" s="416">
        <v>1</v>
      </c>
      <c r="B14" s="416" t="s">
        <v>41</v>
      </c>
      <c r="C14" s="416">
        <v>6</v>
      </c>
      <c r="D14" s="416">
        <v>6</v>
      </c>
      <c r="E14" s="416">
        <v>6</v>
      </c>
      <c r="F14" s="416">
        <v>6</v>
      </c>
      <c r="G14" s="416">
        <v>6</v>
      </c>
      <c r="H14" s="416">
        <v>6</v>
      </c>
      <c r="I14" s="416">
        <v>6</v>
      </c>
      <c r="J14" s="416">
        <v>6</v>
      </c>
      <c r="K14" s="416">
        <v>6</v>
      </c>
      <c r="L14" s="416">
        <v>6</v>
      </c>
      <c r="M14" s="416">
        <v>6</v>
      </c>
      <c r="N14" s="416">
        <v>6</v>
      </c>
      <c r="O14" s="416"/>
      <c r="P14" s="416"/>
      <c r="Q14" s="416"/>
      <c r="R14" s="416"/>
      <c r="S14" s="416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</row>
    <row r="15" spans="1:30" ht="12.75" customHeight="1">
      <c r="A15" s="416">
        <v>2</v>
      </c>
      <c r="B15" s="416" t="s">
        <v>42</v>
      </c>
      <c r="C15" s="416">
        <v>2</v>
      </c>
      <c r="D15" s="416">
        <v>2</v>
      </c>
      <c r="E15" s="416">
        <v>2</v>
      </c>
      <c r="F15" s="416">
        <v>2</v>
      </c>
      <c r="G15" s="416">
        <v>2</v>
      </c>
      <c r="H15" s="416">
        <v>2</v>
      </c>
      <c r="I15" s="416">
        <v>2</v>
      </c>
      <c r="J15" s="416">
        <v>2</v>
      </c>
      <c r="K15" s="416">
        <v>2</v>
      </c>
      <c r="L15" s="416">
        <v>2</v>
      </c>
      <c r="M15" s="416">
        <v>2</v>
      </c>
      <c r="N15" s="416">
        <v>2</v>
      </c>
      <c r="O15" s="416"/>
      <c r="P15" s="416"/>
      <c r="Q15" s="416"/>
      <c r="R15" s="416"/>
      <c r="S15" s="416"/>
      <c r="T15" s="416"/>
      <c r="U15" s="416"/>
      <c r="V15" s="416"/>
      <c r="W15" s="416"/>
      <c r="X15" s="416"/>
      <c r="Y15" s="416"/>
      <c r="Z15" s="416"/>
      <c r="AA15" s="416"/>
      <c r="AB15" s="416"/>
      <c r="AC15" s="416"/>
      <c r="AD15" s="416"/>
    </row>
    <row r="16" spans="1:30" ht="12.75" customHeight="1">
      <c r="A16" s="416">
        <v>3</v>
      </c>
      <c r="B16" s="416" t="s">
        <v>43</v>
      </c>
      <c r="C16" s="416">
        <v>3</v>
      </c>
      <c r="D16" s="416">
        <v>3</v>
      </c>
      <c r="E16" s="416">
        <v>3</v>
      </c>
      <c r="F16" s="416">
        <v>3</v>
      </c>
      <c r="G16" s="416">
        <v>3</v>
      </c>
      <c r="H16" s="416">
        <v>3</v>
      </c>
      <c r="I16" s="416">
        <v>3</v>
      </c>
      <c r="J16" s="416">
        <v>3</v>
      </c>
      <c r="K16" s="416">
        <v>3</v>
      </c>
      <c r="L16" s="416">
        <v>3</v>
      </c>
      <c r="M16" s="416">
        <v>3</v>
      </c>
      <c r="N16" s="416">
        <v>3</v>
      </c>
      <c r="O16" s="416"/>
      <c r="P16" s="416"/>
      <c r="Q16" s="416"/>
      <c r="R16" s="416"/>
      <c r="S16" s="416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</row>
    <row r="17" spans="1:30" ht="12.75" customHeight="1">
      <c r="A17" s="416">
        <v>4</v>
      </c>
      <c r="B17" s="416" t="s">
        <v>44</v>
      </c>
      <c r="C17" s="416">
        <v>8</v>
      </c>
      <c r="D17" s="416">
        <v>8</v>
      </c>
      <c r="E17" s="416">
        <v>8</v>
      </c>
      <c r="F17" s="416">
        <v>8</v>
      </c>
      <c r="G17" s="416">
        <v>8</v>
      </c>
      <c r="H17" s="416">
        <v>8</v>
      </c>
      <c r="I17" s="416">
        <v>8</v>
      </c>
      <c r="J17" s="416">
        <v>8</v>
      </c>
      <c r="K17" s="416">
        <v>8</v>
      </c>
      <c r="L17" s="416">
        <v>8</v>
      </c>
      <c r="M17" s="416">
        <v>8</v>
      </c>
      <c r="N17" s="416">
        <v>8</v>
      </c>
      <c r="O17" s="416"/>
      <c r="P17" s="416"/>
      <c r="Q17" s="416"/>
      <c r="R17" s="416"/>
      <c r="S17" s="416"/>
      <c r="T17" s="416"/>
      <c r="U17" s="416"/>
      <c r="V17" s="416"/>
      <c r="W17" s="416"/>
      <c r="X17" s="416"/>
      <c r="Y17" s="416"/>
      <c r="Z17" s="416"/>
      <c r="AA17" s="416"/>
      <c r="AB17" s="416"/>
      <c r="AC17" s="416"/>
      <c r="AD17" s="416"/>
    </row>
    <row r="18" spans="1:30" ht="12.75" customHeight="1">
      <c r="A18" s="416">
        <v>5</v>
      </c>
      <c r="B18" s="416" t="s">
        <v>45</v>
      </c>
      <c r="C18" s="416">
        <v>5</v>
      </c>
      <c r="D18" s="416">
        <v>5</v>
      </c>
      <c r="E18" s="416">
        <v>5</v>
      </c>
      <c r="F18" s="416">
        <v>5</v>
      </c>
      <c r="G18" s="416">
        <v>5</v>
      </c>
      <c r="H18" s="416">
        <v>5</v>
      </c>
      <c r="I18" s="416">
        <v>5</v>
      </c>
      <c r="J18" s="416">
        <v>5</v>
      </c>
      <c r="K18" s="416">
        <v>5</v>
      </c>
      <c r="L18" s="416">
        <v>5</v>
      </c>
      <c r="M18" s="416">
        <v>5</v>
      </c>
      <c r="N18" s="416">
        <v>5</v>
      </c>
      <c r="O18" s="416"/>
      <c r="P18" s="416"/>
      <c r="Q18" s="416"/>
      <c r="R18" s="416"/>
      <c r="S18" s="416"/>
      <c r="T18" s="416"/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</row>
    <row r="19" spans="1:30" ht="13.5" customHeight="1" thickBot="1">
      <c r="A19" s="416">
        <v>6</v>
      </c>
      <c r="B19" s="416" t="s">
        <v>46</v>
      </c>
      <c r="C19" s="416">
        <v>6</v>
      </c>
      <c r="D19" s="416">
        <v>6</v>
      </c>
      <c r="E19" s="416">
        <v>6</v>
      </c>
      <c r="F19" s="416">
        <v>6</v>
      </c>
      <c r="G19" s="416">
        <v>6</v>
      </c>
      <c r="H19" s="416">
        <v>6</v>
      </c>
      <c r="I19" s="416">
        <v>6</v>
      </c>
      <c r="J19" s="416">
        <v>6</v>
      </c>
      <c r="K19" s="416">
        <v>6</v>
      </c>
      <c r="L19" s="416">
        <v>6</v>
      </c>
      <c r="M19" s="416">
        <v>6</v>
      </c>
      <c r="N19" s="416">
        <v>6</v>
      </c>
      <c r="O19" s="416"/>
      <c r="P19" s="416"/>
      <c r="Q19" s="416"/>
      <c r="R19" s="416"/>
      <c r="S19" s="416"/>
      <c r="T19" s="416"/>
      <c r="U19" s="416"/>
      <c r="V19" s="416"/>
      <c r="W19" s="416"/>
      <c r="X19" s="416"/>
      <c r="Y19" s="416"/>
      <c r="Z19" s="416"/>
      <c r="AA19" s="416"/>
      <c r="AB19" s="416"/>
      <c r="AC19" s="416"/>
      <c r="AD19" s="416"/>
    </row>
    <row r="20" spans="1:30" ht="13.5" customHeight="1" thickBot="1">
      <c r="A20" s="416"/>
      <c r="B20" s="423" t="s">
        <v>47</v>
      </c>
      <c r="C20" s="424">
        <f t="shared" ref="C20:N20" si="1">SUM(C14:C19)</f>
        <v>30</v>
      </c>
      <c r="D20" s="424">
        <f t="shared" si="1"/>
        <v>30</v>
      </c>
      <c r="E20" s="424">
        <f t="shared" si="1"/>
        <v>30</v>
      </c>
      <c r="F20" s="424">
        <f t="shared" si="1"/>
        <v>30</v>
      </c>
      <c r="G20" s="424">
        <f t="shared" si="1"/>
        <v>30</v>
      </c>
      <c r="H20" s="424">
        <f t="shared" si="1"/>
        <v>30</v>
      </c>
      <c r="I20" s="424">
        <f t="shared" si="1"/>
        <v>30</v>
      </c>
      <c r="J20" s="424">
        <f t="shared" si="1"/>
        <v>30</v>
      </c>
      <c r="K20" s="424">
        <f t="shared" si="1"/>
        <v>30</v>
      </c>
      <c r="L20" s="424">
        <f t="shared" si="1"/>
        <v>30</v>
      </c>
      <c r="M20" s="424">
        <f t="shared" si="1"/>
        <v>30</v>
      </c>
      <c r="N20" s="425">
        <f t="shared" si="1"/>
        <v>30</v>
      </c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6"/>
      <c r="AA20" s="416"/>
      <c r="AB20" s="416"/>
      <c r="AC20" s="416"/>
      <c r="AD20" s="416"/>
    </row>
    <row r="21" spans="1:30" ht="12.75" customHeight="1">
      <c r="A21" s="416"/>
      <c r="B21" s="416"/>
      <c r="C21" s="416"/>
      <c r="D21" s="416"/>
      <c r="E21" s="416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</row>
    <row r="22" spans="1:30" ht="12.75" customHeight="1">
      <c r="A22" s="416"/>
      <c r="B22" s="416"/>
      <c r="C22" s="416"/>
      <c r="D22" s="416"/>
      <c r="E22" s="416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6"/>
      <c r="Q22" s="416"/>
      <c r="R22" s="416"/>
      <c r="S22" s="416"/>
      <c r="T22" s="416"/>
      <c r="U22" s="416"/>
      <c r="V22" s="416"/>
      <c r="W22" s="416"/>
      <c r="X22" s="416"/>
      <c r="Y22" s="416"/>
      <c r="Z22" s="416"/>
      <c r="AA22" s="416"/>
      <c r="AB22" s="416"/>
      <c r="AC22" s="416"/>
      <c r="AD22" s="416"/>
    </row>
    <row r="23" spans="1:30" ht="30" customHeight="1">
      <c r="A23" s="416"/>
      <c r="B23" s="426" t="s">
        <v>48</v>
      </c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</row>
    <row r="24" spans="1:30" ht="12.75" customHeight="1" thickBot="1">
      <c r="A24" s="416"/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/>
      <c r="AD24" s="416"/>
    </row>
    <row r="25" spans="1:30" ht="12.75" customHeight="1">
      <c r="A25" s="416">
        <v>1</v>
      </c>
      <c r="B25" s="416" t="s">
        <v>41</v>
      </c>
      <c r="C25" s="416">
        <f t="shared" ref="C25:N30" si="2">+C14*C$7</f>
        <v>186</v>
      </c>
      <c r="D25" s="416">
        <f t="shared" si="2"/>
        <v>168</v>
      </c>
      <c r="E25" s="416">
        <f t="shared" si="2"/>
        <v>186</v>
      </c>
      <c r="F25" s="416">
        <f t="shared" si="2"/>
        <v>180</v>
      </c>
      <c r="G25" s="416">
        <f t="shared" si="2"/>
        <v>186</v>
      </c>
      <c r="H25" s="416">
        <f t="shared" si="2"/>
        <v>180</v>
      </c>
      <c r="I25" s="416">
        <f t="shared" si="2"/>
        <v>186</v>
      </c>
      <c r="J25" s="416">
        <f t="shared" si="2"/>
        <v>186</v>
      </c>
      <c r="K25" s="416">
        <f t="shared" ref="K25" si="3">+K14*K$7</f>
        <v>180</v>
      </c>
      <c r="L25" s="416"/>
      <c r="M25" s="416">
        <f t="shared" si="2"/>
        <v>180</v>
      </c>
      <c r="N25" s="416">
        <f t="shared" si="2"/>
        <v>186</v>
      </c>
      <c r="O25" s="427">
        <f>SUM(C25:N25)</f>
        <v>2004</v>
      </c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</row>
    <row r="26" spans="1:30" ht="12.75" customHeight="1">
      <c r="A26" s="416">
        <v>2</v>
      </c>
      <c r="B26" s="416" t="s">
        <v>42</v>
      </c>
      <c r="C26" s="416">
        <f t="shared" si="2"/>
        <v>62</v>
      </c>
      <c r="D26" s="416">
        <f t="shared" si="2"/>
        <v>56</v>
      </c>
      <c r="E26" s="416">
        <f t="shared" si="2"/>
        <v>62</v>
      </c>
      <c r="F26" s="416">
        <f t="shared" si="2"/>
        <v>60</v>
      </c>
      <c r="G26" s="416">
        <f t="shared" si="2"/>
        <v>62</v>
      </c>
      <c r="H26" s="416">
        <f t="shared" si="2"/>
        <v>60</v>
      </c>
      <c r="I26" s="416">
        <f t="shared" si="2"/>
        <v>62</v>
      </c>
      <c r="J26" s="416">
        <f t="shared" si="2"/>
        <v>62</v>
      </c>
      <c r="K26" s="416">
        <f t="shared" ref="K26" si="4">+K15*K$7</f>
        <v>60</v>
      </c>
      <c r="L26" s="416"/>
      <c r="M26" s="416">
        <f t="shared" si="2"/>
        <v>60</v>
      </c>
      <c r="N26" s="416">
        <f t="shared" si="2"/>
        <v>62</v>
      </c>
      <c r="O26" s="428">
        <f t="shared" ref="O26:O30" si="5">SUM(C26:N26)</f>
        <v>668</v>
      </c>
      <c r="P26" s="416"/>
      <c r="Q26" s="416"/>
      <c r="R26" s="416"/>
      <c r="S26" s="416"/>
      <c r="T26" s="416"/>
      <c r="U26" s="416"/>
      <c r="V26" s="416"/>
      <c r="W26" s="416"/>
      <c r="X26" s="416"/>
      <c r="Y26" s="416"/>
      <c r="Z26" s="416"/>
      <c r="AA26" s="416"/>
      <c r="AB26" s="416"/>
      <c r="AC26" s="416"/>
      <c r="AD26" s="416"/>
    </row>
    <row r="27" spans="1:30" ht="12.75" customHeight="1">
      <c r="A27" s="416">
        <v>3</v>
      </c>
      <c r="B27" s="416" t="s">
        <v>43</v>
      </c>
      <c r="C27" s="416">
        <f t="shared" si="2"/>
        <v>93</v>
      </c>
      <c r="D27" s="416">
        <f t="shared" si="2"/>
        <v>84</v>
      </c>
      <c r="E27" s="416">
        <f t="shared" si="2"/>
        <v>93</v>
      </c>
      <c r="F27" s="416">
        <f t="shared" si="2"/>
        <v>90</v>
      </c>
      <c r="G27" s="416">
        <f t="shared" si="2"/>
        <v>93</v>
      </c>
      <c r="H27" s="416">
        <f t="shared" si="2"/>
        <v>90</v>
      </c>
      <c r="I27" s="416">
        <f t="shared" si="2"/>
        <v>93</v>
      </c>
      <c r="J27" s="416">
        <f t="shared" si="2"/>
        <v>93</v>
      </c>
      <c r="K27" s="416">
        <f t="shared" ref="K27" si="6">+K16*K$7</f>
        <v>90</v>
      </c>
      <c r="L27" s="416"/>
      <c r="M27" s="416">
        <f t="shared" si="2"/>
        <v>90</v>
      </c>
      <c r="N27" s="416">
        <f t="shared" si="2"/>
        <v>93</v>
      </c>
      <c r="O27" s="428">
        <f t="shared" si="5"/>
        <v>1002</v>
      </c>
      <c r="P27" s="416"/>
      <c r="Q27" s="416"/>
      <c r="R27" s="416"/>
      <c r="S27" s="416"/>
      <c r="T27" s="416"/>
      <c r="U27" s="416"/>
      <c r="V27" s="416"/>
      <c r="W27" s="416"/>
      <c r="X27" s="416"/>
      <c r="Y27" s="416"/>
      <c r="Z27" s="416"/>
      <c r="AA27" s="416"/>
      <c r="AB27" s="416"/>
      <c r="AC27" s="416"/>
      <c r="AD27" s="416"/>
    </row>
    <row r="28" spans="1:30" ht="12.75" customHeight="1">
      <c r="A28" s="416">
        <v>4</v>
      </c>
      <c r="B28" s="416" t="s">
        <v>44</v>
      </c>
      <c r="C28" s="416">
        <f t="shared" si="2"/>
        <v>248</v>
      </c>
      <c r="D28" s="416">
        <f t="shared" si="2"/>
        <v>224</v>
      </c>
      <c r="E28" s="416">
        <f t="shared" si="2"/>
        <v>248</v>
      </c>
      <c r="F28" s="416">
        <f t="shared" si="2"/>
        <v>240</v>
      </c>
      <c r="G28" s="416">
        <f t="shared" si="2"/>
        <v>248</v>
      </c>
      <c r="H28" s="416">
        <f t="shared" si="2"/>
        <v>240</v>
      </c>
      <c r="I28" s="416">
        <f t="shared" si="2"/>
        <v>248</v>
      </c>
      <c r="J28" s="416">
        <f t="shared" si="2"/>
        <v>248</v>
      </c>
      <c r="K28" s="416">
        <f t="shared" ref="K28" si="7">+K17*K$7</f>
        <v>240</v>
      </c>
      <c r="L28" s="416"/>
      <c r="M28" s="416">
        <f t="shared" si="2"/>
        <v>240</v>
      </c>
      <c r="N28" s="416">
        <f t="shared" si="2"/>
        <v>248</v>
      </c>
      <c r="O28" s="428">
        <f t="shared" si="5"/>
        <v>2672</v>
      </c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</row>
    <row r="29" spans="1:30" ht="12.75" customHeight="1">
      <c r="A29" s="416">
        <v>5</v>
      </c>
      <c r="B29" s="416" t="s">
        <v>45</v>
      </c>
      <c r="C29" s="416">
        <f t="shared" si="2"/>
        <v>155</v>
      </c>
      <c r="D29" s="416">
        <f t="shared" si="2"/>
        <v>140</v>
      </c>
      <c r="E29" s="416">
        <f t="shared" si="2"/>
        <v>155</v>
      </c>
      <c r="F29" s="416">
        <f t="shared" si="2"/>
        <v>150</v>
      </c>
      <c r="G29" s="416">
        <f t="shared" si="2"/>
        <v>155</v>
      </c>
      <c r="H29" s="416">
        <f t="shared" si="2"/>
        <v>150</v>
      </c>
      <c r="I29" s="416">
        <f t="shared" si="2"/>
        <v>155</v>
      </c>
      <c r="J29" s="416">
        <f t="shared" si="2"/>
        <v>155</v>
      </c>
      <c r="K29" s="416">
        <f t="shared" ref="K29" si="8">+K18*K$7</f>
        <v>150</v>
      </c>
      <c r="L29" s="416"/>
      <c r="M29" s="416">
        <f t="shared" si="2"/>
        <v>150</v>
      </c>
      <c r="N29" s="416">
        <f t="shared" si="2"/>
        <v>155</v>
      </c>
      <c r="O29" s="428">
        <f t="shared" si="5"/>
        <v>1670</v>
      </c>
      <c r="P29" s="416"/>
      <c r="Q29" s="416"/>
      <c r="R29" s="416"/>
      <c r="S29" s="416"/>
      <c r="T29" s="416"/>
      <c r="U29" s="416"/>
      <c r="V29" s="416"/>
      <c r="W29" s="416"/>
      <c r="X29" s="416"/>
      <c r="Y29" s="416"/>
      <c r="Z29" s="416"/>
      <c r="AA29" s="416"/>
      <c r="AB29" s="416"/>
      <c r="AC29" s="416"/>
      <c r="AD29" s="416"/>
    </row>
    <row r="30" spans="1:30" ht="12.75" customHeight="1">
      <c r="A30" s="416">
        <v>6</v>
      </c>
      <c r="B30" s="416" t="s">
        <v>46</v>
      </c>
      <c r="C30" s="416">
        <f t="shared" si="2"/>
        <v>186</v>
      </c>
      <c r="D30" s="416">
        <f t="shared" si="2"/>
        <v>168</v>
      </c>
      <c r="E30" s="416">
        <f t="shared" si="2"/>
        <v>186</v>
      </c>
      <c r="F30" s="416">
        <f t="shared" si="2"/>
        <v>180</v>
      </c>
      <c r="G30" s="416">
        <f t="shared" si="2"/>
        <v>186</v>
      </c>
      <c r="H30" s="416">
        <f t="shared" si="2"/>
        <v>180</v>
      </c>
      <c r="I30" s="416">
        <f t="shared" si="2"/>
        <v>186</v>
      </c>
      <c r="J30" s="416">
        <f t="shared" si="2"/>
        <v>186</v>
      </c>
      <c r="K30" s="416">
        <f t="shared" ref="K30" si="9">+K19*K$7</f>
        <v>180</v>
      </c>
      <c r="L30" s="416"/>
      <c r="M30" s="416">
        <f t="shared" si="2"/>
        <v>180</v>
      </c>
      <c r="N30" s="416">
        <f t="shared" si="2"/>
        <v>186</v>
      </c>
      <c r="O30" s="428">
        <f t="shared" si="5"/>
        <v>2004</v>
      </c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</row>
    <row r="31" spans="1:30" ht="13.5" customHeight="1" thickBot="1">
      <c r="A31" s="416"/>
      <c r="B31" s="416"/>
      <c r="C31" s="416"/>
      <c r="D31" s="416"/>
      <c r="E31" s="416"/>
      <c r="F31" s="416"/>
      <c r="G31" s="416"/>
      <c r="H31" s="416"/>
      <c r="I31" s="416"/>
      <c r="J31" s="416"/>
      <c r="K31" s="416"/>
      <c r="L31" s="416"/>
      <c r="M31" s="416"/>
      <c r="N31" s="416"/>
      <c r="O31" s="428"/>
      <c r="P31" s="416"/>
      <c r="Q31" s="416"/>
      <c r="R31" s="416"/>
      <c r="S31" s="416"/>
      <c r="T31" s="416"/>
      <c r="U31" s="416"/>
      <c r="V31" s="416"/>
      <c r="W31" s="416"/>
      <c r="X31" s="416"/>
      <c r="Y31" s="416"/>
      <c r="Z31" s="416"/>
      <c r="AA31" s="416"/>
      <c r="AB31" s="416"/>
      <c r="AC31" s="416"/>
      <c r="AD31" s="416"/>
    </row>
    <row r="32" spans="1:30" ht="13.5" customHeight="1" thickBot="1">
      <c r="A32" s="416"/>
      <c r="B32" s="429" t="s">
        <v>47</v>
      </c>
      <c r="C32" s="430">
        <f t="shared" ref="C32:N32" si="10">SUM(C25:C31)</f>
        <v>930</v>
      </c>
      <c r="D32" s="430">
        <f t="shared" si="10"/>
        <v>840</v>
      </c>
      <c r="E32" s="430">
        <f t="shared" si="10"/>
        <v>930</v>
      </c>
      <c r="F32" s="430">
        <f t="shared" si="10"/>
        <v>900</v>
      </c>
      <c r="G32" s="430">
        <f t="shared" si="10"/>
        <v>930</v>
      </c>
      <c r="H32" s="430">
        <f t="shared" si="10"/>
        <v>900</v>
      </c>
      <c r="I32" s="430">
        <f t="shared" si="10"/>
        <v>930</v>
      </c>
      <c r="J32" s="430">
        <f t="shared" si="10"/>
        <v>930</v>
      </c>
      <c r="K32" s="430">
        <f t="shared" si="10"/>
        <v>900</v>
      </c>
      <c r="L32" s="430">
        <f t="shared" si="10"/>
        <v>0</v>
      </c>
      <c r="M32" s="430">
        <f t="shared" si="10"/>
        <v>900</v>
      </c>
      <c r="N32" s="430">
        <f t="shared" si="10"/>
        <v>930</v>
      </c>
      <c r="O32" s="431">
        <f>SUM(O25:O31)</f>
        <v>10020</v>
      </c>
      <c r="P32" s="416"/>
      <c r="Q32" s="416"/>
      <c r="R32" s="416"/>
      <c r="S32" s="416"/>
      <c r="T32" s="416"/>
      <c r="U32" s="416"/>
      <c r="V32" s="416"/>
      <c r="W32" s="416"/>
      <c r="X32" s="416"/>
      <c r="Y32" s="416"/>
      <c r="Z32" s="416"/>
      <c r="AA32" s="416"/>
      <c r="AB32" s="416"/>
      <c r="AC32" s="416"/>
      <c r="AD32" s="416"/>
    </row>
    <row r="33" spans="1:30" ht="12.75" customHeight="1">
      <c r="A33" s="416"/>
      <c r="B33" s="416"/>
      <c r="C33" s="416"/>
      <c r="D33" s="416"/>
      <c r="E33" s="416"/>
      <c r="F33" s="416"/>
      <c r="G33" s="416"/>
      <c r="H33" s="416"/>
      <c r="I33" s="416"/>
      <c r="J33" s="416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416"/>
      <c r="AB33" s="416"/>
      <c r="AC33" s="416"/>
      <c r="AD33" s="416"/>
    </row>
    <row r="34" spans="1:30" ht="12.75" customHeight="1">
      <c r="A34" s="416"/>
      <c r="B34" s="416"/>
      <c r="C34" s="416"/>
      <c r="D34" s="416"/>
      <c r="E34" s="416"/>
      <c r="F34" s="416"/>
      <c r="G34" s="416"/>
      <c r="H34" s="416"/>
      <c r="I34" s="416"/>
      <c r="J34" s="416"/>
      <c r="K34" s="416"/>
      <c r="L34" s="416"/>
      <c r="M34" s="416"/>
      <c r="N34" s="416"/>
      <c r="O34" s="416"/>
      <c r="P34" s="416"/>
      <c r="Q34" s="416"/>
      <c r="R34" s="416"/>
      <c r="S34" s="416"/>
      <c r="T34" s="416"/>
      <c r="U34" s="416"/>
      <c r="V34" s="416"/>
      <c r="W34" s="416"/>
      <c r="X34" s="416"/>
      <c r="Y34" s="416"/>
      <c r="Z34" s="416"/>
      <c r="AA34" s="416"/>
      <c r="AB34" s="416"/>
      <c r="AC34" s="416"/>
      <c r="AD34" s="416"/>
    </row>
    <row r="35" spans="1:30" ht="30" customHeight="1">
      <c r="A35" s="416"/>
      <c r="B35" s="422" t="s">
        <v>49</v>
      </c>
      <c r="C35" s="416"/>
      <c r="D35" s="416"/>
      <c r="E35" s="416"/>
      <c r="F35" s="416"/>
      <c r="G35" s="432" t="s">
        <v>180</v>
      </c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22"/>
      <c r="S35" s="416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</row>
    <row r="36" spans="1:30" ht="12.75" customHeight="1">
      <c r="A36" s="416"/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  <c r="W36" s="416"/>
      <c r="X36" s="416"/>
      <c r="Y36" s="416"/>
      <c r="Z36" s="416"/>
      <c r="AA36" s="416"/>
      <c r="AB36" s="416"/>
      <c r="AC36" s="416"/>
      <c r="AD36" s="416"/>
    </row>
    <row r="37" spans="1:30" ht="18.75" customHeight="1">
      <c r="A37" s="416"/>
      <c r="B37" s="433" t="s">
        <v>50</v>
      </c>
      <c r="C37" s="434" t="s">
        <v>13</v>
      </c>
      <c r="D37" s="434" t="s">
        <v>14</v>
      </c>
      <c r="E37" s="434" t="s">
        <v>15</v>
      </c>
      <c r="F37" s="434" t="s">
        <v>16</v>
      </c>
      <c r="G37" s="434" t="s">
        <v>51</v>
      </c>
      <c r="H37" s="434" t="s">
        <v>18</v>
      </c>
      <c r="I37" s="434" t="s">
        <v>19</v>
      </c>
      <c r="J37" s="434" t="s">
        <v>20</v>
      </c>
      <c r="K37" s="434" t="s">
        <v>21</v>
      </c>
      <c r="L37" s="434" t="s">
        <v>22</v>
      </c>
      <c r="M37" s="434" t="s">
        <v>23</v>
      </c>
      <c r="N37" s="434" t="s">
        <v>24</v>
      </c>
      <c r="O37" s="416"/>
      <c r="P37" s="416"/>
      <c r="Q37" s="416"/>
      <c r="R37" s="435"/>
      <c r="S37" s="436"/>
      <c r="T37" s="436"/>
      <c r="U37" s="436"/>
      <c r="V37" s="436"/>
      <c r="W37" s="436"/>
      <c r="X37" s="436"/>
      <c r="Y37" s="436"/>
      <c r="Z37" s="436"/>
      <c r="AA37" s="436"/>
      <c r="AB37" s="436"/>
      <c r="AC37" s="436"/>
      <c r="AD37" s="436"/>
    </row>
    <row r="38" spans="1:30" ht="12.75" customHeight="1">
      <c r="A38" s="416">
        <v>1</v>
      </c>
      <c r="B38" s="437" t="s">
        <v>41</v>
      </c>
      <c r="C38" s="438">
        <v>725</v>
      </c>
      <c r="D38" s="438">
        <v>725</v>
      </c>
      <c r="E38" s="438">
        <v>725</v>
      </c>
      <c r="F38" s="438">
        <v>725</v>
      </c>
      <c r="G38" s="438">
        <v>615</v>
      </c>
      <c r="H38" s="438">
        <v>615</v>
      </c>
      <c r="I38" s="438">
        <v>615</v>
      </c>
      <c r="J38" s="438">
        <v>615</v>
      </c>
      <c r="K38" s="438">
        <v>560</v>
      </c>
      <c r="L38" s="438">
        <v>560</v>
      </c>
      <c r="M38" s="438">
        <v>575</v>
      </c>
      <c r="N38" s="438">
        <v>830</v>
      </c>
      <c r="O38" s="416"/>
      <c r="P38" s="416"/>
      <c r="Q38" s="416"/>
      <c r="R38" s="416"/>
      <c r="S38" s="439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</row>
    <row r="39" spans="1:30" ht="12.75" customHeight="1">
      <c r="A39" s="416">
        <v>2</v>
      </c>
      <c r="B39" s="437" t="s">
        <v>42</v>
      </c>
      <c r="C39" s="438">
        <v>670</v>
      </c>
      <c r="D39" s="438">
        <v>670</v>
      </c>
      <c r="E39" s="438">
        <v>670</v>
      </c>
      <c r="F39" s="438">
        <v>635</v>
      </c>
      <c r="G39" s="438">
        <v>565</v>
      </c>
      <c r="H39" s="438">
        <v>565</v>
      </c>
      <c r="I39" s="438">
        <v>565</v>
      </c>
      <c r="J39" s="438">
        <v>565</v>
      </c>
      <c r="K39" s="438">
        <v>515</v>
      </c>
      <c r="L39" s="438">
        <v>515</v>
      </c>
      <c r="M39" s="438">
        <v>535</v>
      </c>
      <c r="N39" s="438">
        <v>775</v>
      </c>
      <c r="O39" s="416"/>
      <c r="P39" s="416"/>
      <c r="Q39" s="416"/>
      <c r="R39" s="416"/>
      <c r="S39" s="439"/>
      <c r="T39" s="439"/>
      <c r="U39" s="439"/>
      <c r="V39" s="439"/>
      <c r="W39" s="439"/>
      <c r="X39" s="439"/>
      <c r="Y39" s="439"/>
      <c r="Z39" s="439"/>
      <c r="AA39" s="439"/>
      <c r="AB39" s="439"/>
      <c r="AC39" s="439"/>
      <c r="AD39" s="439"/>
    </row>
    <row r="40" spans="1:30" ht="12.75" customHeight="1">
      <c r="A40" s="416">
        <v>3</v>
      </c>
      <c r="B40" s="437" t="s">
        <v>43</v>
      </c>
      <c r="C40" s="438">
        <v>540</v>
      </c>
      <c r="D40" s="438">
        <v>540</v>
      </c>
      <c r="E40" s="438">
        <v>540</v>
      </c>
      <c r="F40" s="438">
        <v>510</v>
      </c>
      <c r="G40" s="438">
        <v>445</v>
      </c>
      <c r="H40" s="438">
        <v>445</v>
      </c>
      <c r="I40" s="438">
        <v>445</v>
      </c>
      <c r="J40" s="438">
        <v>445</v>
      </c>
      <c r="K40" s="438">
        <v>405</v>
      </c>
      <c r="L40" s="438">
        <v>405</v>
      </c>
      <c r="M40" s="438">
        <v>415</v>
      </c>
      <c r="N40" s="438">
        <v>630</v>
      </c>
      <c r="O40" s="416"/>
      <c r="P40" s="416"/>
      <c r="Q40" s="416"/>
      <c r="R40" s="416"/>
      <c r="S40" s="439"/>
      <c r="T40" s="439"/>
      <c r="U40" s="439"/>
      <c r="V40" s="439"/>
      <c r="W40" s="439"/>
      <c r="X40" s="439"/>
      <c r="Y40" s="439"/>
      <c r="Z40" s="439"/>
      <c r="AA40" s="439"/>
      <c r="AB40" s="439"/>
      <c r="AC40" s="439"/>
      <c r="AD40" s="439"/>
    </row>
    <row r="41" spans="1:30" ht="12.75" customHeight="1">
      <c r="A41" s="416">
        <v>4</v>
      </c>
      <c r="B41" s="437" t="s">
        <v>44</v>
      </c>
      <c r="C41" s="438">
        <v>485</v>
      </c>
      <c r="D41" s="438">
        <v>485</v>
      </c>
      <c r="E41" s="438">
        <v>485</v>
      </c>
      <c r="F41" s="438">
        <v>445</v>
      </c>
      <c r="G41" s="438">
        <v>395</v>
      </c>
      <c r="H41" s="438">
        <v>395</v>
      </c>
      <c r="I41" s="438">
        <v>395</v>
      </c>
      <c r="J41" s="438">
        <v>395</v>
      </c>
      <c r="K41" s="438">
        <v>360</v>
      </c>
      <c r="L41" s="438">
        <v>360</v>
      </c>
      <c r="M41" s="438">
        <v>375</v>
      </c>
      <c r="N41" s="438">
        <v>575</v>
      </c>
      <c r="O41" s="416"/>
      <c r="P41" s="416"/>
      <c r="Q41" s="416"/>
      <c r="R41" s="416"/>
      <c r="S41" s="439"/>
      <c r="T41" s="439"/>
      <c r="U41" s="439"/>
      <c r="V41" s="439"/>
      <c r="W41" s="439"/>
      <c r="X41" s="439"/>
      <c r="Y41" s="439"/>
      <c r="Z41" s="439"/>
      <c r="AA41" s="439"/>
      <c r="AB41" s="439"/>
      <c r="AC41" s="439"/>
      <c r="AD41" s="439"/>
    </row>
    <row r="42" spans="1:30" ht="12.75" customHeight="1">
      <c r="A42" s="416">
        <v>5</v>
      </c>
      <c r="B42" s="437" t="s">
        <v>45</v>
      </c>
      <c r="C42" s="438">
        <v>1015</v>
      </c>
      <c r="D42" s="438">
        <v>1015</v>
      </c>
      <c r="E42" s="438">
        <v>1015</v>
      </c>
      <c r="F42" s="438">
        <v>970</v>
      </c>
      <c r="G42" s="438">
        <v>875</v>
      </c>
      <c r="H42" s="438">
        <v>875</v>
      </c>
      <c r="I42" s="438">
        <v>875</v>
      </c>
      <c r="J42" s="438">
        <v>875</v>
      </c>
      <c r="K42" s="438">
        <v>810</v>
      </c>
      <c r="L42" s="438">
        <v>810</v>
      </c>
      <c r="M42" s="438">
        <v>845</v>
      </c>
      <c r="N42" s="438">
        <v>1150</v>
      </c>
      <c r="O42" s="416"/>
      <c r="P42" s="416"/>
      <c r="Q42" s="416"/>
      <c r="R42" s="416"/>
      <c r="S42" s="439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</row>
    <row r="43" spans="1:30" ht="12.75" customHeight="1">
      <c r="A43" s="416">
        <v>6</v>
      </c>
      <c r="B43" s="437" t="s">
        <v>46</v>
      </c>
      <c r="C43" s="438">
        <v>1130</v>
      </c>
      <c r="D43" s="438">
        <v>1130</v>
      </c>
      <c r="E43" s="438">
        <v>1130</v>
      </c>
      <c r="F43" s="438">
        <v>1065</v>
      </c>
      <c r="G43" s="438">
        <v>980</v>
      </c>
      <c r="H43" s="438">
        <v>980</v>
      </c>
      <c r="I43" s="438">
        <v>980</v>
      </c>
      <c r="J43" s="438">
        <v>980</v>
      </c>
      <c r="K43" s="438">
        <v>910</v>
      </c>
      <c r="L43" s="438">
        <v>910</v>
      </c>
      <c r="M43" s="438">
        <v>965</v>
      </c>
      <c r="N43" s="438">
        <v>1282</v>
      </c>
      <c r="O43" s="416"/>
      <c r="P43" s="416"/>
      <c r="Q43" s="416"/>
      <c r="R43" s="416"/>
      <c r="S43" s="439"/>
      <c r="T43" s="439"/>
      <c r="U43" s="439"/>
      <c r="V43" s="439"/>
      <c r="W43" s="439"/>
      <c r="X43" s="439"/>
      <c r="Y43" s="439"/>
      <c r="Z43" s="439"/>
      <c r="AA43" s="439"/>
      <c r="AB43" s="439"/>
      <c r="AC43" s="439"/>
      <c r="AD43" s="439"/>
    </row>
    <row r="44" spans="1:30" ht="12.75" customHeight="1">
      <c r="A44" s="416"/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</row>
    <row r="45" spans="1:30" ht="12.75" customHeight="1">
      <c r="A45" s="416"/>
      <c r="B45" s="416"/>
      <c r="C45" s="416"/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</row>
    <row r="46" spans="1:30" ht="12.75" customHeight="1">
      <c r="A46" s="416"/>
      <c r="B46" s="416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</row>
    <row r="47" spans="1:30" ht="12.75" customHeight="1">
      <c r="A47" s="416"/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</row>
    <row r="48" spans="1:30" ht="30" customHeight="1">
      <c r="A48" s="416"/>
      <c r="B48" s="422" t="s">
        <v>52</v>
      </c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6"/>
      <c r="Q48" s="516"/>
      <c r="R48" s="517"/>
      <c r="S48" s="517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</row>
    <row r="49" spans="1:30" ht="15.75" customHeight="1">
      <c r="A49" s="416"/>
      <c r="B49" s="416"/>
      <c r="C49" s="416" t="str">
        <f t="shared" ref="C49:M49" si="11">+C37</f>
        <v>January</v>
      </c>
      <c r="D49" s="416" t="str">
        <f t="shared" si="11"/>
        <v>February</v>
      </c>
      <c r="E49" s="416" t="str">
        <f t="shared" si="11"/>
        <v>March</v>
      </c>
      <c r="F49" s="416" t="str">
        <f t="shared" si="11"/>
        <v>April</v>
      </c>
      <c r="G49" s="416" t="str">
        <f t="shared" si="11"/>
        <v xml:space="preserve">May </v>
      </c>
      <c r="H49" s="416" t="str">
        <f t="shared" si="11"/>
        <v>June</v>
      </c>
      <c r="I49" s="416" t="str">
        <f t="shared" si="11"/>
        <v>July</v>
      </c>
      <c r="J49" s="416" t="str">
        <f t="shared" si="11"/>
        <v>August</v>
      </c>
      <c r="K49" s="416" t="str">
        <f t="shared" si="11"/>
        <v>September</v>
      </c>
      <c r="L49" s="416" t="str">
        <f t="shared" si="11"/>
        <v>October</v>
      </c>
      <c r="M49" s="416" t="str">
        <f t="shared" si="11"/>
        <v>November</v>
      </c>
      <c r="N49" s="416" t="s">
        <v>24</v>
      </c>
      <c r="O49" s="416"/>
      <c r="P49" s="416"/>
      <c r="Q49" s="440"/>
      <c r="R49" s="441"/>
      <c r="S49" s="441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</row>
    <row r="50" spans="1:30" ht="15" customHeight="1">
      <c r="A50" s="416"/>
      <c r="B50" s="416" t="s">
        <v>56</v>
      </c>
      <c r="C50" s="442">
        <v>0.6</v>
      </c>
      <c r="D50" s="442">
        <v>0.6</v>
      </c>
      <c r="E50" s="442">
        <v>0.6</v>
      </c>
      <c r="F50" s="442">
        <v>0.55000000000000004</v>
      </c>
      <c r="G50" s="442">
        <v>0.55000000000000004</v>
      </c>
      <c r="H50" s="442">
        <v>0.55000000000000004</v>
      </c>
      <c r="I50" s="442">
        <v>0.55000000000000004</v>
      </c>
      <c r="J50" s="442">
        <v>0.55000000000000004</v>
      </c>
      <c r="K50" s="442">
        <v>0.55000000000000004</v>
      </c>
      <c r="L50" s="442">
        <v>0.55000000000000004</v>
      </c>
      <c r="M50" s="442">
        <v>0.55000000000000004</v>
      </c>
      <c r="N50" s="442">
        <v>0.55000000000000004</v>
      </c>
      <c r="O50" s="416"/>
      <c r="P50" s="416"/>
      <c r="Q50" s="440"/>
      <c r="R50" s="443"/>
      <c r="S50" s="443"/>
      <c r="T50" s="416"/>
      <c r="U50" s="416"/>
      <c r="V50" s="416"/>
      <c r="W50" s="416"/>
      <c r="X50" s="416"/>
      <c r="Y50" s="416"/>
      <c r="Z50" s="416"/>
      <c r="AA50" s="416"/>
      <c r="AB50" s="416"/>
      <c r="AC50" s="416"/>
      <c r="AD50" s="416"/>
    </row>
    <row r="51" spans="1:30" ht="15" customHeight="1">
      <c r="A51" s="416"/>
      <c r="B51" s="416" t="s">
        <v>57</v>
      </c>
      <c r="C51" s="442">
        <v>0.05</v>
      </c>
      <c r="D51" s="442">
        <v>0.05</v>
      </c>
      <c r="E51" s="442">
        <v>0.05</v>
      </c>
      <c r="F51" s="442">
        <v>0.05</v>
      </c>
      <c r="G51" s="442">
        <v>0.05</v>
      </c>
      <c r="H51" s="442">
        <v>0.05</v>
      </c>
      <c r="I51" s="442">
        <v>0.05</v>
      </c>
      <c r="J51" s="442">
        <v>0.05</v>
      </c>
      <c r="K51" s="442">
        <v>0.05</v>
      </c>
      <c r="L51" s="442">
        <v>0.05</v>
      </c>
      <c r="M51" s="442">
        <v>0.05</v>
      </c>
      <c r="N51" s="442">
        <v>0.05</v>
      </c>
      <c r="O51" s="416"/>
      <c r="P51" s="416"/>
      <c r="Q51" s="440"/>
      <c r="R51" s="443"/>
      <c r="S51" s="443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</row>
    <row r="52" spans="1:30" ht="15" customHeight="1">
      <c r="A52" s="416"/>
      <c r="B52" s="416" t="s">
        <v>58</v>
      </c>
      <c r="C52" s="442">
        <v>0.35</v>
      </c>
      <c r="D52" s="442">
        <v>0.35</v>
      </c>
      <c r="E52" s="442">
        <v>0.35</v>
      </c>
      <c r="F52" s="442">
        <v>0.4</v>
      </c>
      <c r="G52" s="442">
        <v>0.4</v>
      </c>
      <c r="H52" s="442">
        <v>0.4</v>
      </c>
      <c r="I52" s="442">
        <v>0.4</v>
      </c>
      <c r="J52" s="442">
        <v>0.4</v>
      </c>
      <c r="K52" s="442">
        <v>0.4</v>
      </c>
      <c r="L52" s="442">
        <v>0.4</v>
      </c>
      <c r="M52" s="442">
        <v>0.4</v>
      </c>
      <c r="N52" s="442">
        <v>0.4</v>
      </c>
      <c r="O52" s="416"/>
      <c r="P52" s="416"/>
      <c r="Q52" s="440"/>
      <c r="R52" s="443"/>
      <c r="S52" s="443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</row>
    <row r="53" spans="1:30" ht="15" customHeight="1">
      <c r="A53" s="416"/>
      <c r="B53" s="444" t="s">
        <v>181</v>
      </c>
      <c r="C53" s="442"/>
      <c r="D53" s="442"/>
      <c r="E53" s="442"/>
      <c r="F53" s="442"/>
      <c r="G53" s="442"/>
      <c r="H53" s="442"/>
      <c r="I53" s="442"/>
      <c r="J53" s="442"/>
      <c r="K53" s="442"/>
      <c r="L53" s="442"/>
      <c r="M53" s="442"/>
      <c r="N53" s="442"/>
      <c r="O53" s="416"/>
      <c r="P53" s="416"/>
      <c r="Q53" s="440"/>
      <c r="R53" s="440"/>
      <c r="S53" s="440"/>
      <c r="T53" s="416"/>
      <c r="U53" s="416"/>
      <c r="V53" s="416"/>
      <c r="W53" s="416"/>
      <c r="X53" s="416"/>
      <c r="Y53" s="416"/>
      <c r="Z53" s="416"/>
      <c r="AA53" s="416"/>
      <c r="AB53" s="416"/>
      <c r="AC53" s="416"/>
      <c r="AD53" s="416"/>
    </row>
    <row r="54" spans="1:30" ht="15" customHeight="1">
      <c r="A54" s="416"/>
      <c r="B54" s="444" t="s">
        <v>181</v>
      </c>
      <c r="C54" s="442"/>
      <c r="D54" s="442"/>
      <c r="E54" s="442"/>
      <c r="F54" s="442"/>
      <c r="G54" s="442"/>
      <c r="H54" s="442"/>
      <c r="I54" s="442"/>
      <c r="J54" s="442"/>
      <c r="K54" s="442"/>
      <c r="L54" s="442"/>
      <c r="M54" s="442"/>
      <c r="N54" s="442"/>
      <c r="O54" s="416"/>
      <c r="P54" s="416"/>
      <c r="Q54" s="440"/>
      <c r="R54" s="440"/>
      <c r="S54" s="440"/>
      <c r="T54" s="416"/>
      <c r="U54" s="416"/>
      <c r="V54" s="416"/>
      <c r="W54" s="416"/>
      <c r="X54" s="416"/>
      <c r="Y54" s="416"/>
      <c r="Z54" s="416"/>
      <c r="AA54" s="416"/>
      <c r="AB54" s="416"/>
      <c r="AC54" s="416"/>
      <c r="AD54" s="416"/>
    </row>
    <row r="55" spans="1:30" ht="16.5" customHeight="1" thickBot="1">
      <c r="A55" s="416"/>
      <c r="B55" s="416"/>
      <c r="C55" s="442"/>
      <c r="D55" s="442"/>
      <c r="E55" s="442"/>
      <c r="F55" s="442"/>
      <c r="G55" s="442"/>
      <c r="H55" s="442"/>
      <c r="I55" s="442"/>
      <c r="J55" s="442"/>
      <c r="K55" s="442"/>
      <c r="L55" s="442"/>
      <c r="M55" s="442"/>
      <c r="N55" s="442"/>
      <c r="O55" s="416"/>
      <c r="P55" s="416"/>
      <c r="Q55" s="516"/>
      <c r="R55" s="517"/>
      <c r="S55" s="517"/>
      <c r="T55" s="416"/>
      <c r="U55" s="416"/>
      <c r="V55" s="416"/>
      <c r="W55" s="416"/>
      <c r="X55" s="416"/>
      <c r="Y55" s="416"/>
      <c r="Z55" s="416"/>
      <c r="AA55" s="416"/>
      <c r="AB55" s="416"/>
      <c r="AC55" s="416"/>
      <c r="AD55" s="416"/>
    </row>
    <row r="56" spans="1:30" ht="15.75" customHeight="1" thickBot="1">
      <c r="A56" s="416"/>
      <c r="B56" s="423" t="s">
        <v>47</v>
      </c>
      <c r="C56" s="445">
        <f t="shared" ref="C56:N56" si="12">SUM(C50:C55)</f>
        <v>1</v>
      </c>
      <c r="D56" s="445">
        <f t="shared" si="12"/>
        <v>1</v>
      </c>
      <c r="E56" s="445">
        <f t="shared" si="12"/>
        <v>1</v>
      </c>
      <c r="F56" s="445">
        <f t="shared" si="12"/>
        <v>1</v>
      </c>
      <c r="G56" s="445">
        <f t="shared" si="12"/>
        <v>1</v>
      </c>
      <c r="H56" s="445">
        <f t="shared" si="12"/>
        <v>1</v>
      </c>
      <c r="I56" s="445">
        <f t="shared" si="12"/>
        <v>1</v>
      </c>
      <c r="J56" s="445">
        <f t="shared" si="12"/>
        <v>1</v>
      </c>
      <c r="K56" s="445">
        <f t="shared" si="12"/>
        <v>1</v>
      </c>
      <c r="L56" s="445">
        <f t="shared" si="12"/>
        <v>1</v>
      </c>
      <c r="M56" s="445">
        <f t="shared" si="12"/>
        <v>1</v>
      </c>
      <c r="N56" s="445">
        <f t="shared" si="12"/>
        <v>1</v>
      </c>
      <c r="O56" s="416"/>
      <c r="P56" s="416"/>
      <c r="Q56" s="440"/>
      <c r="R56" s="440"/>
      <c r="S56" s="440"/>
      <c r="T56" s="416"/>
      <c r="U56" s="416"/>
      <c r="V56" s="416"/>
      <c r="W56" s="416"/>
      <c r="X56" s="416"/>
      <c r="Y56" s="416"/>
      <c r="Z56" s="416"/>
      <c r="AA56" s="416"/>
      <c r="AB56" s="416"/>
      <c r="AC56" s="416"/>
      <c r="AD56" s="416"/>
    </row>
    <row r="57" spans="1:30" ht="15.75" customHeight="1">
      <c r="A57" s="416"/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6"/>
      <c r="Q57" s="440"/>
      <c r="R57" s="441"/>
      <c r="S57" s="441"/>
      <c r="T57" s="416"/>
      <c r="U57" s="416"/>
      <c r="V57" s="416"/>
      <c r="W57" s="416"/>
      <c r="X57" s="416"/>
      <c r="Y57" s="416"/>
      <c r="Z57" s="416"/>
      <c r="AA57" s="416"/>
      <c r="AB57" s="416"/>
      <c r="AC57" s="416"/>
      <c r="AD57" s="416"/>
    </row>
    <row r="58" spans="1:30" ht="15" customHeight="1">
      <c r="A58" s="416"/>
      <c r="B58" s="416"/>
      <c r="C58" s="416"/>
      <c r="D58" s="416"/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40"/>
      <c r="R58" s="443"/>
      <c r="S58" s="443"/>
      <c r="T58" s="416"/>
      <c r="U58" s="416"/>
      <c r="V58" s="416"/>
      <c r="W58" s="416"/>
      <c r="X58" s="416"/>
      <c r="Y58" s="416"/>
      <c r="Z58" s="416"/>
      <c r="AA58" s="416"/>
      <c r="AB58" s="416"/>
      <c r="AC58" s="416"/>
      <c r="AD58" s="416"/>
    </row>
    <row r="59" spans="1:30" ht="15" customHeight="1">
      <c r="A59" s="416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40"/>
      <c r="R59" s="443"/>
      <c r="S59" s="443"/>
      <c r="T59" s="416"/>
      <c r="U59" s="416"/>
      <c r="V59" s="416"/>
      <c r="W59" s="416"/>
      <c r="X59" s="416"/>
      <c r="Y59" s="416"/>
      <c r="Z59" s="416"/>
      <c r="AA59" s="416"/>
      <c r="AB59" s="416"/>
      <c r="AC59" s="416"/>
      <c r="AD59" s="416"/>
    </row>
    <row r="60" spans="1:30" ht="30" customHeight="1">
      <c r="A60" s="416"/>
      <c r="B60" s="422" t="s">
        <v>60</v>
      </c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40"/>
      <c r="R60" s="443"/>
      <c r="S60" s="443"/>
      <c r="T60" s="416"/>
      <c r="U60" s="416"/>
      <c r="V60" s="416"/>
      <c r="W60" s="416"/>
      <c r="X60" s="416"/>
      <c r="Y60" s="416"/>
      <c r="Z60" s="416"/>
      <c r="AA60" s="416"/>
      <c r="AB60" s="416"/>
      <c r="AC60" s="416"/>
      <c r="AD60" s="416"/>
    </row>
    <row r="61" spans="1:30" ht="12.75" customHeight="1">
      <c r="A61" s="416"/>
      <c r="B61" s="416"/>
      <c r="C61" s="446" t="str">
        <f t="shared" ref="C61" si="13">+C37</f>
        <v>January</v>
      </c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  <c r="V61" s="416"/>
      <c r="W61" s="416"/>
      <c r="X61" s="416"/>
      <c r="Y61" s="416"/>
      <c r="Z61" s="416"/>
      <c r="AA61" s="416"/>
      <c r="AB61" s="416"/>
      <c r="AC61" s="416"/>
      <c r="AD61" s="416"/>
    </row>
    <row r="62" spans="1:30" ht="12.75" customHeight="1">
      <c r="A62" s="416"/>
      <c r="B62" s="416" t="s">
        <v>56</v>
      </c>
      <c r="C62" s="447">
        <v>0.28000000000000003</v>
      </c>
      <c r="D62" s="442"/>
      <c r="E62" s="442"/>
      <c r="F62" s="442"/>
      <c r="G62" s="442"/>
      <c r="H62" s="442"/>
      <c r="I62" s="442"/>
      <c r="J62" s="442"/>
      <c r="K62" s="442"/>
      <c r="L62" s="442"/>
      <c r="M62" s="442"/>
      <c r="N62" s="442"/>
      <c r="O62" s="416"/>
      <c r="P62" s="416"/>
      <c r="Q62" s="416"/>
      <c r="R62" s="416"/>
      <c r="S62" s="416"/>
      <c r="T62" s="416"/>
      <c r="U62" s="416"/>
      <c r="V62" s="416"/>
      <c r="W62" s="416"/>
      <c r="X62" s="416"/>
      <c r="Y62" s="416"/>
      <c r="Z62" s="416"/>
      <c r="AA62" s="416"/>
      <c r="AB62" s="416"/>
      <c r="AC62" s="416"/>
      <c r="AD62" s="416"/>
    </row>
    <row r="63" spans="1:30" ht="12.75" customHeight="1">
      <c r="A63" s="416"/>
      <c r="B63" s="416" t="s">
        <v>57</v>
      </c>
      <c r="C63" s="447">
        <v>0.2</v>
      </c>
      <c r="D63" s="442"/>
      <c r="E63" s="442"/>
      <c r="F63" s="442"/>
      <c r="G63" s="442"/>
      <c r="H63" s="442"/>
      <c r="I63" s="442"/>
      <c r="J63" s="442"/>
      <c r="K63" s="442"/>
      <c r="L63" s="442"/>
      <c r="M63" s="442"/>
      <c r="N63" s="442"/>
      <c r="O63" s="416"/>
      <c r="P63" s="416"/>
      <c r="Q63" s="416"/>
      <c r="R63" s="416"/>
      <c r="S63" s="416"/>
      <c r="T63" s="416"/>
      <c r="U63" s="416"/>
      <c r="V63" s="416"/>
      <c r="W63" s="416"/>
      <c r="X63" s="416"/>
      <c r="Y63" s="416"/>
      <c r="Z63" s="416"/>
      <c r="AA63" s="416"/>
      <c r="AB63" s="416"/>
      <c r="AC63" s="416"/>
      <c r="AD63" s="416"/>
    </row>
    <row r="64" spans="1:30" ht="12.75" customHeight="1">
      <c r="A64" s="416"/>
      <c r="B64" s="416" t="s">
        <v>58</v>
      </c>
      <c r="C64" s="447">
        <v>0</v>
      </c>
      <c r="D64" s="442"/>
      <c r="E64" s="442"/>
      <c r="F64" s="442"/>
      <c r="G64" s="442"/>
      <c r="H64" s="442"/>
      <c r="I64" s="442"/>
      <c r="J64" s="442"/>
      <c r="K64" s="442"/>
      <c r="L64" s="442"/>
      <c r="M64" s="442"/>
      <c r="N64" s="442"/>
      <c r="O64" s="416"/>
      <c r="P64" s="416"/>
      <c r="Q64" s="416"/>
      <c r="R64" s="416"/>
      <c r="S64" s="416"/>
      <c r="T64" s="416"/>
      <c r="U64" s="416"/>
      <c r="V64" s="416"/>
      <c r="W64" s="416"/>
      <c r="X64" s="416"/>
      <c r="Y64" s="416"/>
      <c r="Z64" s="416"/>
      <c r="AA64" s="416"/>
      <c r="AB64" s="416"/>
      <c r="AC64" s="416"/>
      <c r="AD64" s="416"/>
    </row>
    <row r="65" spans="1:30" ht="12.75" customHeight="1">
      <c r="A65" s="416"/>
      <c r="B65" s="444" t="s">
        <v>181</v>
      </c>
      <c r="C65" s="447">
        <v>0</v>
      </c>
      <c r="D65" s="442"/>
      <c r="E65" s="442"/>
      <c r="F65" s="442"/>
      <c r="G65" s="442"/>
      <c r="H65" s="442"/>
      <c r="I65" s="442"/>
      <c r="J65" s="442"/>
      <c r="K65" s="442"/>
      <c r="L65" s="442"/>
      <c r="M65" s="442"/>
      <c r="N65" s="442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  <c r="Z65" s="416"/>
      <c r="AA65" s="416"/>
      <c r="AB65" s="416"/>
      <c r="AC65" s="416"/>
      <c r="AD65" s="416"/>
    </row>
    <row r="66" spans="1:30" ht="12.75" customHeight="1">
      <c r="A66" s="416"/>
      <c r="B66" s="444" t="s">
        <v>181</v>
      </c>
      <c r="C66" s="447">
        <v>0</v>
      </c>
      <c r="D66" s="442"/>
      <c r="E66" s="442"/>
      <c r="F66" s="442"/>
      <c r="G66" s="442"/>
      <c r="H66" s="442"/>
      <c r="I66" s="442"/>
      <c r="J66" s="442"/>
      <c r="K66" s="442"/>
      <c r="L66" s="442"/>
      <c r="M66" s="442"/>
      <c r="N66" s="442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  <c r="Z66" s="416"/>
      <c r="AA66" s="416"/>
      <c r="AB66" s="416"/>
      <c r="AC66" s="416"/>
      <c r="AD66" s="416"/>
    </row>
    <row r="67" spans="1:30" ht="12.75" customHeight="1">
      <c r="A67" s="416"/>
      <c r="B67" s="416"/>
      <c r="C67" s="416"/>
      <c r="D67" s="416"/>
      <c r="E67" s="416"/>
      <c r="F67" s="416"/>
      <c r="G67" s="416"/>
      <c r="H67" s="416"/>
      <c r="I67" s="416"/>
      <c r="J67" s="416"/>
      <c r="K67" s="416"/>
      <c r="L67" s="416"/>
      <c r="M67" s="416"/>
      <c r="N67" s="416"/>
      <c r="O67" s="416"/>
      <c r="P67" s="416"/>
      <c r="Q67" s="416"/>
      <c r="R67" s="416"/>
      <c r="S67" s="416"/>
      <c r="T67" s="416"/>
      <c r="U67" s="416"/>
      <c r="V67" s="416"/>
      <c r="W67" s="416"/>
      <c r="X67" s="416"/>
      <c r="Y67" s="416"/>
      <c r="Z67" s="416"/>
      <c r="AA67" s="416"/>
      <c r="AB67" s="416"/>
      <c r="AC67" s="416"/>
      <c r="AD67" s="416"/>
    </row>
    <row r="68" spans="1:30" ht="12.75" customHeight="1">
      <c r="A68" s="416"/>
      <c r="B68" s="416"/>
      <c r="C68" s="416"/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6"/>
      <c r="O68" s="416"/>
      <c r="P68" s="416"/>
      <c r="Q68" s="416"/>
      <c r="R68" s="416"/>
      <c r="S68" s="416"/>
      <c r="T68" s="416"/>
      <c r="U68" s="416"/>
      <c r="V68" s="416"/>
      <c r="W68" s="416"/>
      <c r="X68" s="416"/>
      <c r="Y68" s="416"/>
      <c r="Z68" s="416"/>
      <c r="AA68" s="416"/>
      <c r="AB68" s="416"/>
      <c r="AC68" s="416"/>
      <c r="AD68" s="416"/>
    </row>
    <row r="69" spans="1:30" ht="12.75" customHeight="1">
      <c r="A69" s="416"/>
      <c r="B69" s="416"/>
      <c r="C69" s="416"/>
      <c r="D69" s="416"/>
      <c r="E69" s="416"/>
      <c r="F69" s="416"/>
      <c r="G69" s="416"/>
      <c r="H69" s="416"/>
      <c r="I69" s="416"/>
      <c r="J69" s="416"/>
      <c r="K69" s="416"/>
      <c r="L69" s="416"/>
      <c r="M69" s="416"/>
      <c r="N69" s="416"/>
      <c r="O69" s="416"/>
      <c r="P69" s="416"/>
      <c r="Q69" s="416"/>
      <c r="R69" s="416"/>
      <c r="S69" s="416"/>
      <c r="T69" s="416"/>
      <c r="U69" s="416"/>
      <c r="V69" s="416"/>
      <c r="W69" s="416"/>
      <c r="X69" s="416"/>
      <c r="Y69" s="416"/>
      <c r="Z69" s="416"/>
      <c r="AA69" s="416"/>
      <c r="AB69" s="416"/>
      <c r="AC69" s="416"/>
      <c r="AD69" s="416"/>
    </row>
    <row r="70" spans="1:30" ht="12.75" customHeight="1">
      <c r="A70" s="416"/>
      <c r="B70" s="416"/>
      <c r="C70" s="416"/>
      <c r="D70" s="416"/>
      <c r="E70" s="416"/>
      <c r="F70" s="416"/>
      <c r="G70" s="416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6"/>
      <c r="S70" s="416"/>
      <c r="T70" s="416"/>
      <c r="U70" s="416"/>
      <c r="V70" s="416"/>
      <c r="W70" s="416"/>
      <c r="X70" s="416"/>
      <c r="Y70" s="416"/>
      <c r="Z70" s="416"/>
      <c r="AA70" s="416"/>
      <c r="AB70" s="416"/>
      <c r="AC70" s="416"/>
      <c r="AD70" s="416"/>
    </row>
    <row r="71" spans="1:30" ht="12.75" customHeight="1">
      <c r="A71" s="416"/>
      <c r="B71" s="416"/>
      <c r="C71" s="416"/>
      <c r="D71" s="416"/>
      <c r="E71" s="416"/>
      <c r="F71" s="416"/>
      <c r="G71" s="416"/>
      <c r="H71" s="416"/>
      <c r="I71" s="416"/>
      <c r="J71" s="416"/>
      <c r="K71" s="416"/>
      <c r="L71" s="416"/>
      <c r="M71" s="416"/>
      <c r="N71" s="416"/>
      <c r="O71" s="416"/>
      <c r="P71" s="416"/>
      <c r="Q71" s="416"/>
      <c r="R71" s="416"/>
      <c r="S71" s="416"/>
      <c r="T71" s="416"/>
      <c r="U71" s="416"/>
      <c r="V71" s="416"/>
      <c r="W71" s="416"/>
      <c r="X71" s="416"/>
      <c r="Y71" s="416"/>
      <c r="Z71" s="416"/>
      <c r="AA71" s="416"/>
      <c r="AB71" s="416"/>
      <c r="AC71" s="416"/>
      <c r="AD71" s="416"/>
    </row>
    <row r="72" spans="1:30" ht="47.25" customHeight="1">
      <c r="A72" s="416"/>
      <c r="B72" s="448"/>
      <c r="C72" s="518" t="s">
        <v>260</v>
      </c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416"/>
      <c r="Q72" s="416"/>
      <c r="R72" s="416"/>
      <c r="S72" s="416"/>
      <c r="T72" s="416"/>
      <c r="U72" s="416"/>
      <c r="V72" s="416"/>
      <c r="W72" s="416"/>
      <c r="X72" s="416"/>
      <c r="Y72" s="416"/>
      <c r="Z72" s="416"/>
      <c r="AA72" s="416"/>
      <c r="AB72" s="416"/>
      <c r="AC72" s="416"/>
      <c r="AD72" s="416"/>
    </row>
    <row r="73" spans="1:30" ht="12.75" customHeight="1">
      <c r="A73" s="416"/>
      <c r="B73" s="416"/>
      <c r="C73" s="416"/>
      <c r="D73" s="416"/>
      <c r="E73" s="416"/>
      <c r="F73" s="416"/>
      <c r="G73" s="416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  <c r="V73" s="416"/>
      <c r="W73" s="416"/>
      <c r="X73" s="416"/>
      <c r="Y73" s="416"/>
      <c r="Z73" s="416"/>
      <c r="AA73" s="416"/>
      <c r="AB73" s="416"/>
      <c r="AC73" s="416"/>
      <c r="AD73" s="416"/>
    </row>
    <row r="74" spans="1:30" ht="12.75" customHeight="1">
      <c r="A74" s="416"/>
      <c r="B74" s="416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416"/>
      <c r="V74" s="416"/>
      <c r="W74" s="416"/>
      <c r="X74" s="416"/>
      <c r="Y74" s="416"/>
      <c r="Z74" s="416"/>
      <c r="AA74" s="416"/>
      <c r="AB74" s="416"/>
      <c r="AC74" s="416"/>
      <c r="AD74" s="416"/>
    </row>
    <row r="75" spans="1:30" ht="12.75" customHeight="1">
      <c r="A75" s="416"/>
      <c r="B75" s="433" t="s">
        <v>50</v>
      </c>
      <c r="C75" s="434" t="s">
        <v>13</v>
      </c>
      <c r="D75" s="434" t="s">
        <v>14</v>
      </c>
      <c r="E75" s="434" t="s">
        <v>15</v>
      </c>
      <c r="F75" s="434" t="s">
        <v>16</v>
      </c>
      <c r="G75" s="434" t="s">
        <v>51</v>
      </c>
      <c r="H75" s="434" t="s">
        <v>18</v>
      </c>
      <c r="I75" s="434" t="s">
        <v>19</v>
      </c>
      <c r="J75" s="434" t="s">
        <v>20</v>
      </c>
      <c r="K75" s="434" t="s">
        <v>21</v>
      </c>
      <c r="L75" s="434" t="s">
        <v>22</v>
      </c>
      <c r="M75" s="434" t="s">
        <v>23</v>
      </c>
      <c r="N75" s="434" t="s">
        <v>24</v>
      </c>
      <c r="O75" s="434"/>
      <c r="P75" s="416"/>
      <c r="Q75" s="416"/>
      <c r="R75" s="416"/>
      <c r="S75" s="416"/>
      <c r="T75" s="416"/>
      <c r="U75" s="416"/>
      <c r="V75" s="416"/>
      <c r="W75" s="416"/>
      <c r="X75" s="416"/>
      <c r="Y75" s="416"/>
      <c r="Z75" s="416"/>
      <c r="AA75" s="416"/>
      <c r="AB75" s="416"/>
      <c r="AC75" s="416"/>
      <c r="AD75" s="416"/>
    </row>
    <row r="76" spans="1:30" ht="12.75" customHeight="1">
      <c r="A76" s="416"/>
      <c r="B76" s="437" t="s">
        <v>41</v>
      </c>
      <c r="C76" s="449">
        <v>0.42</v>
      </c>
      <c r="D76" s="449">
        <v>0.56999999999999995</v>
      </c>
      <c r="E76" s="449">
        <v>0.57999999999999996</v>
      </c>
      <c r="F76" s="449">
        <v>0.32</v>
      </c>
      <c r="G76" s="449">
        <v>0.35</v>
      </c>
      <c r="H76" s="449">
        <v>0.25</v>
      </c>
      <c r="I76" s="449">
        <v>0.25</v>
      </c>
      <c r="J76" s="449">
        <v>0.25</v>
      </c>
      <c r="K76" s="449">
        <v>0.08</v>
      </c>
      <c r="L76" s="449">
        <v>0</v>
      </c>
      <c r="M76" s="449">
        <v>0.27</v>
      </c>
      <c r="N76" s="449">
        <v>0.45</v>
      </c>
      <c r="O76" s="450"/>
      <c r="P76" s="416"/>
      <c r="Q76" s="416"/>
      <c r="R76" s="416"/>
      <c r="S76" s="416"/>
      <c r="T76" s="416"/>
      <c r="U76" s="416"/>
      <c r="V76" s="416"/>
      <c r="W76" s="416"/>
      <c r="X76" s="416"/>
      <c r="Y76" s="416"/>
      <c r="Z76" s="416"/>
      <c r="AA76" s="416"/>
      <c r="AB76" s="416"/>
      <c r="AC76" s="416"/>
      <c r="AD76" s="416"/>
    </row>
    <row r="77" spans="1:30" ht="12.75" customHeight="1">
      <c r="A77" s="416"/>
      <c r="B77" s="437" t="s">
        <v>42</v>
      </c>
      <c r="C77" s="449">
        <v>0.67</v>
      </c>
      <c r="D77" s="449">
        <v>0.85</v>
      </c>
      <c r="E77" s="449">
        <v>0.9</v>
      </c>
      <c r="F77" s="449">
        <v>0.62</v>
      </c>
      <c r="G77" s="449">
        <v>0.52</v>
      </c>
      <c r="H77" s="449">
        <v>0.28000000000000003</v>
      </c>
      <c r="I77" s="449">
        <v>0.87</v>
      </c>
      <c r="J77" s="449">
        <v>0.62</v>
      </c>
      <c r="K77" s="449">
        <v>0.28000000000000003</v>
      </c>
      <c r="L77" s="449">
        <v>0</v>
      </c>
      <c r="M77" s="449">
        <v>0.63</v>
      </c>
      <c r="N77" s="449">
        <v>0.78</v>
      </c>
      <c r="O77" s="450"/>
      <c r="P77" s="416"/>
      <c r="Q77" s="416"/>
      <c r="R77" s="416"/>
      <c r="S77" s="416"/>
      <c r="T77" s="416"/>
      <c r="U77" s="416"/>
      <c r="V77" s="416"/>
      <c r="W77" s="416"/>
      <c r="X77" s="416"/>
      <c r="Y77" s="416"/>
      <c r="Z77" s="416"/>
      <c r="AA77" s="416"/>
      <c r="AB77" s="416"/>
      <c r="AC77" s="416"/>
      <c r="AD77" s="416"/>
    </row>
    <row r="78" spans="1:30" ht="12.75" customHeight="1">
      <c r="A78" s="416"/>
      <c r="B78" s="437" t="s">
        <v>43</v>
      </c>
      <c r="C78" s="449">
        <v>0.87</v>
      </c>
      <c r="D78" s="449">
        <v>0.92</v>
      </c>
      <c r="E78" s="449">
        <v>0.96</v>
      </c>
      <c r="F78" s="449">
        <v>0.83</v>
      </c>
      <c r="G78" s="449">
        <v>0.56000000000000005</v>
      </c>
      <c r="H78" s="449">
        <v>0.54</v>
      </c>
      <c r="I78" s="449">
        <v>0.76</v>
      </c>
      <c r="J78" s="449">
        <v>0.35</v>
      </c>
      <c r="K78" s="449">
        <v>0.28000000000000003</v>
      </c>
      <c r="L78" s="449">
        <v>0</v>
      </c>
      <c r="M78" s="449">
        <v>0.36</v>
      </c>
      <c r="N78" s="449">
        <v>0.89</v>
      </c>
      <c r="O78" s="450"/>
      <c r="P78" s="416"/>
      <c r="Q78" s="416"/>
      <c r="R78" s="416"/>
      <c r="S78" s="416"/>
      <c r="T78" s="416"/>
      <c r="U78" s="416"/>
      <c r="V78" s="416"/>
      <c r="W78" s="416"/>
      <c r="X78" s="416"/>
      <c r="Y78" s="416"/>
      <c r="Z78" s="416"/>
      <c r="AA78" s="416"/>
      <c r="AB78" s="416"/>
      <c r="AC78" s="416"/>
      <c r="AD78" s="416"/>
    </row>
    <row r="79" spans="1:30" ht="12.75" customHeight="1">
      <c r="A79" s="416"/>
      <c r="B79" s="437" t="s">
        <v>44</v>
      </c>
      <c r="C79" s="449">
        <v>0.45</v>
      </c>
      <c r="D79" s="449">
        <v>0.55000000000000004</v>
      </c>
      <c r="E79" s="449">
        <v>0.56000000000000005</v>
      </c>
      <c r="F79" s="449">
        <v>0.28000000000000003</v>
      </c>
      <c r="G79" s="449">
        <v>0.18</v>
      </c>
      <c r="H79" s="449">
        <v>0.15</v>
      </c>
      <c r="I79" s="449">
        <v>0.24</v>
      </c>
      <c r="J79" s="449">
        <v>0.48</v>
      </c>
      <c r="K79" s="449">
        <v>0.1</v>
      </c>
      <c r="L79" s="449">
        <v>0</v>
      </c>
      <c r="M79" s="449">
        <v>0.3</v>
      </c>
      <c r="N79" s="449">
        <v>0.46</v>
      </c>
      <c r="O79" s="450"/>
      <c r="P79" s="416"/>
      <c r="Q79" s="416"/>
      <c r="R79" s="416"/>
      <c r="S79" s="416"/>
      <c r="T79" s="416"/>
      <c r="U79" s="416"/>
      <c r="V79" s="416"/>
      <c r="W79" s="416"/>
      <c r="X79" s="416"/>
      <c r="Y79" s="416"/>
      <c r="Z79" s="416"/>
      <c r="AA79" s="416"/>
      <c r="AB79" s="416"/>
      <c r="AC79" s="416"/>
      <c r="AD79" s="416"/>
    </row>
    <row r="80" spans="1:30" ht="12.75" customHeight="1">
      <c r="A80" s="416"/>
      <c r="B80" s="437" t="s">
        <v>45</v>
      </c>
      <c r="C80" s="449">
        <v>0.9</v>
      </c>
      <c r="D80" s="449">
        <v>0.92</v>
      </c>
      <c r="E80" s="449">
        <v>0.9</v>
      </c>
      <c r="F80" s="449">
        <v>0.52</v>
      </c>
      <c r="G80" s="449">
        <v>0.36</v>
      </c>
      <c r="H80" s="449">
        <v>0.35</v>
      </c>
      <c r="I80" s="449">
        <v>0.48</v>
      </c>
      <c r="J80" s="449">
        <v>0.6</v>
      </c>
      <c r="K80" s="449">
        <v>0.12</v>
      </c>
      <c r="L80" s="449">
        <v>0</v>
      </c>
      <c r="M80" s="449">
        <v>0.61</v>
      </c>
      <c r="N80" s="449">
        <v>0.93</v>
      </c>
      <c r="O80" s="450"/>
      <c r="P80" s="416"/>
      <c r="Q80" s="416"/>
      <c r="R80" s="416"/>
      <c r="S80" s="416"/>
      <c r="T80" s="416"/>
      <c r="U80" s="416"/>
      <c r="V80" s="416"/>
      <c r="W80" s="416"/>
      <c r="X80" s="416"/>
      <c r="Y80" s="416"/>
      <c r="Z80" s="416"/>
      <c r="AA80" s="416"/>
      <c r="AB80" s="416"/>
      <c r="AC80" s="416"/>
      <c r="AD80" s="416"/>
    </row>
    <row r="81" spans="1:30" ht="12.75" customHeight="1">
      <c r="A81" s="416"/>
      <c r="B81" s="437" t="s">
        <v>46</v>
      </c>
      <c r="C81" s="449">
        <v>0.46</v>
      </c>
      <c r="D81" s="449">
        <v>0.45</v>
      </c>
      <c r="E81" s="449">
        <v>0.48</v>
      </c>
      <c r="F81" s="449">
        <v>0.37</v>
      </c>
      <c r="G81" s="449">
        <v>0.27</v>
      </c>
      <c r="H81" s="449">
        <v>0.21</v>
      </c>
      <c r="I81" s="449">
        <v>0.32</v>
      </c>
      <c r="J81" s="449">
        <v>0.31</v>
      </c>
      <c r="K81" s="449">
        <v>0.11</v>
      </c>
      <c r="L81" s="449">
        <v>0</v>
      </c>
      <c r="M81" s="449">
        <v>0.33</v>
      </c>
      <c r="N81" s="449">
        <v>0.39</v>
      </c>
      <c r="O81" s="450"/>
      <c r="P81" s="416"/>
      <c r="Q81" s="416"/>
      <c r="R81" s="416"/>
      <c r="S81" s="416"/>
      <c r="T81" s="416"/>
      <c r="U81" s="416"/>
      <c r="V81" s="416"/>
      <c r="W81" s="416"/>
      <c r="X81" s="416"/>
      <c r="Y81" s="416"/>
      <c r="Z81" s="416"/>
      <c r="AA81" s="416"/>
      <c r="AB81" s="416"/>
      <c r="AC81" s="416"/>
      <c r="AD81" s="416"/>
    </row>
    <row r="82" spans="1:30" ht="12.75" customHeight="1">
      <c r="A82" s="416"/>
      <c r="B82" s="416" t="s">
        <v>25</v>
      </c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16"/>
      <c r="Q82" s="416"/>
      <c r="R82" s="416"/>
      <c r="S82" s="416"/>
      <c r="T82" s="416"/>
      <c r="U82" s="416"/>
      <c r="V82" s="416"/>
      <c r="W82" s="416"/>
      <c r="X82" s="416"/>
      <c r="Y82" s="416"/>
      <c r="Z82" s="416"/>
      <c r="AA82" s="416"/>
      <c r="AB82" s="416"/>
      <c r="AC82" s="416"/>
      <c r="AD82" s="416"/>
    </row>
    <row r="83" spans="1:30" ht="12.75" customHeight="1">
      <c r="A83" s="416"/>
      <c r="B83" s="416"/>
      <c r="C83" s="452"/>
      <c r="D83" s="452"/>
      <c r="E83" s="452"/>
      <c r="F83" s="452"/>
      <c r="G83" s="452"/>
      <c r="H83" s="452"/>
      <c r="I83" s="452"/>
      <c r="J83" s="452"/>
      <c r="K83" s="452"/>
      <c r="L83" s="452"/>
      <c r="M83" s="452"/>
      <c r="N83" s="452"/>
      <c r="O83" s="453"/>
      <c r="P83" s="416"/>
      <c r="Q83" s="416"/>
      <c r="R83" s="416"/>
      <c r="S83" s="416"/>
      <c r="T83" s="416"/>
      <c r="U83" s="416"/>
      <c r="V83" s="416"/>
      <c r="W83" s="416"/>
      <c r="X83" s="416"/>
      <c r="Y83" s="416"/>
      <c r="Z83" s="416"/>
      <c r="AA83" s="416"/>
      <c r="AB83" s="416"/>
      <c r="AC83" s="416"/>
      <c r="AD83" s="416"/>
    </row>
    <row r="84" spans="1:30" ht="12.75" customHeight="1">
      <c r="A84" s="416"/>
      <c r="B84" s="416"/>
      <c r="C84" s="416"/>
      <c r="D84" s="416"/>
      <c r="E84" s="416"/>
      <c r="F84" s="416"/>
      <c r="G84" s="416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  <c r="S84" s="416"/>
      <c r="T84" s="416"/>
      <c r="U84" s="416"/>
      <c r="V84" s="416"/>
      <c r="W84" s="416"/>
      <c r="X84" s="416"/>
      <c r="Y84" s="416"/>
      <c r="Z84" s="416"/>
      <c r="AA84" s="416"/>
      <c r="AB84" s="416"/>
      <c r="AC84" s="416"/>
      <c r="AD84" s="416"/>
    </row>
    <row r="85" spans="1:30" ht="12.75" customHeight="1">
      <c r="A85" s="416"/>
      <c r="B85" s="416"/>
      <c r="C85" s="416"/>
      <c r="D85" s="416"/>
      <c r="E85" s="416"/>
      <c r="F85" s="416"/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6"/>
      <c r="U85" s="416"/>
      <c r="V85" s="416"/>
      <c r="W85" s="416"/>
      <c r="X85" s="416"/>
      <c r="Y85" s="416"/>
      <c r="Z85" s="416"/>
      <c r="AA85" s="416"/>
      <c r="AB85" s="416"/>
      <c r="AC85" s="416"/>
      <c r="AD85" s="416"/>
    </row>
    <row r="86" spans="1:30" ht="12.75" customHeight="1">
      <c r="A86" s="416"/>
      <c r="B86" s="416"/>
      <c r="C86" s="416"/>
      <c r="D86" s="416"/>
      <c r="E86" s="416"/>
      <c r="F86" s="416"/>
      <c r="G86" s="416"/>
      <c r="H86" s="416"/>
      <c r="I86" s="416"/>
      <c r="J86" s="416"/>
      <c r="K86" s="416"/>
      <c r="L86" s="416"/>
      <c r="M86" s="416"/>
      <c r="N86" s="416"/>
      <c r="O86" s="416"/>
      <c r="P86" s="416"/>
      <c r="Q86" s="416"/>
      <c r="R86" s="416"/>
      <c r="S86" s="416"/>
      <c r="T86" s="416"/>
      <c r="U86" s="416"/>
      <c r="V86" s="416"/>
      <c r="W86" s="416"/>
      <c r="X86" s="416"/>
      <c r="Y86" s="416"/>
      <c r="Z86" s="416"/>
      <c r="AA86" s="416"/>
      <c r="AB86" s="416"/>
      <c r="AC86" s="416"/>
      <c r="AD86" s="416"/>
    </row>
    <row r="87" spans="1:30" ht="30" customHeight="1">
      <c r="A87" s="416"/>
      <c r="B87" s="426" t="s">
        <v>77</v>
      </c>
      <c r="C87" s="416"/>
      <c r="D87" s="416"/>
      <c r="E87" s="416"/>
      <c r="F87" s="416"/>
      <c r="G87" s="416"/>
      <c r="H87" s="416"/>
      <c r="I87" s="416"/>
      <c r="J87" s="416"/>
      <c r="K87" s="416"/>
      <c r="L87" s="416"/>
      <c r="M87" s="416"/>
      <c r="N87" s="416"/>
      <c r="O87" s="416"/>
      <c r="P87" s="416"/>
      <c r="Q87" s="416"/>
      <c r="R87" s="416"/>
      <c r="S87" s="416"/>
      <c r="T87" s="416"/>
      <c r="U87" s="416"/>
      <c r="V87" s="416"/>
      <c r="W87" s="416"/>
      <c r="X87" s="416"/>
      <c r="Y87" s="416"/>
      <c r="Z87" s="416"/>
      <c r="AA87" s="416"/>
      <c r="AB87" s="416"/>
      <c r="AC87" s="416"/>
      <c r="AD87" s="416"/>
    </row>
    <row r="88" spans="1:30" ht="12.75" customHeight="1">
      <c r="A88" s="416"/>
      <c r="B88" s="416" t="s">
        <v>78</v>
      </c>
      <c r="C88" s="416"/>
      <c r="D88" s="416"/>
      <c r="E88" s="416"/>
      <c r="F88" s="416"/>
      <c r="G88" s="416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6" t="s">
        <v>79</v>
      </c>
      <c r="S88" s="416"/>
      <c r="T88" s="416"/>
      <c r="U88" s="416"/>
      <c r="V88" s="416"/>
      <c r="W88" s="416"/>
      <c r="X88" s="416"/>
      <c r="Y88" s="416"/>
      <c r="Z88" s="416"/>
      <c r="AA88" s="416"/>
      <c r="AB88" s="416"/>
      <c r="AC88" s="416"/>
      <c r="AD88" s="416"/>
    </row>
    <row r="89" spans="1:30" ht="12.75" customHeight="1">
      <c r="A89" s="416"/>
      <c r="B89" s="416"/>
      <c r="C89" s="416"/>
      <c r="D89" s="416"/>
      <c r="E89" s="416"/>
      <c r="F89" s="416"/>
      <c r="G89" s="416"/>
      <c r="H89" s="416"/>
      <c r="I89" s="416"/>
      <c r="J89" s="416"/>
      <c r="K89" s="416"/>
      <c r="L89" s="416"/>
      <c r="M89" s="416"/>
      <c r="N89" s="416"/>
      <c r="O89" s="416"/>
      <c r="P89" s="416"/>
      <c r="Q89" s="416"/>
      <c r="R89" s="416"/>
      <c r="S89" s="416"/>
      <c r="T89" s="416"/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</row>
    <row r="90" spans="1:30" ht="12.75" customHeight="1">
      <c r="A90" s="416"/>
      <c r="B90" s="416" t="s">
        <v>80</v>
      </c>
      <c r="C90" s="454"/>
      <c r="D90" s="454"/>
      <c r="E90" s="454"/>
      <c r="F90" s="454"/>
      <c r="G90" s="454"/>
      <c r="H90" s="454"/>
      <c r="I90" s="454"/>
      <c r="J90" s="454"/>
      <c r="K90" s="454"/>
      <c r="L90" s="454"/>
      <c r="M90" s="454"/>
      <c r="N90" s="454"/>
      <c r="O90" s="454"/>
      <c r="P90" s="416"/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416"/>
      <c r="AB90" s="416"/>
      <c r="AC90" s="416"/>
      <c r="AD90" s="416"/>
    </row>
    <row r="91" spans="1:30" ht="18.75" customHeight="1">
      <c r="A91" s="416"/>
      <c r="B91" s="455" t="s">
        <v>50</v>
      </c>
      <c r="C91" s="434" t="s">
        <v>13</v>
      </c>
      <c r="D91" s="434" t="s">
        <v>14</v>
      </c>
      <c r="E91" s="434" t="s">
        <v>15</v>
      </c>
      <c r="F91" s="434" t="s">
        <v>16</v>
      </c>
      <c r="G91" s="434" t="s">
        <v>51</v>
      </c>
      <c r="H91" s="434" t="s">
        <v>18</v>
      </c>
      <c r="I91" s="434" t="s">
        <v>19</v>
      </c>
      <c r="J91" s="434" t="s">
        <v>20</v>
      </c>
      <c r="K91" s="434" t="s">
        <v>21</v>
      </c>
      <c r="L91" s="434" t="s">
        <v>22</v>
      </c>
      <c r="M91" s="434" t="s">
        <v>23</v>
      </c>
      <c r="N91" s="434" t="s">
        <v>24</v>
      </c>
      <c r="O91" s="434" t="s">
        <v>25</v>
      </c>
      <c r="P91" s="416"/>
      <c r="Q91" s="416"/>
      <c r="R91" s="416"/>
      <c r="S91" s="416"/>
      <c r="T91" s="416"/>
      <c r="U91" s="416"/>
      <c r="V91" s="416"/>
      <c r="W91" s="416"/>
      <c r="X91" s="416"/>
      <c r="Y91" s="416"/>
      <c r="Z91" s="416"/>
      <c r="AA91" s="416"/>
      <c r="AB91" s="416"/>
      <c r="AC91" s="416"/>
      <c r="AD91" s="416"/>
    </row>
    <row r="92" spans="1:30" ht="12.75" customHeight="1">
      <c r="A92" s="416"/>
      <c r="B92" s="437" t="s">
        <v>41</v>
      </c>
      <c r="C92" s="450">
        <f>+C76*C25</f>
        <v>78.11999999999999</v>
      </c>
      <c r="D92" s="450">
        <f t="shared" ref="D92:N92" si="14">+D76*D25</f>
        <v>95.759999999999991</v>
      </c>
      <c r="E92" s="450">
        <f t="shared" si="14"/>
        <v>107.88</v>
      </c>
      <c r="F92" s="450">
        <f t="shared" si="14"/>
        <v>57.6</v>
      </c>
      <c r="G92" s="450">
        <f t="shared" si="14"/>
        <v>65.099999999999994</v>
      </c>
      <c r="H92" s="450">
        <f t="shared" si="14"/>
        <v>45</v>
      </c>
      <c r="I92" s="450">
        <f t="shared" si="14"/>
        <v>46.5</v>
      </c>
      <c r="J92" s="450">
        <f t="shared" si="14"/>
        <v>46.5</v>
      </c>
      <c r="K92" s="450">
        <v>19</v>
      </c>
      <c r="L92" s="450">
        <f t="shared" si="14"/>
        <v>0</v>
      </c>
      <c r="M92" s="450">
        <f t="shared" si="14"/>
        <v>48.6</v>
      </c>
      <c r="N92" s="450">
        <f t="shared" si="14"/>
        <v>83.7</v>
      </c>
      <c r="O92" s="450">
        <f t="shared" ref="O92:O98" si="15">SUM(C92:N92)</f>
        <v>693.7600000000001</v>
      </c>
      <c r="P92" s="416"/>
      <c r="Q92" s="416"/>
      <c r="R92" s="416" t="s">
        <v>81</v>
      </c>
      <c r="S92" s="416"/>
      <c r="T92" s="416"/>
      <c r="U92" s="416"/>
      <c r="V92" s="416"/>
      <c r="W92" s="416"/>
      <c r="X92" s="416"/>
      <c r="Y92" s="416"/>
      <c r="Z92" s="416"/>
      <c r="AA92" s="416"/>
      <c r="AB92" s="416"/>
      <c r="AC92" s="416"/>
      <c r="AD92" s="416"/>
    </row>
    <row r="93" spans="1:30" ht="12.75" customHeight="1">
      <c r="A93" s="416"/>
      <c r="B93" s="437" t="s">
        <v>42</v>
      </c>
      <c r="C93" s="450">
        <f t="shared" ref="C93:N97" si="16">+C77*C26</f>
        <v>41.54</v>
      </c>
      <c r="D93" s="450">
        <f t="shared" si="16"/>
        <v>47.6</v>
      </c>
      <c r="E93" s="450">
        <f t="shared" si="16"/>
        <v>55.800000000000004</v>
      </c>
      <c r="F93" s="450">
        <f t="shared" si="16"/>
        <v>37.200000000000003</v>
      </c>
      <c r="G93" s="450">
        <f t="shared" si="16"/>
        <v>32.24</v>
      </c>
      <c r="H93" s="450">
        <f t="shared" si="16"/>
        <v>16.8</v>
      </c>
      <c r="I93" s="450">
        <f t="shared" si="16"/>
        <v>53.94</v>
      </c>
      <c r="J93" s="450">
        <f t="shared" si="16"/>
        <v>38.44</v>
      </c>
      <c r="K93" s="450">
        <v>22</v>
      </c>
      <c r="L93" s="450">
        <f t="shared" si="16"/>
        <v>0</v>
      </c>
      <c r="M93" s="450">
        <f t="shared" si="16"/>
        <v>37.799999999999997</v>
      </c>
      <c r="N93" s="450">
        <f t="shared" si="16"/>
        <v>48.36</v>
      </c>
      <c r="O93" s="450">
        <f t="shared" si="15"/>
        <v>431.72</v>
      </c>
      <c r="P93" s="416"/>
      <c r="Q93" s="416"/>
      <c r="R93" s="416"/>
      <c r="S93" s="416"/>
      <c r="T93" s="416"/>
      <c r="U93" s="416"/>
      <c r="V93" s="416"/>
      <c r="W93" s="416"/>
      <c r="X93" s="416"/>
      <c r="Y93" s="416"/>
      <c r="Z93" s="416"/>
      <c r="AA93" s="416"/>
      <c r="AB93" s="416"/>
      <c r="AC93" s="416"/>
      <c r="AD93" s="416"/>
    </row>
    <row r="94" spans="1:30" ht="12.75" customHeight="1">
      <c r="A94" s="416"/>
      <c r="B94" s="437" t="s">
        <v>43</v>
      </c>
      <c r="C94" s="450">
        <f t="shared" si="16"/>
        <v>80.91</v>
      </c>
      <c r="D94" s="450">
        <f t="shared" si="16"/>
        <v>77.28</v>
      </c>
      <c r="E94" s="450">
        <f t="shared" si="16"/>
        <v>89.28</v>
      </c>
      <c r="F94" s="450">
        <f t="shared" si="16"/>
        <v>74.7</v>
      </c>
      <c r="G94" s="450">
        <f t="shared" si="16"/>
        <v>52.080000000000005</v>
      </c>
      <c r="H94" s="450">
        <f t="shared" si="16"/>
        <v>48.6</v>
      </c>
      <c r="I94" s="450">
        <f t="shared" si="16"/>
        <v>70.680000000000007</v>
      </c>
      <c r="J94" s="450">
        <f t="shared" si="16"/>
        <v>32.549999999999997</v>
      </c>
      <c r="K94" s="450">
        <v>28</v>
      </c>
      <c r="L94" s="450">
        <f t="shared" si="16"/>
        <v>0</v>
      </c>
      <c r="M94" s="450">
        <f t="shared" si="16"/>
        <v>32.4</v>
      </c>
      <c r="N94" s="450">
        <f t="shared" si="16"/>
        <v>82.77</v>
      </c>
      <c r="O94" s="450">
        <f t="shared" si="15"/>
        <v>669.25</v>
      </c>
      <c r="P94" s="416"/>
      <c r="Q94" s="416"/>
      <c r="R94" s="416" t="s">
        <v>82</v>
      </c>
      <c r="S94" s="416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/>
    </row>
    <row r="95" spans="1:30" ht="12.75" customHeight="1">
      <c r="A95" s="416"/>
      <c r="B95" s="437" t="s">
        <v>44</v>
      </c>
      <c r="C95" s="450">
        <f t="shared" si="16"/>
        <v>111.60000000000001</v>
      </c>
      <c r="D95" s="450">
        <f t="shared" si="16"/>
        <v>123.20000000000002</v>
      </c>
      <c r="E95" s="450">
        <f t="shared" si="16"/>
        <v>138.88000000000002</v>
      </c>
      <c r="F95" s="450">
        <f t="shared" si="16"/>
        <v>67.2</v>
      </c>
      <c r="G95" s="450">
        <f t="shared" si="16"/>
        <v>44.64</v>
      </c>
      <c r="H95" s="450">
        <f t="shared" si="16"/>
        <v>36</v>
      </c>
      <c r="I95" s="450">
        <f t="shared" si="16"/>
        <v>59.519999999999996</v>
      </c>
      <c r="J95" s="450">
        <v>4</v>
      </c>
      <c r="K95" s="450">
        <f t="shared" si="16"/>
        <v>24</v>
      </c>
      <c r="L95" s="450">
        <f t="shared" si="16"/>
        <v>0</v>
      </c>
      <c r="M95" s="450">
        <f t="shared" si="16"/>
        <v>72</v>
      </c>
      <c r="N95" s="450">
        <f t="shared" si="16"/>
        <v>114.08</v>
      </c>
      <c r="O95" s="450">
        <f t="shared" si="15"/>
        <v>795.12</v>
      </c>
      <c r="P95" s="416"/>
      <c r="Q95" s="416"/>
      <c r="R95" s="416"/>
      <c r="S95" s="416"/>
      <c r="T95" s="416"/>
      <c r="U95" s="416"/>
      <c r="V95" s="416"/>
      <c r="W95" s="416"/>
      <c r="X95" s="416"/>
      <c r="Y95" s="416"/>
      <c r="Z95" s="416"/>
      <c r="AA95" s="416"/>
      <c r="AB95" s="416"/>
      <c r="AC95" s="416"/>
      <c r="AD95" s="416"/>
    </row>
    <row r="96" spans="1:30" ht="12.75" customHeight="1">
      <c r="A96" s="416"/>
      <c r="B96" s="437" t="s">
        <v>45</v>
      </c>
      <c r="C96" s="450">
        <f t="shared" si="16"/>
        <v>139.5</v>
      </c>
      <c r="D96" s="450">
        <f t="shared" si="16"/>
        <v>128.80000000000001</v>
      </c>
      <c r="E96" s="450">
        <f t="shared" si="16"/>
        <v>139.5</v>
      </c>
      <c r="F96" s="450">
        <f t="shared" si="16"/>
        <v>78</v>
      </c>
      <c r="G96" s="450">
        <f t="shared" si="16"/>
        <v>55.8</v>
      </c>
      <c r="H96" s="450">
        <f t="shared" si="16"/>
        <v>52.5</v>
      </c>
      <c r="I96" s="450">
        <f t="shared" si="16"/>
        <v>74.399999999999991</v>
      </c>
      <c r="J96" s="450">
        <f t="shared" si="16"/>
        <v>93</v>
      </c>
      <c r="K96" s="450">
        <f t="shared" si="16"/>
        <v>18</v>
      </c>
      <c r="L96" s="450">
        <f t="shared" si="16"/>
        <v>0</v>
      </c>
      <c r="M96" s="450">
        <f t="shared" si="16"/>
        <v>91.5</v>
      </c>
      <c r="N96" s="450">
        <f t="shared" si="16"/>
        <v>144.15</v>
      </c>
      <c r="O96" s="450">
        <f t="shared" si="15"/>
        <v>1015.15</v>
      </c>
      <c r="P96" s="416"/>
      <c r="Q96" s="416"/>
      <c r="R96" s="416" t="s">
        <v>78</v>
      </c>
      <c r="S96" s="416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  <c r="AD96" s="416"/>
    </row>
    <row r="97" spans="1:30" ht="12.75" customHeight="1">
      <c r="A97" s="416"/>
      <c r="B97" s="437" t="s">
        <v>46</v>
      </c>
      <c r="C97" s="450">
        <f t="shared" si="16"/>
        <v>85.56</v>
      </c>
      <c r="D97" s="450">
        <f t="shared" si="16"/>
        <v>75.600000000000009</v>
      </c>
      <c r="E97" s="450">
        <f t="shared" si="16"/>
        <v>89.28</v>
      </c>
      <c r="F97" s="450">
        <f t="shared" si="16"/>
        <v>66.599999999999994</v>
      </c>
      <c r="G97" s="450">
        <f t="shared" si="16"/>
        <v>50.220000000000006</v>
      </c>
      <c r="H97" s="450">
        <f t="shared" si="16"/>
        <v>37.799999999999997</v>
      </c>
      <c r="I97" s="450">
        <f t="shared" si="16"/>
        <v>59.52</v>
      </c>
      <c r="J97" s="450">
        <f t="shared" si="16"/>
        <v>57.66</v>
      </c>
      <c r="K97" s="450">
        <f t="shared" si="16"/>
        <v>19.8</v>
      </c>
      <c r="L97" s="450">
        <f t="shared" si="16"/>
        <v>0</v>
      </c>
      <c r="M97" s="450">
        <f t="shared" si="16"/>
        <v>59.400000000000006</v>
      </c>
      <c r="N97" s="450">
        <f t="shared" si="16"/>
        <v>72.540000000000006</v>
      </c>
      <c r="O97" s="450">
        <f t="shared" si="15"/>
        <v>673.9799999999999</v>
      </c>
      <c r="P97" s="416"/>
      <c r="Q97" s="416"/>
      <c r="R97" s="416"/>
      <c r="S97" s="416"/>
      <c r="T97" s="416"/>
      <c r="U97" s="416"/>
      <c r="V97" s="416"/>
      <c r="W97" s="416"/>
      <c r="X97" s="416"/>
      <c r="Y97" s="416"/>
      <c r="Z97" s="416"/>
      <c r="AA97" s="416"/>
      <c r="AB97" s="416"/>
      <c r="AC97" s="416"/>
      <c r="AD97" s="416"/>
    </row>
    <row r="98" spans="1:30" ht="12.75" customHeight="1">
      <c r="A98" s="416"/>
      <c r="B98" s="416" t="s">
        <v>25</v>
      </c>
      <c r="C98" s="451">
        <f t="shared" ref="C98:N98" si="17">SUM(C92:C97)</f>
        <v>537.23</v>
      </c>
      <c r="D98" s="451">
        <f t="shared" si="17"/>
        <v>548.24</v>
      </c>
      <c r="E98" s="451">
        <f t="shared" si="17"/>
        <v>620.62</v>
      </c>
      <c r="F98" s="451">
        <f t="shared" si="17"/>
        <v>381.29999999999995</v>
      </c>
      <c r="G98" s="451">
        <f t="shared" si="17"/>
        <v>300.08000000000004</v>
      </c>
      <c r="H98" s="451">
        <f t="shared" si="17"/>
        <v>236.7</v>
      </c>
      <c r="I98" s="451">
        <f t="shared" si="17"/>
        <v>364.55999999999995</v>
      </c>
      <c r="J98" s="451">
        <f t="shared" si="17"/>
        <v>272.14999999999998</v>
      </c>
      <c r="K98" s="451">
        <f t="shared" si="17"/>
        <v>130.80000000000001</v>
      </c>
      <c r="L98" s="451">
        <f t="shared" si="17"/>
        <v>0</v>
      </c>
      <c r="M98" s="451">
        <f t="shared" si="17"/>
        <v>341.70000000000005</v>
      </c>
      <c r="N98" s="451">
        <f t="shared" si="17"/>
        <v>545.59999999999991</v>
      </c>
      <c r="O98" s="451">
        <f t="shared" si="15"/>
        <v>4278.9799999999996</v>
      </c>
      <c r="P98" s="416"/>
      <c r="Q98" s="416"/>
      <c r="R98" s="416"/>
      <c r="S98" s="416"/>
      <c r="T98" s="416"/>
      <c r="U98" s="416"/>
      <c r="V98" s="416"/>
      <c r="W98" s="416"/>
      <c r="X98" s="416"/>
      <c r="Y98" s="416"/>
      <c r="Z98" s="416"/>
      <c r="AA98" s="416"/>
      <c r="AB98" s="416"/>
      <c r="AC98" s="416"/>
      <c r="AD98" s="416"/>
    </row>
    <row r="99" spans="1:30" ht="20.25" customHeight="1">
      <c r="A99" s="416"/>
      <c r="B99" s="416"/>
      <c r="C99" s="452">
        <f t="shared" ref="C99:N99" si="18">+C98/C32</f>
        <v>0.57766666666666666</v>
      </c>
      <c r="D99" s="452">
        <f t="shared" si="18"/>
        <v>0.65266666666666673</v>
      </c>
      <c r="E99" s="452">
        <f t="shared" si="18"/>
        <v>0.66733333333333333</v>
      </c>
      <c r="F99" s="452">
        <f t="shared" si="18"/>
        <v>0.42366666666666664</v>
      </c>
      <c r="G99" s="452">
        <f t="shared" si="18"/>
        <v>0.32266666666666671</v>
      </c>
      <c r="H99" s="452">
        <f t="shared" si="18"/>
        <v>0.26300000000000001</v>
      </c>
      <c r="I99" s="452">
        <f t="shared" si="18"/>
        <v>0.39199999999999996</v>
      </c>
      <c r="J99" s="452">
        <f t="shared" si="18"/>
        <v>0.29263440860215051</v>
      </c>
      <c r="K99" s="452">
        <f>+K98/K32</f>
        <v>0.14533333333333334</v>
      </c>
      <c r="L99" s="452" t="e">
        <f t="shared" si="18"/>
        <v>#DIV/0!</v>
      </c>
      <c r="M99" s="452">
        <f t="shared" si="18"/>
        <v>0.37966666666666671</v>
      </c>
      <c r="N99" s="452">
        <f t="shared" si="18"/>
        <v>0.58666666666666656</v>
      </c>
      <c r="O99" s="453">
        <f>+O98/O32</f>
        <v>0.42704391217564863</v>
      </c>
      <c r="P99" s="416"/>
      <c r="Q99" s="416"/>
      <c r="R99" s="416"/>
      <c r="S99" s="416"/>
      <c r="T99" s="416"/>
      <c r="U99" s="416"/>
      <c r="V99" s="416"/>
      <c r="W99" s="416"/>
      <c r="X99" s="416"/>
      <c r="Y99" s="416"/>
      <c r="Z99" s="416"/>
      <c r="AA99" s="416"/>
      <c r="AB99" s="416"/>
      <c r="AC99" s="416"/>
      <c r="AD99" s="416"/>
    </row>
    <row r="100" spans="1:30" ht="12.75" customHeight="1">
      <c r="A100" s="416"/>
      <c r="B100" s="416"/>
      <c r="C100" s="416"/>
      <c r="D100" s="416"/>
      <c r="E100" s="416"/>
      <c r="F100" s="416"/>
      <c r="G100" s="416"/>
      <c r="H100" s="416"/>
      <c r="I100" s="416"/>
      <c r="J100" s="416"/>
      <c r="K100" s="416"/>
      <c r="L100" s="416"/>
      <c r="M100" s="416"/>
      <c r="N100" s="416"/>
      <c r="O100" s="416"/>
      <c r="P100" s="416"/>
      <c r="Q100" s="416"/>
      <c r="R100" s="416"/>
      <c r="S100" s="416"/>
      <c r="T100" s="416"/>
      <c r="U100" s="416"/>
      <c r="V100" s="416"/>
      <c r="W100" s="416"/>
      <c r="X100" s="416"/>
      <c r="Y100" s="416"/>
      <c r="Z100" s="416"/>
      <c r="AA100" s="416"/>
      <c r="AB100" s="416"/>
      <c r="AC100" s="416"/>
      <c r="AD100" s="416"/>
    </row>
    <row r="101" spans="1:30" ht="12.75" customHeight="1">
      <c r="A101" s="416"/>
      <c r="B101" s="416"/>
      <c r="C101" s="416"/>
      <c r="D101" s="416"/>
      <c r="E101" s="416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  <c r="V101" s="416"/>
      <c r="W101" s="416"/>
      <c r="X101" s="416"/>
      <c r="Y101" s="416"/>
      <c r="Z101" s="416"/>
      <c r="AA101" s="416"/>
      <c r="AB101" s="416"/>
      <c r="AC101" s="416"/>
      <c r="AD101" s="416"/>
    </row>
    <row r="102" spans="1:30" ht="30" customHeight="1">
      <c r="A102" s="416"/>
      <c r="B102" s="426" t="s">
        <v>83</v>
      </c>
      <c r="C102" s="416"/>
      <c r="D102" s="416"/>
      <c r="E102" s="416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6"/>
      <c r="Y102" s="416"/>
      <c r="Z102" s="416"/>
      <c r="AA102" s="416"/>
      <c r="AB102" s="416"/>
      <c r="AC102" s="416"/>
      <c r="AD102" s="416"/>
    </row>
    <row r="103" spans="1:30" ht="12.75" customHeight="1">
      <c r="A103" s="416"/>
      <c r="B103" s="416"/>
      <c r="C103" s="416"/>
      <c r="D103" s="416"/>
      <c r="E103" s="416"/>
      <c r="F103" s="416"/>
      <c r="G103" s="416"/>
      <c r="H103" s="416"/>
      <c r="I103" s="416"/>
      <c r="J103" s="416"/>
      <c r="K103" s="416"/>
      <c r="L103" s="416"/>
      <c r="M103" s="416"/>
      <c r="N103" s="416"/>
      <c r="O103" s="416"/>
      <c r="P103" s="416"/>
      <c r="Q103" s="416"/>
      <c r="R103" s="416"/>
      <c r="S103" s="416"/>
      <c r="T103" s="416"/>
      <c r="U103" s="416"/>
      <c r="V103" s="416"/>
      <c r="W103" s="416"/>
      <c r="X103" s="416"/>
      <c r="Y103" s="416"/>
      <c r="Z103" s="416"/>
      <c r="AA103" s="416"/>
      <c r="AB103" s="416"/>
      <c r="AC103" s="416"/>
      <c r="AD103" s="416"/>
    </row>
    <row r="104" spans="1:30" ht="12.75" customHeight="1">
      <c r="A104" s="416"/>
      <c r="B104" s="416"/>
      <c r="C104" s="416"/>
      <c r="D104" s="416"/>
      <c r="E104" s="416"/>
      <c r="F104" s="416"/>
      <c r="G104" s="416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16"/>
      <c r="S104" s="416"/>
      <c r="T104" s="416"/>
      <c r="U104" s="416"/>
      <c r="V104" s="416"/>
      <c r="W104" s="416"/>
      <c r="X104" s="416"/>
      <c r="Y104" s="416"/>
      <c r="Z104" s="416"/>
      <c r="AA104" s="416"/>
      <c r="AB104" s="416"/>
      <c r="AC104" s="416"/>
      <c r="AD104" s="416"/>
    </row>
    <row r="105" spans="1:30" ht="12.75" customHeight="1">
      <c r="A105" s="416"/>
      <c r="B105" s="416" t="s">
        <v>80</v>
      </c>
      <c r="C105" s="454">
        <f t="shared" ref="C105:N105" si="19">+C90</f>
        <v>0</v>
      </c>
      <c r="D105" s="454">
        <f t="shared" si="19"/>
        <v>0</v>
      </c>
      <c r="E105" s="454">
        <f t="shared" si="19"/>
        <v>0</v>
      </c>
      <c r="F105" s="454">
        <f t="shared" si="19"/>
        <v>0</v>
      </c>
      <c r="G105" s="454">
        <f t="shared" si="19"/>
        <v>0</v>
      </c>
      <c r="H105" s="454">
        <f t="shared" si="19"/>
        <v>0</v>
      </c>
      <c r="I105" s="454">
        <f t="shared" si="19"/>
        <v>0</v>
      </c>
      <c r="J105" s="454">
        <f t="shared" si="19"/>
        <v>0</v>
      </c>
      <c r="K105" s="454">
        <f t="shared" si="19"/>
        <v>0</v>
      </c>
      <c r="L105" s="454">
        <f t="shared" si="19"/>
        <v>0</v>
      </c>
      <c r="M105" s="454">
        <f t="shared" si="19"/>
        <v>0</v>
      </c>
      <c r="N105" s="454">
        <f t="shared" si="19"/>
        <v>0</v>
      </c>
      <c r="O105" s="454"/>
      <c r="P105" s="416"/>
      <c r="Q105" s="416"/>
      <c r="R105" s="416"/>
      <c r="S105" s="416"/>
      <c r="T105" s="416"/>
      <c r="U105" s="416"/>
      <c r="V105" s="416"/>
      <c r="W105" s="416"/>
      <c r="X105" s="416"/>
      <c r="Y105" s="416"/>
      <c r="Z105" s="416"/>
      <c r="AA105" s="416"/>
      <c r="AB105" s="416"/>
      <c r="AC105" s="416"/>
      <c r="AD105" s="416"/>
    </row>
    <row r="106" spans="1:30" ht="18.75" customHeight="1">
      <c r="A106" s="416"/>
      <c r="B106" s="433" t="s">
        <v>50</v>
      </c>
      <c r="C106" s="434" t="s">
        <v>13</v>
      </c>
      <c r="D106" s="434" t="s">
        <v>14</v>
      </c>
      <c r="E106" s="434" t="s">
        <v>15</v>
      </c>
      <c r="F106" s="434" t="s">
        <v>16</v>
      </c>
      <c r="G106" s="434" t="s">
        <v>51</v>
      </c>
      <c r="H106" s="434" t="s">
        <v>18</v>
      </c>
      <c r="I106" s="434" t="s">
        <v>19</v>
      </c>
      <c r="J106" s="434" t="s">
        <v>20</v>
      </c>
      <c r="K106" s="434" t="s">
        <v>21</v>
      </c>
      <c r="L106" s="434" t="s">
        <v>22</v>
      </c>
      <c r="M106" s="434" t="s">
        <v>23</v>
      </c>
      <c r="N106" s="434" t="s">
        <v>24</v>
      </c>
      <c r="O106" s="434" t="s">
        <v>25</v>
      </c>
      <c r="P106" s="416"/>
      <c r="Q106" s="416"/>
      <c r="R106" s="416"/>
      <c r="S106" s="416"/>
      <c r="T106" s="416"/>
      <c r="U106" s="416"/>
      <c r="V106" s="416"/>
      <c r="W106" s="416"/>
      <c r="X106" s="416"/>
      <c r="Y106" s="416"/>
      <c r="Z106" s="416"/>
      <c r="AA106" s="416"/>
      <c r="AB106" s="416"/>
      <c r="AC106" s="416"/>
      <c r="AD106" s="416"/>
    </row>
    <row r="107" spans="1:30" ht="12.75" customHeight="1">
      <c r="A107" s="416"/>
      <c r="B107" s="437" t="s">
        <v>41</v>
      </c>
      <c r="C107" s="456">
        <f t="shared" ref="C107:N112" si="20">+C92*C38</f>
        <v>56636.999999999993</v>
      </c>
      <c r="D107" s="456">
        <f t="shared" si="20"/>
        <v>69426</v>
      </c>
      <c r="E107" s="456">
        <f t="shared" si="20"/>
        <v>78213</v>
      </c>
      <c r="F107" s="456">
        <f t="shared" si="20"/>
        <v>41760</v>
      </c>
      <c r="G107" s="456">
        <f t="shared" si="20"/>
        <v>40036.5</v>
      </c>
      <c r="H107" s="456">
        <f t="shared" si="20"/>
        <v>27675</v>
      </c>
      <c r="I107" s="456">
        <f t="shared" si="20"/>
        <v>28597.5</v>
      </c>
      <c r="J107" s="456">
        <f t="shared" si="20"/>
        <v>28597.5</v>
      </c>
      <c r="K107" s="456">
        <f t="shared" si="20"/>
        <v>10640</v>
      </c>
      <c r="L107" s="456">
        <f t="shared" si="20"/>
        <v>0</v>
      </c>
      <c r="M107" s="456">
        <f t="shared" si="20"/>
        <v>27945</v>
      </c>
      <c r="N107" s="456">
        <f t="shared" si="20"/>
        <v>69471</v>
      </c>
      <c r="O107" s="456">
        <f t="shared" ref="O107:O112" si="21">SUM(C107:N107)</f>
        <v>478998.5</v>
      </c>
      <c r="P107" s="416"/>
      <c r="Q107" s="416"/>
      <c r="R107" s="416"/>
      <c r="S107" s="416"/>
      <c r="T107" s="416"/>
      <c r="U107" s="416"/>
      <c r="V107" s="416"/>
      <c r="W107" s="416"/>
      <c r="X107" s="416"/>
      <c r="Y107" s="416"/>
      <c r="Z107" s="416"/>
      <c r="AA107" s="416"/>
      <c r="AB107" s="416"/>
      <c r="AC107" s="416"/>
      <c r="AD107" s="416"/>
    </row>
    <row r="108" spans="1:30" ht="12.75" customHeight="1">
      <c r="A108" s="416"/>
      <c r="B108" s="437" t="s">
        <v>42</v>
      </c>
      <c r="C108" s="456">
        <f t="shared" si="20"/>
        <v>27831.8</v>
      </c>
      <c r="D108" s="456">
        <f t="shared" si="20"/>
        <v>31892</v>
      </c>
      <c r="E108" s="456">
        <f t="shared" si="20"/>
        <v>37386</v>
      </c>
      <c r="F108" s="456">
        <f t="shared" si="20"/>
        <v>23622</v>
      </c>
      <c r="G108" s="456">
        <f t="shared" si="20"/>
        <v>18215.600000000002</v>
      </c>
      <c r="H108" s="456">
        <f t="shared" si="20"/>
        <v>9492</v>
      </c>
      <c r="I108" s="456">
        <f t="shared" si="20"/>
        <v>30476.1</v>
      </c>
      <c r="J108" s="456">
        <f t="shared" si="20"/>
        <v>21718.6</v>
      </c>
      <c r="K108" s="456">
        <f t="shared" si="20"/>
        <v>11330</v>
      </c>
      <c r="L108" s="456">
        <f t="shared" si="20"/>
        <v>0</v>
      </c>
      <c r="M108" s="456">
        <f t="shared" si="20"/>
        <v>20223</v>
      </c>
      <c r="N108" s="456">
        <f t="shared" si="20"/>
        <v>37479</v>
      </c>
      <c r="O108" s="456">
        <f t="shared" si="21"/>
        <v>269666.09999999998</v>
      </c>
      <c r="P108" s="416"/>
      <c r="Q108" s="416"/>
      <c r="R108" s="416"/>
      <c r="S108" s="416"/>
      <c r="T108" s="416"/>
      <c r="U108" s="416"/>
      <c r="V108" s="416"/>
      <c r="W108" s="416"/>
      <c r="X108" s="416"/>
      <c r="Y108" s="416"/>
      <c r="Z108" s="416"/>
      <c r="AA108" s="416"/>
      <c r="AB108" s="416"/>
      <c r="AC108" s="416"/>
      <c r="AD108" s="416"/>
    </row>
    <row r="109" spans="1:30" ht="12.75" customHeight="1">
      <c r="A109" s="416"/>
      <c r="B109" s="437" t="s">
        <v>43</v>
      </c>
      <c r="C109" s="456">
        <f t="shared" si="20"/>
        <v>43691.4</v>
      </c>
      <c r="D109" s="456">
        <f t="shared" si="20"/>
        <v>41731.199999999997</v>
      </c>
      <c r="E109" s="456">
        <f t="shared" si="20"/>
        <v>48211.199999999997</v>
      </c>
      <c r="F109" s="456">
        <f t="shared" si="20"/>
        <v>38097</v>
      </c>
      <c r="G109" s="456">
        <f t="shared" si="20"/>
        <v>23175.600000000002</v>
      </c>
      <c r="H109" s="456">
        <f t="shared" si="20"/>
        <v>21627</v>
      </c>
      <c r="I109" s="456">
        <f t="shared" si="20"/>
        <v>31452.600000000002</v>
      </c>
      <c r="J109" s="456">
        <f t="shared" si="20"/>
        <v>14484.749999999998</v>
      </c>
      <c r="K109" s="456">
        <f t="shared" si="20"/>
        <v>11340</v>
      </c>
      <c r="L109" s="456">
        <f t="shared" si="20"/>
        <v>0</v>
      </c>
      <c r="M109" s="456">
        <f t="shared" si="20"/>
        <v>13446</v>
      </c>
      <c r="N109" s="456">
        <f t="shared" si="20"/>
        <v>52145.1</v>
      </c>
      <c r="O109" s="456">
        <f t="shared" si="21"/>
        <v>339401.85</v>
      </c>
      <c r="P109" s="416"/>
      <c r="Q109" s="416"/>
      <c r="R109" s="416"/>
      <c r="S109" s="416"/>
      <c r="T109" s="416"/>
      <c r="U109" s="416"/>
      <c r="V109" s="416"/>
      <c r="W109" s="416"/>
      <c r="X109" s="416"/>
      <c r="Y109" s="416"/>
      <c r="Z109" s="416"/>
      <c r="AA109" s="416"/>
      <c r="AB109" s="416"/>
      <c r="AC109" s="416"/>
      <c r="AD109" s="416"/>
    </row>
    <row r="110" spans="1:30" ht="12.75" customHeight="1">
      <c r="A110" s="416"/>
      <c r="B110" s="437" t="s">
        <v>44</v>
      </c>
      <c r="C110" s="456">
        <f t="shared" si="20"/>
        <v>54126.000000000007</v>
      </c>
      <c r="D110" s="456">
        <f t="shared" si="20"/>
        <v>59752.000000000007</v>
      </c>
      <c r="E110" s="456">
        <f t="shared" si="20"/>
        <v>67356.800000000017</v>
      </c>
      <c r="F110" s="456">
        <f t="shared" si="20"/>
        <v>29904</v>
      </c>
      <c r="G110" s="456">
        <f t="shared" si="20"/>
        <v>17632.8</v>
      </c>
      <c r="H110" s="456">
        <f t="shared" si="20"/>
        <v>14220</v>
      </c>
      <c r="I110" s="456">
        <f t="shared" si="20"/>
        <v>23510.399999999998</v>
      </c>
      <c r="J110" s="456">
        <f t="shared" si="20"/>
        <v>1580</v>
      </c>
      <c r="K110" s="456">
        <f t="shared" si="20"/>
        <v>8640</v>
      </c>
      <c r="L110" s="456">
        <f t="shared" si="20"/>
        <v>0</v>
      </c>
      <c r="M110" s="456">
        <f t="shared" si="20"/>
        <v>27000</v>
      </c>
      <c r="N110" s="456">
        <f t="shared" si="20"/>
        <v>65596</v>
      </c>
      <c r="O110" s="456">
        <f t="shared" si="21"/>
        <v>369318.00000000006</v>
      </c>
      <c r="P110" s="416"/>
      <c r="Q110" s="416"/>
      <c r="R110" s="416"/>
      <c r="S110" s="416"/>
      <c r="T110" s="416"/>
      <c r="U110" s="416"/>
      <c r="V110" s="416"/>
      <c r="W110" s="416"/>
      <c r="X110" s="416"/>
      <c r="Y110" s="416"/>
      <c r="Z110" s="416"/>
      <c r="AA110" s="416"/>
      <c r="AB110" s="416"/>
      <c r="AC110" s="416"/>
      <c r="AD110" s="416"/>
    </row>
    <row r="111" spans="1:30" ht="12.75" customHeight="1">
      <c r="A111" s="416"/>
      <c r="B111" s="437" t="s">
        <v>45</v>
      </c>
      <c r="C111" s="456">
        <f t="shared" si="20"/>
        <v>141592.5</v>
      </c>
      <c r="D111" s="456">
        <f t="shared" si="20"/>
        <v>130732.00000000001</v>
      </c>
      <c r="E111" s="456">
        <f t="shared" si="20"/>
        <v>141592.5</v>
      </c>
      <c r="F111" s="456">
        <f t="shared" si="20"/>
        <v>75660</v>
      </c>
      <c r="G111" s="456">
        <f t="shared" si="20"/>
        <v>48825</v>
      </c>
      <c r="H111" s="456">
        <f t="shared" si="20"/>
        <v>45937.5</v>
      </c>
      <c r="I111" s="456">
        <f t="shared" si="20"/>
        <v>65099.999999999993</v>
      </c>
      <c r="J111" s="456">
        <f t="shared" si="20"/>
        <v>81375</v>
      </c>
      <c r="K111" s="456">
        <f t="shared" si="20"/>
        <v>14580</v>
      </c>
      <c r="L111" s="456">
        <f t="shared" si="20"/>
        <v>0</v>
      </c>
      <c r="M111" s="456">
        <f t="shared" si="20"/>
        <v>77317.5</v>
      </c>
      <c r="N111" s="456">
        <f t="shared" si="20"/>
        <v>165772.5</v>
      </c>
      <c r="O111" s="456">
        <f t="shared" si="21"/>
        <v>988484.5</v>
      </c>
      <c r="P111" s="416"/>
      <c r="Q111" s="416"/>
      <c r="R111" s="416"/>
      <c r="S111" s="416"/>
      <c r="T111" s="416"/>
      <c r="U111" s="416"/>
      <c r="V111" s="416"/>
      <c r="W111" s="416"/>
      <c r="X111" s="416"/>
      <c r="Y111" s="416"/>
      <c r="Z111" s="416"/>
      <c r="AA111" s="416"/>
      <c r="AB111" s="416"/>
      <c r="AC111" s="416"/>
      <c r="AD111" s="416"/>
    </row>
    <row r="112" spans="1:30" ht="12.75" customHeight="1">
      <c r="A112" s="416"/>
      <c r="B112" s="437" t="s">
        <v>46</v>
      </c>
      <c r="C112" s="456">
        <f t="shared" si="20"/>
        <v>96682.8</v>
      </c>
      <c r="D112" s="456">
        <f t="shared" si="20"/>
        <v>85428.000000000015</v>
      </c>
      <c r="E112" s="456">
        <f t="shared" si="20"/>
        <v>100886.39999999999</v>
      </c>
      <c r="F112" s="456">
        <f t="shared" si="20"/>
        <v>70929</v>
      </c>
      <c r="G112" s="456">
        <f t="shared" si="20"/>
        <v>49215.600000000006</v>
      </c>
      <c r="H112" s="456">
        <f t="shared" si="20"/>
        <v>37044</v>
      </c>
      <c r="I112" s="456">
        <f t="shared" si="20"/>
        <v>58329.600000000006</v>
      </c>
      <c r="J112" s="456">
        <f t="shared" si="20"/>
        <v>56506.799999999996</v>
      </c>
      <c r="K112" s="456">
        <f t="shared" si="20"/>
        <v>18018</v>
      </c>
      <c r="L112" s="456">
        <f t="shared" si="20"/>
        <v>0</v>
      </c>
      <c r="M112" s="456">
        <f t="shared" si="20"/>
        <v>57321.000000000007</v>
      </c>
      <c r="N112" s="456">
        <f t="shared" si="20"/>
        <v>92996.280000000013</v>
      </c>
      <c r="O112" s="456">
        <f t="shared" si="21"/>
        <v>723357.4800000001</v>
      </c>
      <c r="P112" s="416"/>
      <c r="Q112" s="416"/>
      <c r="R112" s="416"/>
      <c r="S112" s="416"/>
      <c r="T112" s="416"/>
      <c r="U112" s="416"/>
      <c r="V112" s="416"/>
      <c r="W112" s="416"/>
      <c r="X112" s="416"/>
      <c r="Y112" s="416"/>
      <c r="Z112" s="416"/>
      <c r="AA112" s="416"/>
      <c r="AB112" s="416"/>
      <c r="AC112" s="416"/>
      <c r="AD112" s="416"/>
    </row>
    <row r="113" spans="1:30" ht="12.75" customHeight="1">
      <c r="A113" s="416"/>
      <c r="B113" s="416"/>
      <c r="C113" s="457"/>
      <c r="D113" s="457"/>
      <c r="E113" s="457"/>
      <c r="F113" s="457"/>
      <c r="G113" s="457"/>
      <c r="H113" s="457"/>
      <c r="I113" s="457"/>
      <c r="J113" s="457"/>
      <c r="K113" s="457"/>
      <c r="L113" s="457"/>
      <c r="M113" s="457"/>
      <c r="N113" s="457"/>
      <c r="O113" s="457"/>
      <c r="P113" s="416"/>
      <c r="Q113" s="416"/>
      <c r="R113" s="416"/>
      <c r="S113" s="416"/>
      <c r="T113" s="416"/>
      <c r="U113" s="416"/>
      <c r="V113" s="416"/>
      <c r="W113" s="416"/>
      <c r="X113" s="416"/>
      <c r="Y113" s="416"/>
      <c r="Z113" s="416"/>
      <c r="AA113" s="416"/>
      <c r="AB113" s="416"/>
      <c r="AC113" s="416"/>
      <c r="AD113" s="416"/>
    </row>
    <row r="114" spans="1:30" ht="12.75" customHeight="1">
      <c r="A114" s="416"/>
      <c r="B114" s="458" t="s">
        <v>25</v>
      </c>
      <c r="C114" s="459">
        <f>SUM(C107:C113)</f>
        <v>420561.49999999994</v>
      </c>
      <c r="D114" s="459">
        <f>SUM(D107:D113)</f>
        <v>418961.2</v>
      </c>
      <c r="E114" s="459">
        <f>SUM(E107:E113)</f>
        <v>473645.9</v>
      </c>
      <c r="F114" s="459">
        <f>SUM(F107:F113)</f>
        <v>279972</v>
      </c>
      <c r="G114" s="459">
        <f t="shared" ref="G114:N114" si="22">SUM(G107:G113)</f>
        <v>197101.1</v>
      </c>
      <c r="H114" s="459">
        <f t="shared" si="22"/>
        <v>155995.5</v>
      </c>
      <c r="I114" s="459">
        <f t="shared" si="22"/>
        <v>237466.19999999998</v>
      </c>
      <c r="J114" s="459">
        <f t="shared" si="22"/>
        <v>204262.65</v>
      </c>
      <c r="K114" s="459">
        <f t="shared" si="22"/>
        <v>74548</v>
      </c>
      <c r="L114" s="459">
        <f t="shared" si="22"/>
        <v>0</v>
      </c>
      <c r="M114" s="459">
        <f t="shared" si="22"/>
        <v>223252.5</v>
      </c>
      <c r="N114" s="459">
        <f t="shared" si="22"/>
        <v>483459.88</v>
      </c>
      <c r="O114" s="459">
        <f>SUM(C114:N114)</f>
        <v>3169226.43</v>
      </c>
      <c r="P114" s="416"/>
      <c r="Q114" s="416"/>
      <c r="R114" s="416"/>
      <c r="S114" s="416"/>
      <c r="T114" s="416"/>
      <c r="U114" s="416"/>
      <c r="V114" s="416"/>
      <c r="W114" s="416"/>
      <c r="X114" s="416"/>
      <c r="Y114" s="416"/>
      <c r="Z114" s="416"/>
      <c r="AA114" s="416"/>
      <c r="AB114" s="416"/>
      <c r="AC114" s="416"/>
      <c r="AD114" s="416"/>
    </row>
    <row r="115" spans="1:30" ht="12.75" customHeight="1">
      <c r="A115" s="416"/>
      <c r="B115" s="416"/>
      <c r="C115" s="416"/>
      <c r="D115" s="416"/>
      <c r="E115" s="416"/>
      <c r="F115" s="416"/>
      <c r="G115" s="416"/>
      <c r="H115" s="416"/>
      <c r="I115" s="416"/>
      <c r="J115" s="416"/>
      <c r="K115" s="416"/>
      <c r="L115" s="416"/>
      <c r="M115" s="416"/>
      <c r="N115" s="416"/>
      <c r="O115" s="416"/>
      <c r="P115" s="416"/>
      <c r="Q115" s="416"/>
      <c r="R115" s="416"/>
      <c r="S115" s="416"/>
      <c r="T115" s="416"/>
      <c r="U115" s="416"/>
      <c r="V115" s="416"/>
      <c r="W115" s="416"/>
      <c r="X115" s="416"/>
      <c r="Y115" s="416"/>
      <c r="Z115" s="416"/>
      <c r="AA115" s="416"/>
      <c r="AB115" s="416"/>
      <c r="AC115" s="416"/>
      <c r="AD115" s="416"/>
    </row>
    <row r="116" spans="1:30" ht="12.75" customHeight="1">
      <c r="A116" s="416"/>
      <c r="B116" s="416"/>
      <c r="C116" s="416"/>
      <c r="D116" s="416"/>
      <c r="E116" s="416"/>
      <c r="F116" s="416"/>
      <c r="G116" s="416"/>
      <c r="H116" s="416"/>
      <c r="I116" s="416"/>
      <c r="J116" s="416"/>
      <c r="K116" s="416"/>
      <c r="L116" s="416"/>
      <c r="M116" s="416"/>
      <c r="N116" s="416"/>
      <c r="O116" s="416"/>
      <c r="P116" s="416"/>
      <c r="Q116" s="416"/>
      <c r="R116" s="416"/>
      <c r="S116" s="416"/>
      <c r="T116" s="416"/>
      <c r="U116" s="416"/>
      <c r="V116" s="416"/>
      <c r="W116" s="416"/>
      <c r="X116" s="416"/>
      <c r="Y116" s="416"/>
      <c r="Z116" s="416"/>
      <c r="AA116" s="416"/>
      <c r="AB116" s="416"/>
      <c r="AC116" s="416"/>
      <c r="AD116" s="416"/>
    </row>
    <row r="117" spans="1:30" ht="12.75" customHeight="1">
      <c r="A117" s="416"/>
      <c r="B117" s="416"/>
      <c r="C117" s="416"/>
      <c r="D117" s="416"/>
      <c r="E117" s="416"/>
      <c r="F117" s="416"/>
      <c r="G117" s="416"/>
      <c r="H117" s="416"/>
      <c r="I117" s="416"/>
      <c r="J117" s="416"/>
      <c r="K117" s="416"/>
      <c r="L117" s="416"/>
      <c r="M117" s="416"/>
      <c r="N117" s="416"/>
      <c r="O117" s="416"/>
      <c r="P117" s="416"/>
      <c r="Q117" s="416"/>
      <c r="R117" s="416"/>
      <c r="S117" s="416"/>
      <c r="T117" s="416"/>
      <c r="U117" s="416"/>
      <c r="V117" s="416"/>
      <c r="W117" s="416"/>
      <c r="X117" s="416"/>
      <c r="Y117" s="416"/>
      <c r="Z117" s="416"/>
      <c r="AA117" s="416"/>
      <c r="AB117" s="416"/>
      <c r="AC117" s="416"/>
      <c r="AD117" s="416"/>
    </row>
    <row r="118" spans="1:30" ht="30" customHeight="1">
      <c r="A118" s="416"/>
      <c r="B118" s="422" t="s">
        <v>84</v>
      </c>
      <c r="C118" s="416"/>
      <c r="D118" s="416"/>
      <c r="E118" s="416"/>
      <c r="F118" s="416"/>
      <c r="G118" s="416"/>
      <c r="H118" s="416"/>
      <c r="I118" s="416"/>
      <c r="J118" s="416"/>
      <c r="K118" s="416"/>
      <c r="L118" s="416"/>
      <c r="M118" s="416"/>
      <c r="N118" s="416"/>
      <c r="O118" s="416"/>
      <c r="P118" s="416"/>
      <c r="Q118" s="416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</row>
    <row r="119" spans="1:30" ht="30" customHeight="1">
      <c r="A119" s="416"/>
      <c r="B119" s="422"/>
      <c r="C119" s="416"/>
      <c r="D119" s="416" t="s">
        <v>85</v>
      </c>
      <c r="E119" s="416" t="s">
        <v>86</v>
      </c>
      <c r="F119" s="416"/>
      <c r="G119" s="416"/>
      <c r="H119" s="416"/>
      <c r="I119" s="416"/>
      <c r="J119" s="416"/>
      <c r="K119" s="416"/>
      <c r="L119" s="416"/>
      <c r="M119" s="416"/>
      <c r="N119" s="416"/>
      <c r="O119" s="416"/>
      <c r="P119" s="416"/>
      <c r="Q119" s="416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</row>
    <row r="120" spans="1:30" ht="30" customHeight="1">
      <c r="A120" s="416"/>
      <c r="B120" s="422" t="s">
        <v>56</v>
      </c>
      <c r="C120" s="416"/>
      <c r="D120" s="442">
        <f>+C50</f>
        <v>0.6</v>
      </c>
      <c r="E120" s="442">
        <f>+C62</f>
        <v>0.28000000000000003</v>
      </c>
      <c r="F120" s="416"/>
      <c r="G120" s="416"/>
      <c r="H120" s="416"/>
      <c r="I120" s="416"/>
      <c r="J120" s="416"/>
      <c r="K120" s="416"/>
      <c r="L120" s="416"/>
      <c r="M120" s="416"/>
      <c r="N120" s="416"/>
      <c r="O120" s="416"/>
      <c r="P120" s="416"/>
      <c r="Q120" s="416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</row>
    <row r="121" spans="1:30" ht="30" customHeight="1">
      <c r="A121" s="416"/>
      <c r="B121" s="422" t="s">
        <v>57</v>
      </c>
      <c r="C121" s="416"/>
      <c r="D121" s="442">
        <f>+C51</f>
        <v>0.05</v>
      </c>
      <c r="E121" s="442">
        <f>+C63</f>
        <v>0.2</v>
      </c>
      <c r="F121" s="416"/>
      <c r="G121" s="416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</row>
    <row r="122" spans="1:30" ht="30" customHeight="1">
      <c r="A122" s="416"/>
      <c r="B122" s="422" t="s">
        <v>58</v>
      </c>
      <c r="C122" s="416"/>
      <c r="D122" s="442">
        <f>+C52</f>
        <v>0.35</v>
      </c>
      <c r="E122" s="442">
        <f>+C64</f>
        <v>0</v>
      </c>
      <c r="F122" s="416"/>
      <c r="G122" s="416"/>
      <c r="H122" s="416"/>
      <c r="I122" s="416"/>
      <c r="J122" s="416"/>
      <c r="K122" s="416"/>
      <c r="L122" s="416"/>
      <c r="M122" s="416"/>
      <c r="N122" s="416"/>
      <c r="O122" s="416"/>
      <c r="P122" s="416"/>
      <c r="Q122" s="416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</row>
    <row r="123" spans="1:30" ht="30" customHeight="1">
      <c r="A123" s="416"/>
      <c r="B123" s="444" t="s">
        <v>181</v>
      </c>
      <c r="C123" s="416"/>
      <c r="D123" s="442">
        <v>0</v>
      </c>
      <c r="E123" s="442">
        <v>0</v>
      </c>
      <c r="F123" s="416"/>
      <c r="G123" s="416"/>
      <c r="H123" s="416"/>
      <c r="I123" s="416"/>
      <c r="J123" s="416"/>
      <c r="K123" s="416"/>
      <c r="L123" s="416"/>
      <c r="M123" s="416"/>
      <c r="N123" s="416"/>
      <c r="O123" s="416"/>
      <c r="P123" s="416"/>
      <c r="Q123" s="416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</row>
    <row r="124" spans="1:30" ht="30" customHeight="1">
      <c r="A124" s="416"/>
      <c r="B124" s="444" t="s">
        <v>181</v>
      </c>
      <c r="C124" s="416"/>
      <c r="D124" s="442">
        <v>0</v>
      </c>
      <c r="E124" s="442">
        <v>0</v>
      </c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</row>
    <row r="125" spans="1:30" ht="30.75" customHeight="1" thickBot="1">
      <c r="A125" s="416"/>
      <c r="B125" s="422"/>
      <c r="C125" s="416"/>
      <c r="D125" s="416"/>
      <c r="E125" s="416"/>
      <c r="F125" s="416"/>
      <c r="G125" s="416"/>
      <c r="H125" s="416"/>
      <c r="I125" s="416"/>
      <c r="J125" s="416"/>
      <c r="K125" s="416"/>
      <c r="L125" s="416"/>
      <c r="M125" s="416"/>
      <c r="N125" s="416"/>
      <c r="O125" s="416"/>
      <c r="P125" s="416"/>
      <c r="Q125" s="416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</row>
    <row r="126" spans="1:30" ht="30.75" customHeight="1" thickBot="1">
      <c r="A126" s="416"/>
      <c r="B126" s="422" t="s">
        <v>87</v>
      </c>
      <c r="C126" s="416"/>
      <c r="D126" s="460" cm="1">
        <f t="array" ref="D126">SUMPRODUCT(D120:D124,1-(E120:E124))</f>
        <v>0.82199999999999995</v>
      </c>
      <c r="E126" s="416"/>
      <c r="F126" s="416"/>
      <c r="G126" s="416"/>
      <c r="H126" s="416"/>
      <c r="I126" s="416"/>
      <c r="J126" s="416"/>
      <c r="K126" s="416"/>
      <c r="L126" s="416"/>
      <c r="M126" s="416"/>
      <c r="N126" s="416"/>
      <c r="O126" s="416"/>
      <c r="P126" s="416"/>
      <c r="Q126" s="416"/>
      <c r="R126" s="416"/>
      <c r="S126" s="416"/>
      <c r="T126" s="416"/>
      <c r="U126" s="416"/>
      <c r="V126" s="416"/>
      <c r="W126" s="416"/>
      <c r="X126" s="416"/>
      <c r="Y126" s="416"/>
      <c r="Z126" s="416"/>
      <c r="AA126" s="416"/>
      <c r="AB126" s="416"/>
      <c r="AC126" s="416"/>
      <c r="AD126" s="416"/>
    </row>
    <row r="127" spans="1:30" ht="30" customHeight="1">
      <c r="A127" s="416"/>
      <c r="B127" s="422"/>
      <c r="C127" s="416"/>
      <c r="D127" s="416"/>
      <c r="E127" s="416"/>
      <c r="F127" s="416"/>
      <c r="G127" s="416"/>
      <c r="H127" s="416"/>
      <c r="I127" s="416"/>
      <c r="J127" s="416"/>
      <c r="K127" s="416"/>
      <c r="L127" s="416"/>
      <c r="M127" s="416"/>
      <c r="N127" s="416"/>
      <c r="O127" s="416"/>
      <c r="P127" s="416"/>
      <c r="Q127" s="416"/>
      <c r="R127" s="416"/>
      <c r="S127" s="416"/>
      <c r="T127" s="416"/>
      <c r="U127" s="416"/>
      <c r="V127" s="416"/>
      <c r="W127" s="416"/>
      <c r="X127" s="416"/>
      <c r="Y127" s="416"/>
      <c r="Z127" s="416"/>
      <c r="AA127" s="416"/>
      <c r="AB127" s="416"/>
      <c r="AC127" s="416"/>
      <c r="AD127" s="416"/>
    </row>
    <row r="128" spans="1:30" ht="30" customHeight="1">
      <c r="A128" s="416"/>
      <c r="B128" s="422" t="s">
        <v>88</v>
      </c>
      <c r="C128" s="416"/>
      <c r="D128" s="416"/>
      <c r="E128" s="416"/>
      <c r="F128" s="416"/>
      <c r="G128" s="416"/>
      <c r="H128" s="416"/>
      <c r="I128" s="416"/>
      <c r="J128" s="416"/>
      <c r="K128" s="416"/>
      <c r="L128" s="416"/>
      <c r="M128" s="416"/>
      <c r="N128" s="416"/>
      <c r="O128" s="416"/>
      <c r="P128" s="416"/>
      <c r="Q128" s="416"/>
      <c r="R128" s="416"/>
      <c r="S128" s="416"/>
      <c r="T128" s="416"/>
      <c r="U128" s="416"/>
      <c r="V128" s="416"/>
      <c r="W128" s="416"/>
      <c r="X128" s="416"/>
      <c r="Y128" s="416"/>
      <c r="Z128" s="416"/>
      <c r="AA128" s="416"/>
      <c r="AB128" s="416"/>
      <c r="AC128" s="416"/>
      <c r="AD128" s="416"/>
    </row>
    <row r="129" spans="1:30" ht="12.75" customHeight="1">
      <c r="A129" s="416"/>
      <c r="B129" s="416"/>
      <c r="C129" s="416"/>
      <c r="D129" s="416"/>
      <c r="E129" s="416"/>
      <c r="F129" s="416"/>
      <c r="G129" s="416"/>
      <c r="H129" s="416"/>
      <c r="I129" s="416"/>
      <c r="J129" s="416"/>
      <c r="K129" s="416"/>
      <c r="L129" s="416"/>
      <c r="M129" s="416"/>
      <c r="N129" s="416"/>
      <c r="O129" s="416"/>
      <c r="P129" s="416"/>
      <c r="Q129" s="416"/>
      <c r="R129" s="416"/>
      <c r="S129" s="416"/>
      <c r="T129" s="416"/>
      <c r="U129" s="416"/>
      <c r="V129" s="416"/>
      <c r="W129" s="416"/>
      <c r="X129" s="416"/>
      <c r="Y129" s="416"/>
      <c r="Z129" s="416"/>
      <c r="AA129" s="416"/>
      <c r="AB129" s="416"/>
      <c r="AC129" s="416"/>
      <c r="AD129" s="416"/>
    </row>
    <row r="130" spans="1:30" ht="12.75" customHeight="1">
      <c r="A130" s="416"/>
      <c r="B130" s="416"/>
      <c r="C130" s="416"/>
      <c r="D130" s="416"/>
      <c r="E130" s="416"/>
      <c r="F130" s="416"/>
      <c r="G130" s="416"/>
      <c r="H130" s="416"/>
      <c r="I130" s="416"/>
      <c r="J130" s="416"/>
      <c r="K130" s="416"/>
      <c r="L130" s="416"/>
      <c r="M130" s="416"/>
      <c r="N130" s="416"/>
      <c r="O130" s="416"/>
      <c r="P130" s="416"/>
      <c r="Q130" s="416"/>
      <c r="R130" s="416"/>
      <c r="S130" s="416"/>
      <c r="T130" s="416"/>
      <c r="U130" s="416"/>
      <c r="V130" s="416"/>
      <c r="W130" s="416"/>
      <c r="X130" s="416"/>
      <c r="Y130" s="416"/>
      <c r="Z130" s="416"/>
      <c r="AA130" s="416"/>
      <c r="AB130" s="416"/>
      <c r="AC130" s="416"/>
      <c r="AD130" s="416"/>
    </row>
    <row r="131" spans="1:30" ht="12.75" customHeight="1">
      <c r="A131" s="416"/>
      <c r="B131" s="416" t="s">
        <v>80</v>
      </c>
      <c r="C131" s="454">
        <f t="shared" ref="C131:N131" si="23">+C105</f>
        <v>0</v>
      </c>
      <c r="D131" s="454">
        <f t="shared" si="23"/>
        <v>0</v>
      </c>
      <c r="E131" s="454">
        <f t="shared" si="23"/>
        <v>0</v>
      </c>
      <c r="F131" s="454">
        <f t="shared" si="23"/>
        <v>0</v>
      </c>
      <c r="G131" s="454">
        <f t="shared" si="23"/>
        <v>0</v>
      </c>
      <c r="H131" s="454">
        <f t="shared" si="23"/>
        <v>0</v>
      </c>
      <c r="I131" s="454">
        <f t="shared" si="23"/>
        <v>0</v>
      </c>
      <c r="J131" s="454">
        <f t="shared" si="23"/>
        <v>0</v>
      </c>
      <c r="K131" s="454">
        <f t="shared" si="23"/>
        <v>0</v>
      </c>
      <c r="L131" s="454">
        <f t="shared" si="23"/>
        <v>0</v>
      </c>
      <c r="M131" s="454">
        <f t="shared" si="23"/>
        <v>0</v>
      </c>
      <c r="N131" s="454">
        <f t="shared" si="23"/>
        <v>0</v>
      </c>
      <c r="O131" s="454">
        <f>+O99</f>
        <v>0.42704391217564863</v>
      </c>
      <c r="P131" s="416"/>
      <c r="Q131" s="416"/>
      <c r="R131" s="416"/>
      <c r="S131" s="416"/>
      <c r="T131" s="416"/>
      <c r="U131" s="416"/>
      <c r="V131" s="416"/>
      <c r="W131" s="416"/>
      <c r="X131" s="416"/>
      <c r="Y131" s="416"/>
      <c r="Z131" s="416"/>
      <c r="AA131" s="416"/>
      <c r="AB131" s="416"/>
      <c r="AC131" s="416"/>
      <c r="AD131" s="416"/>
    </row>
    <row r="132" spans="1:30" ht="18.75" customHeight="1">
      <c r="A132" s="416"/>
      <c r="B132" s="433" t="s">
        <v>50</v>
      </c>
      <c r="C132" s="434" t="s">
        <v>13</v>
      </c>
      <c r="D132" s="434" t="s">
        <v>14</v>
      </c>
      <c r="E132" s="434" t="s">
        <v>15</v>
      </c>
      <c r="F132" s="434" t="s">
        <v>16</v>
      </c>
      <c r="G132" s="434" t="s">
        <v>51</v>
      </c>
      <c r="H132" s="434" t="s">
        <v>18</v>
      </c>
      <c r="I132" s="434" t="s">
        <v>19</v>
      </c>
      <c r="J132" s="434" t="s">
        <v>20</v>
      </c>
      <c r="K132" s="434" t="s">
        <v>21</v>
      </c>
      <c r="L132" s="434" t="s">
        <v>22</v>
      </c>
      <c r="M132" s="434" t="s">
        <v>23</v>
      </c>
      <c r="N132" s="434" t="s">
        <v>24</v>
      </c>
      <c r="O132" s="434" t="s">
        <v>25</v>
      </c>
      <c r="P132" s="416"/>
      <c r="Q132" s="416"/>
      <c r="R132" s="416"/>
      <c r="S132" s="416"/>
      <c r="T132" s="416"/>
      <c r="U132" s="416"/>
      <c r="V132" s="416"/>
      <c r="W132" s="416"/>
      <c r="X132" s="416"/>
      <c r="Y132" s="416"/>
      <c r="Z132" s="416"/>
      <c r="AA132" s="416"/>
      <c r="AB132" s="416"/>
      <c r="AC132" s="416"/>
      <c r="AD132" s="416"/>
    </row>
    <row r="133" spans="1:30" ht="12.75" customHeight="1">
      <c r="A133" s="416"/>
      <c r="B133" s="437" t="s">
        <v>41</v>
      </c>
      <c r="C133" s="456">
        <f t="shared" ref="C133:N138" si="24">(1-$D$126)*C107</f>
        <v>10081.386000000002</v>
      </c>
      <c r="D133" s="456">
        <f t="shared" si="24"/>
        <v>12357.828000000003</v>
      </c>
      <c r="E133" s="456">
        <f t="shared" si="24"/>
        <v>13921.914000000004</v>
      </c>
      <c r="F133" s="456">
        <f t="shared" si="24"/>
        <v>7433.2800000000016</v>
      </c>
      <c r="G133" s="456">
        <f t="shared" si="24"/>
        <v>7126.4970000000021</v>
      </c>
      <c r="H133" s="456">
        <f t="shared" si="24"/>
        <v>4926.1500000000015</v>
      </c>
      <c r="I133" s="456">
        <f t="shared" si="24"/>
        <v>5090.3550000000014</v>
      </c>
      <c r="J133" s="456">
        <f t="shared" si="24"/>
        <v>5090.3550000000014</v>
      </c>
      <c r="K133" s="456">
        <f t="shared" si="24"/>
        <v>1893.9200000000005</v>
      </c>
      <c r="L133" s="456">
        <f t="shared" si="24"/>
        <v>0</v>
      </c>
      <c r="M133" s="456">
        <f t="shared" si="24"/>
        <v>4974.2100000000009</v>
      </c>
      <c r="N133" s="456">
        <f t="shared" si="24"/>
        <v>12365.838000000003</v>
      </c>
      <c r="O133" s="456">
        <f t="shared" ref="O133:O138" si="25">SUM(C133:N133)</f>
        <v>85261.733000000022</v>
      </c>
      <c r="P133" s="416"/>
      <c r="Q133" s="416"/>
      <c r="R133" s="416"/>
      <c r="S133" s="416"/>
      <c r="T133" s="416"/>
      <c r="U133" s="416"/>
      <c r="V133" s="416"/>
      <c r="W133" s="416"/>
      <c r="X133" s="416"/>
      <c r="Y133" s="416"/>
      <c r="Z133" s="416"/>
      <c r="AA133" s="416"/>
      <c r="AB133" s="416"/>
      <c r="AC133" s="416"/>
      <c r="AD133" s="416"/>
    </row>
    <row r="134" spans="1:30" ht="12.75" customHeight="1">
      <c r="A134" s="416"/>
      <c r="B134" s="437" t="s">
        <v>42</v>
      </c>
      <c r="C134" s="456">
        <f t="shared" si="24"/>
        <v>4954.0604000000012</v>
      </c>
      <c r="D134" s="456">
        <f t="shared" si="24"/>
        <v>5676.7760000000017</v>
      </c>
      <c r="E134" s="456">
        <f t="shared" si="24"/>
        <v>6654.7080000000014</v>
      </c>
      <c r="F134" s="456">
        <f t="shared" si="24"/>
        <v>4204.7160000000013</v>
      </c>
      <c r="G134" s="456">
        <f t="shared" si="24"/>
        <v>3242.3768000000014</v>
      </c>
      <c r="H134" s="456">
        <f t="shared" si="24"/>
        <v>1689.5760000000005</v>
      </c>
      <c r="I134" s="456">
        <f t="shared" si="24"/>
        <v>5424.7458000000015</v>
      </c>
      <c r="J134" s="456">
        <f t="shared" si="24"/>
        <v>3865.9108000000006</v>
      </c>
      <c r="K134" s="456">
        <f t="shared" si="24"/>
        <v>2016.7400000000005</v>
      </c>
      <c r="L134" s="456">
        <f t="shared" si="24"/>
        <v>0</v>
      </c>
      <c r="M134" s="456">
        <f t="shared" si="24"/>
        <v>3599.6940000000009</v>
      </c>
      <c r="N134" s="456">
        <f t="shared" si="24"/>
        <v>6671.2620000000015</v>
      </c>
      <c r="O134" s="456">
        <f t="shared" si="25"/>
        <v>48000.565800000011</v>
      </c>
      <c r="P134" s="416"/>
      <c r="Q134" s="416"/>
      <c r="R134" s="416"/>
      <c r="S134" s="416"/>
      <c r="T134" s="416"/>
      <c r="U134" s="416"/>
      <c r="V134" s="416"/>
      <c r="W134" s="416"/>
      <c r="X134" s="416"/>
      <c r="Y134" s="416"/>
      <c r="Z134" s="416"/>
      <c r="AA134" s="416"/>
      <c r="AB134" s="416"/>
      <c r="AC134" s="416"/>
      <c r="AD134" s="416"/>
    </row>
    <row r="135" spans="1:30" ht="12.75" customHeight="1">
      <c r="A135" s="416"/>
      <c r="B135" s="437" t="s">
        <v>43</v>
      </c>
      <c r="C135" s="456">
        <f t="shared" si="24"/>
        <v>7777.0692000000026</v>
      </c>
      <c r="D135" s="456">
        <f t="shared" si="24"/>
        <v>7428.1536000000015</v>
      </c>
      <c r="E135" s="456">
        <f t="shared" si="24"/>
        <v>8581.593600000002</v>
      </c>
      <c r="F135" s="456">
        <f t="shared" si="24"/>
        <v>6781.2660000000014</v>
      </c>
      <c r="G135" s="456">
        <f t="shared" si="24"/>
        <v>4125.2568000000019</v>
      </c>
      <c r="H135" s="456">
        <f t="shared" si="24"/>
        <v>3849.6060000000011</v>
      </c>
      <c r="I135" s="456">
        <f t="shared" si="24"/>
        <v>5598.5628000000015</v>
      </c>
      <c r="J135" s="456">
        <f t="shared" si="24"/>
        <v>2578.2855000000004</v>
      </c>
      <c r="K135" s="456">
        <f t="shared" si="24"/>
        <v>2018.5200000000004</v>
      </c>
      <c r="L135" s="456">
        <f t="shared" si="24"/>
        <v>0</v>
      </c>
      <c r="M135" s="456">
        <f t="shared" si="24"/>
        <v>2393.3880000000008</v>
      </c>
      <c r="N135" s="456">
        <f t="shared" si="24"/>
        <v>9281.8278000000028</v>
      </c>
      <c r="O135" s="456">
        <f t="shared" si="25"/>
        <v>60413.529300000009</v>
      </c>
      <c r="P135" s="416"/>
      <c r="Q135" s="416"/>
      <c r="R135" s="416"/>
      <c r="S135" s="416"/>
      <c r="T135" s="416"/>
      <c r="U135" s="416"/>
      <c r="V135" s="416"/>
      <c r="W135" s="416"/>
      <c r="X135" s="416"/>
      <c r="Y135" s="416"/>
      <c r="Z135" s="416"/>
      <c r="AA135" s="416"/>
      <c r="AB135" s="416"/>
      <c r="AC135" s="416"/>
      <c r="AD135" s="416"/>
    </row>
    <row r="136" spans="1:30" ht="12.75" customHeight="1">
      <c r="A136" s="416"/>
      <c r="B136" s="437" t="s">
        <v>44</v>
      </c>
      <c r="C136" s="456">
        <f t="shared" si="24"/>
        <v>9634.4280000000035</v>
      </c>
      <c r="D136" s="456">
        <f t="shared" si="24"/>
        <v>10635.856000000003</v>
      </c>
      <c r="E136" s="456">
        <f t="shared" si="24"/>
        <v>11989.510400000006</v>
      </c>
      <c r="F136" s="456">
        <f t="shared" si="24"/>
        <v>5322.9120000000012</v>
      </c>
      <c r="G136" s="456">
        <f t="shared" si="24"/>
        <v>3138.6384000000007</v>
      </c>
      <c r="H136" s="456">
        <f t="shared" si="24"/>
        <v>2531.1600000000008</v>
      </c>
      <c r="I136" s="456">
        <f t="shared" si="24"/>
        <v>4184.851200000001</v>
      </c>
      <c r="J136" s="456">
        <f t="shared" si="24"/>
        <v>281.24000000000007</v>
      </c>
      <c r="K136" s="456">
        <f t="shared" si="24"/>
        <v>1537.9200000000003</v>
      </c>
      <c r="L136" s="456">
        <f t="shared" si="24"/>
        <v>0</v>
      </c>
      <c r="M136" s="456">
        <f t="shared" si="24"/>
        <v>4806.0000000000009</v>
      </c>
      <c r="N136" s="456">
        <f t="shared" si="24"/>
        <v>11676.088000000003</v>
      </c>
      <c r="O136" s="456">
        <f t="shared" si="25"/>
        <v>65738.604000000021</v>
      </c>
      <c r="P136" s="416"/>
      <c r="Q136" s="416"/>
      <c r="R136" s="416"/>
      <c r="S136" s="416"/>
      <c r="T136" s="416"/>
      <c r="U136" s="416"/>
      <c r="V136" s="416"/>
      <c r="W136" s="416"/>
      <c r="X136" s="416"/>
      <c r="Y136" s="416"/>
      <c r="Z136" s="416"/>
      <c r="AA136" s="416"/>
      <c r="AB136" s="416"/>
      <c r="AC136" s="416"/>
      <c r="AD136" s="416"/>
    </row>
    <row r="137" spans="1:30" ht="12.75" customHeight="1">
      <c r="A137" s="416"/>
      <c r="B137" s="437" t="s">
        <v>45</v>
      </c>
      <c r="C137" s="456">
        <f t="shared" si="24"/>
        <v>25203.465000000007</v>
      </c>
      <c r="D137" s="456">
        <f t="shared" si="24"/>
        <v>23270.296000000009</v>
      </c>
      <c r="E137" s="456">
        <f t="shared" si="24"/>
        <v>25203.465000000007</v>
      </c>
      <c r="F137" s="456">
        <f t="shared" si="24"/>
        <v>13467.480000000003</v>
      </c>
      <c r="G137" s="456">
        <f t="shared" si="24"/>
        <v>8690.8500000000022</v>
      </c>
      <c r="H137" s="456">
        <f t="shared" si="24"/>
        <v>8176.8750000000018</v>
      </c>
      <c r="I137" s="456">
        <f t="shared" si="24"/>
        <v>11587.800000000001</v>
      </c>
      <c r="J137" s="456">
        <f t="shared" si="24"/>
        <v>14484.750000000004</v>
      </c>
      <c r="K137" s="456">
        <f t="shared" si="24"/>
        <v>2595.2400000000007</v>
      </c>
      <c r="L137" s="456">
        <f t="shared" si="24"/>
        <v>0</v>
      </c>
      <c r="M137" s="456">
        <f t="shared" si="24"/>
        <v>13762.515000000003</v>
      </c>
      <c r="N137" s="456">
        <f t="shared" si="24"/>
        <v>29507.505000000008</v>
      </c>
      <c r="O137" s="456">
        <f t="shared" si="25"/>
        <v>175950.24100000007</v>
      </c>
      <c r="P137" s="416"/>
      <c r="Q137" s="416"/>
      <c r="R137" s="416"/>
      <c r="S137" s="416"/>
      <c r="T137" s="416"/>
      <c r="U137" s="416"/>
      <c r="V137" s="416"/>
      <c r="W137" s="416"/>
      <c r="X137" s="416"/>
      <c r="Y137" s="416"/>
      <c r="Z137" s="416"/>
      <c r="AA137" s="416"/>
      <c r="AB137" s="416"/>
      <c r="AC137" s="416"/>
      <c r="AD137" s="416"/>
    </row>
    <row r="138" spans="1:30" ht="17.25" customHeight="1">
      <c r="A138" s="416"/>
      <c r="B138" s="437" t="s">
        <v>46</v>
      </c>
      <c r="C138" s="456">
        <f t="shared" si="24"/>
        <v>17209.538400000005</v>
      </c>
      <c r="D138" s="456">
        <f t="shared" si="24"/>
        <v>15206.184000000007</v>
      </c>
      <c r="E138" s="456">
        <f t="shared" si="24"/>
        <v>17957.779200000004</v>
      </c>
      <c r="F138" s="456">
        <f t="shared" si="24"/>
        <v>12625.362000000003</v>
      </c>
      <c r="G138" s="456">
        <f t="shared" si="24"/>
        <v>8760.3768000000036</v>
      </c>
      <c r="H138" s="456">
        <f t="shared" si="24"/>
        <v>6593.8320000000022</v>
      </c>
      <c r="I138" s="456">
        <f t="shared" si="24"/>
        <v>10382.668800000003</v>
      </c>
      <c r="J138" s="456">
        <f t="shared" si="24"/>
        <v>10058.210400000002</v>
      </c>
      <c r="K138" s="456">
        <f t="shared" si="24"/>
        <v>3207.2040000000006</v>
      </c>
      <c r="L138" s="456">
        <f t="shared" si="24"/>
        <v>0</v>
      </c>
      <c r="M138" s="456">
        <f t="shared" si="24"/>
        <v>10203.138000000004</v>
      </c>
      <c r="N138" s="456">
        <f t="shared" si="24"/>
        <v>16553.337840000007</v>
      </c>
      <c r="O138" s="456">
        <f t="shared" si="25"/>
        <v>128757.63144000004</v>
      </c>
      <c r="P138" s="416"/>
      <c r="Q138" s="461"/>
      <c r="R138" s="416"/>
      <c r="S138" s="416"/>
      <c r="T138" s="416"/>
      <c r="U138" s="416"/>
      <c r="V138" s="416"/>
      <c r="W138" s="416"/>
      <c r="X138" s="416"/>
      <c r="Y138" s="416"/>
      <c r="Z138" s="416"/>
      <c r="AA138" s="416"/>
      <c r="AB138" s="416"/>
      <c r="AC138" s="416"/>
      <c r="AD138" s="416"/>
    </row>
    <row r="139" spans="1:30" ht="12.75" customHeight="1">
      <c r="A139" s="416"/>
      <c r="B139" s="416"/>
      <c r="C139" s="457"/>
      <c r="D139" s="457"/>
      <c r="E139" s="457"/>
      <c r="F139" s="457"/>
      <c r="G139" s="457"/>
      <c r="H139" s="457"/>
      <c r="I139" s="457"/>
      <c r="J139" s="457"/>
      <c r="K139" s="457"/>
      <c r="L139" s="457"/>
      <c r="M139" s="457"/>
      <c r="N139" s="457"/>
      <c r="O139" s="457"/>
      <c r="P139" s="416"/>
      <c r="Q139" s="462"/>
      <c r="R139" s="416"/>
      <c r="S139" s="416"/>
      <c r="T139" s="416"/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</row>
    <row r="140" spans="1:30" ht="12.75" customHeight="1">
      <c r="A140" s="416"/>
      <c r="B140" s="458" t="s">
        <v>25</v>
      </c>
      <c r="C140" s="459">
        <f t="shared" ref="C140:N140" si="26">SUM(C133:C139)</f>
        <v>74859.947000000015</v>
      </c>
      <c r="D140" s="459">
        <f t="shared" si="26"/>
        <v>74575.093600000022</v>
      </c>
      <c r="E140" s="459">
        <f t="shared" si="26"/>
        <v>84308.970200000025</v>
      </c>
      <c r="F140" s="459">
        <f t="shared" si="26"/>
        <v>49835.016000000011</v>
      </c>
      <c r="G140" s="459">
        <f t="shared" si="26"/>
        <v>35083.995800000012</v>
      </c>
      <c r="H140" s="459">
        <f t="shared" si="26"/>
        <v>27767.199000000008</v>
      </c>
      <c r="I140" s="459">
        <f t="shared" si="26"/>
        <v>42268.983600000007</v>
      </c>
      <c r="J140" s="459">
        <f t="shared" si="26"/>
        <v>36358.751700000008</v>
      </c>
      <c r="K140" s="459">
        <f t="shared" si="26"/>
        <v>13269.544000000002</v>
      </c>
      <c r="L140" s="459">
        <f t="shared" si="26"/>
        <v>0</v>
      </c>
      <c r="M140" s="459">
        <f t="shared" si="26"/>
        <v>39738.945000000014</v>
      </c>
      <c r="N140" s="459">
        <f t="shared" si="26"/>
        <v>86055.85864000002</v>
      </c>
      <c r="O140" s="459">
        <f>SUM(C140:N140)</f>
        <v>564122.30454000016</v>
      </c>
      <c r="P140" s="416"/>
      <c r="Q140" s="462"/>
      <c r="R140" s="416"/>
      <c r="S140" s="416"/>
      <c r="T140" s="416"/>
      <c r="U140" s="416"/>
      <c r="V140" s="416"/>
      <c r="W140" s="416"/>
      <c r="X140" s="416"/>
      <c r="Y140" s="416"/>
      <c r="Z140" s="416"/>
      <c r="AA140" s="416"/>
      <c r="AB140" s="416"/>
      <c r="AC140" s="416"/>
      <c r="AD140" s="416"/>
    </row>
    <row r="141" spans="1:30" ht="12.75" customHeight="1">
      <c r="A141" s="416"/>
      <c r="B141" s="416"/>
      <c r="C141" s="416"/>
      <c r="D141" s="416"/>
      <c r="E141" s="416"/>
      <c r="F141" s="416"/>
      <c r="G141" s="416"/>
      <c r="H141" s="416"/>
      <c r="I141" s="416"/>
      <c r="J141" s="416"/>
      <c r="K141" s="416"/>
      <c r="L141" s="416"/>
      <c r="M141" s="416"/>
      <c r="N141" s="416"/>
      <c r="O141" s="416"/>
      <c r="P141" s="416"/>
      <c r="Q141" s="416"/>
      <c r="R141" s="416"/>
      <c r="S141" s="416"/>
      <c r="T141" s="416"/>
      <c r="U141" s="416"/>
      <c r="V141" s="416"/>
      <c r="W141" s="416"/>
      <c r="X141" s="416"/>
      <c r="Y141" s="416"/>
      <c r="Z141" s="416"/>
      <c r="AA141" s="416"/>
      <c r="AB141" s="416"/>
      <c r="AC141" s="416"/>
      <c r="AD141" s="416"/>
    </row>
    <row r="142" spans="1:30" ht="12.75" customHeight="1">
      <c r="A142" s="416"/>
      <c r="B142" s="416"/>
      <c r="C142" s="416"/>
      <c r="D142" s="416"/>
      <c r="E142" s="416"/>
      <c r="F142" s="416"/>
      <c r="G142" s="41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R142" s="416"/>
      <c r="S142" s="416"/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</row>
    <row r="143" spans="1:30" ht="30" customHeight="1">
      <c r="A143" s="416"/>
      <c r="B143" s="422" t="s">
        <v>91</v>
      </c>
      <c r="C143" s="416"/>
      <c r="D143" s="416"/>
      <c r="E143" s="416"/>
      <c r="F143" s="416"/>
      <c r="G143" s="416"/>
      <c r="H143" s="416"/>
      <c r="I143" s="416"/>
      <c r="J143" s="416"/>
      <c r="K143" s="416"/>
      <c r="L143" s="416"/>
      <c r="M143" s="416"/>
      <c r="N143" s="416"/>
      <c r="O143" s="416"/>
      <c r="P143" s="416"/>
      <c r="Q143" s="416"/>
      <c r="R143" s="416"/>
      <c r="S143" s="416"/>
      <c r="T143" s="416"/>
      <c r="U143" s="416"/>
      <c r="V143" s="416"/>
      <c r="W143" s="416"/>
      <c r="X143" s="416"/>
      <c r="Y143" s="416"/>
      <c r="Z143" s="416"/>
      <c r="AA143" s="416"/>
      <c r="AB143" s="416"/>
      <c r="AC143" s="416"/>
      <c r="AD143" s="416"/>
    </row>
    <row r="144" spans="1:30" ht="12.75" customHeight="1">
      <c r="A144" s="416"/>
      <c r="B144" s="416"/>
      <c r="C144" s="416"/>
      <c r="D144" s="416"/>
      <c r="E144" s="416"/>
      <c r="F144" s="416"/>
      <c r="G144" s="416"/>
      <c r="H144" s="416"/>
      <c r="I144" s="416"/>
      <c r="J144" s="416"/>
      <c r="K144" s="416"/>
      <c r="L144" s="416"/>
      <c r="M144" s="416"/>
      <c r="N144" s="416"/>
      <c r="O144" s="416"/>
      <c r="P144" s="416"/>
      <c r="Q144" s="416"/>
      <c r="R144" s="416"/>
      <c r="S144" s="416"/>
      <c r="T144" s="416"/>
      <c r="U144" s="416"/>
      <c r="V144" s="416"/>
      <c r="W144" s="416"/>
      <c r="X144" s="416"/>
      <c r="Y144" s="416"/>
      <c r="Z144" s="416"/>
      <c r="AA144" s="416"/>
      <c r="AB144" s="416"/>
      <c r="AC144" s="416"/>
      <c r="AD144" s="416"/>
    </row>
    <row r="145" spans="1:30" ht="12.75" customHeight="1">
      <c r="A145" s="416"/>
      <c r="B145" s="416"/>
      <c r="C145" s="416"/>
      <c r="D145" s="416"/>
      <c r="E145" s="416"/>
      <c r="F145" s="416"/>
      <c r="G145" s="416"/>
      <c r="H145" s="416"/>
      <c r="I145" s="416"/>
      <c r="J145" s="416"/>
      <c r="K145" s="416"/>
      <c r="L145" s="416"/>
      <c r="M145" s="416"/>
      <c r="N145" s="416"/>
      <c r="O145" s="416"/>
      <c r="P145" s="416"/>
      <c r="Q145" s="416"/>
      <c r="R145" s="416"/>
      <c r="S145" s="416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</row>
    <row r="146" spans="1:30" ht="12.75" customHeight="1">
      <c r="A146" s="416"/>
      <c r="B146" s="416" t="s">
        <v>80</v>
      </c>
      <c r="C146" s="454">
        <v>0.85</v>
      </c>
      <c r="D146" s="454">
        <v>0.85</v>
      </c>
      <c r="E146" s="454">
        <v>0.85</v>
      </c>
      <c r="F146" s="454">
        <v>0.5</v>
      </c>
      <c r="G146" s="454">
        <v>0.5</v>
      </c>
      <c r="H146" s="454">
        <v>0.5</v>
      </c>
      <c r="I146" s="454">
        <v>0.5</v>
      </c>
      <c r="J146" s="454">
        <v>0.5</v>
      </c>
      <c r="K146" s="454">
        <v>0.5</v>
      </c>
      <c r="L146" s="454">
        <v>0.5</v>
      </c>
      <c r="M146" s="454">
        <v>0.6</v>
      </c>
      <c r="N146" s="454">
        <v>0.65</v>
      </c>
      <c r="O146" s="454"/>
      <c r="P146" s="416"/>
      <c r="Q146" s="416"/>
      <c r="R146" s="416"/>
      <c r="S146" s="416"/>
      <c r="T146" s="416"/>
      <c r="U146" s="416"/>
      <c r="V146" s="416"/>
      <c r="W146" s="416"/>
      <c r="X146" s="416"/>
      <c r="Y146" s="416"/>
      <c r="Z146" s="416"/>
      <c r="AA146" s="416"/>
      <c r="AB146" s="416"/>
      <c r="AC146" s="416"/>
      <c r="AD146" s="416"/>
    </row>
    <row r="147" spans="1:30" ht="18.75" customHeight="1">
      <c r="A147" s="416"/>
      <c r="B147" s="433" t="s">
        <v>50</v>
      </c>
      <c r="C147" s="434" t="s">
        <v>13</v>
      </c>
      <c r="D147" s="434" t="s">
        <v>14</v>
      </c>
      <c r="E147" s="434" t="s">
        <v>15</v>
      </c>
      <c r="F147" s="434" t="s">
        <v>16</v>
      </c>
      <c r="G147" s="434" t="s">
        <v>51</v>
      </c>
      <c r="H147" s="434" t="s">
        <v>18</v>
      </c>
      <c r="I147" s="434" t="s">
        <v>19</v>
      </c>
      <c r="J147" s="434" t="s">
        <v>20</v>
      </c>
      <c r="K147" s="434" t="s">
        <v>21</v>
      </c>
      <c r="L147" s="434" t="s">
        <v>22</v>
      </c>
      <c r="M147" s="434" t="s">
        <v>23</v>
      </c>
      <c r="N147" s="434" t="s">
        <v>24</v>
      </c>
      <c r="O147" s="434" t="s">
        <v>25</v>
      </c>
      <c r="P147" s="416"/>
      <c r="Q147" s="416"/>
      <c r="R147" s="416"/>
      <c r="S147" s="416"/>
      <c r="T147" s="416"/>
      <c r="U147" s="416"/>
      <c r="V147" s="416"/>
      <c r="W147" s="416"/>
      <c r="X147" s="416"/>
      <c r="Y147" s="416"/>
      <c r="Z147" s="416"/>
      <c r="AA147" s="416"/>
      <c r="AB147" s="416"/>
      <c r="AC147" s="416"/>
      <c r="AD147" s="416"/>
    </row>
    <row r="148" spans="1:30" ht="12.75" customHeight="1">
      <c r="A148" s="416"/>
      <c r="B148" s="437" t="s">
        <v>41</v>
      </c>
      <c r="C148" s="456">
        <f t="shared" ref="C148:N153" si="27">+C107-C133</f>
        <v>46555.613999999987</v>
      </c>
      <c r="D148" s="456">
        <f t="shared" si="27"/>
        <v>57068.171999999999</v>
      </c>
      <c r="E148" s="456">
        <f t="shared" si="27"/>
        <v>64291.085999999996</v>
      </c>
      <c r="F148" s="456">
        <f t="shared" si="27"/>
        <v>34326.720000000001</v>
      </c>
      <c r="G148" s="456">
        <f t="shared" si="27"/>
        <v>32910.002999999997</v>
      </c>
      <c r="H148" s="456">
        <f t="shared" si="27"/>
        <v>22748.85</v>
      </c>
      <c r="I148" s="456">
        <f t="shared" si="27"/>
        <v>23507.144999999997</v>
      </c>
      <c r="J148" s="456">
        <f t="shared" si="27"/>
        <v>23507.144999999997</v>
      </c>
      <c r="K148" s="456">
        <f t="shared" si="27"/>
        <v>8746.08</v>
      </c>
      <c r="L148" s="456">
        <f t="shared" si="27"/>
        <v>0</v>
      </c>
      <c r="M148" s="456">
        <f t="shared" si="27"/>
        <v>22970.79</v>
      </c>
      <c r="N148" s="456">
        <f t="shared" si="27"/>
        <v>57105.161999999997</v>
      </c>
      <c r="O148" s="456">
        <f t="shared" ref="O148:O154" si="28">SUM(C148:N148)</f>
        <v>393736.76699999999</v>
      </c>
      <c r="P148" s="416"/>
      <c r="Q148" s="416"/>
      <c r="R148" s="416"/>
      <c r="S148" s="416"/>
      <c r="T148" s="416"/>
      <c r="U148" s="416"/>
      <c r="V148" s="416"/>
      <c r="W148" s="416"/>
      <c r="X148" s="416"/>
      <c r="Y148" s="416"/>
      <c r="Z148" s="416"/>
      <c r="AA148" s="416"/>
      <c r="AB148" s="416"/>
      <c r="AC148" s="416"/>
      <c r="AD148" s="416"/>
    </row>
    <row r="149" spans="1:30" ht="12.75" customHeight="1">
      <c r="A149" s="416"/>
      <c r="B149" s="437" t="s">
        <v>42</v>
      </c>
      <c r="C149" s="456">
        <f t="shared" si="27"/>
        <v>22877.739599999997</v>
      </c>
      <c r="D149" s="456">
        <f t="shared" si="27"/>
        <v>26215.223999999998</v>
      </c>
      <c r="E149" s="456">
        <f t="shared" si="27"/>
        <v>30731.291999999998</v>
      </c>
      <c r="F149" s="456">
        <f t="shared" si="27"/>
        <v>19417.284</v>
      </c>
      <c r="G149" s="456">
        <f t="shared" si="27"/>
        <v>14973.2232</v>
      </c>
      <c r="H149" s="456">
        <f t="shared" si="27"/>
        <v>7802.4239999999991</v>
      </c>
      <c r="I149" s="456">
        <f t="shared" si="27"/>
        <v>25051.354199999998</v>
      </c>
      <c r="J149" s="456">
        <f t="shared" si="27"/>
        <v>17852.689199999997</v>
      </c>
      <c r="K149" s="456">
        <f t="shared" si="27"/>
        <v>9313.26</v>
      </c>
      <c r="L149" s="456">
        <f t="shared" si="27"/>
        <v>0</v>
      </c>
      <c r="M149" s="456">
        <f t="shared" si="27"/>
        <v>16623.306</v>
      </c>
      <c r="N149" s="456">
        <f t="shared" si="27"/>
        <v>30807.737999999998</v>
      </c>
      <c r="O149" s="456">
        <f t="shared" si="28"/>
        <v>221665.53419999999</v>
      </c>
      <c r="P149" s="416"/>
      <c r="Q149" s="416"/>
      <c r="R149" s="416"/>
      <c r="S149" s="416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</row>
    <row r="150" spans="1:30" ht="12.75" customHeight="1">
      <c r="A150" s="416"/>
      <c r="B150" s="437" t="s">
        <v>43</v>
      </c>
      <c r="C150" s="456">
        <f t="shared" si="27"/>
        <v>35914.330799999996</v>
      </c>
      <c r="D150" s="456">
        <f t="shared" si="27"/>
        <v>34303.046399999992</v>
      </c>
      <c r="E150" s="456">
        <f t="shared" si="27"/>
        <v>39629.606399999997</v>
      </c>
      <c r="F150" s="456">
        <f t="shared" si="27"/>
        <v>31315.733999999997</v>
      </c>
      <c r="G150" s="456">
        <f t="shared" si="27"/>
        <v>19050.343199999999</v>
      </c>
      <c r="H150" s="456">
        <f t="shared" si="27"/>
        <v>17777.394</v>
      </c>
      <c r="I150" s="456">
        <f t="shared" si="27"/>
        <v>25854.037199999999</v>
      </c>
      <c r="J150" s="456">
        <f t="shared" si="27"/>
        <v>11906.464499999998</v>
      </c>
      <c r="K150" s="456">
        <f t="shared" si="27"/>
        <v>9321.48</v>
      </c>
      <c r="L150" s="456">
        <f t="shared" si="27"/>
        <v>0</v>
      </c>
      <c r="M150" s="456">
        <f t="shared" si="27"/>
        <v>11052.611999999999</v>
      </c>
      <c r="N150" s="456">
        <f t="shared" si="27"/>
        <v>42863.272199999992</v>
      </c>
      <c r="O150" s="456">
        <f t="shared" si="28"/>
        <v>278988.32069999998</v>
      </c>
      <c r="P150" s="416"/>
      <c r="Q150" s="416"/>
      <c r="R150" s="416"/>
      <c r="S150" s="416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/>
      <c r="AD150" s="416"/>
    </row>
    <row r="151" spans="1:30" ht="12.75" customHeight="1">
      <c r="A151" s="416"/>
      <c r="B151" s="437" t="s">
        <v>44</v>
      </c>
      <c r="C151" s="456">
        <f t="shared" si="27"/>
        <v>44491.572</v>
      </c>
      <c r="D151" s="456">
        <f t="shared" si="27"/>
        <v>49116.144</v>
      </c>
      <c r="E151" s="456">
        <f t="shared" si="27"/>
        <v>55367.289600000011</v>
      </c>
      <c r="F151" s="456">
        <f t="shared" si="27"/>
        <v>24581.088</v>
      </c>
      <c r="G151" s="456">
        <f t="shared" si="27"/>
        <v>14494.161599999999</v>
      </c>
      <c r="H151" s="456">
        <f t="shared" si="27"/>
        <v>11688.84</v>
      </c>
      <c r="I151" s="456">
        <f t="shared" si="27"/>
        <v>19325.548799999997</v>
      </c>
      <c r="J151" s="456">
        <f t="shared" si="27"/>
        <v>1298.76</v>
      </c>
      <c r="K151" s="456">
        <f t="shared" si="27"/>
        <v>7102.08</v>
      </c>
      <c r="L151" s="456">
        <f t="shared" si="27"/>
        <v>0</v>
      </c>
      <c r="M151" s="456">
        <f t="shared" si="27"/>
        <v>22194</v>
      </c>
      <c r="N151" s="456">
        <f t="shared" si="27"/>
        <v>53919.911999999997</v>
      </c>
      <c r="O151" s="456">
        <f t="shared" si="28"/>
        <v>303579.39599999995</v>
      </c>
      <c r="P151" s="416"/>
      <c r="Q151" s="416"/>
      <c r="R151" s="416"/>
      <c r="S151" s="416"/>
      <c r="T151" s="416"/>
      <c r="U151" s="416"/>
      <c r="V151" s="416"/>
      <c r="W151" s="416"/>
      <c r="X151" s="416"/>
      <c r="Y151" s="416"/>
      <c r="Z151" s="416"/>
      <c r="AA151" s="416"/>
      <c r="AB151" s="416"/>
      <c r="AC151" s="416"/>
      <c r="AD151" s="416"/>
    </row>
    <row r="152" spans="1:30" ht="12.75" customHeight="1">
      <c r="A152" s="416"/>
      <c r="B152" s="437" t="s">
        <v>45</v>
      </c>
      <c r="C152" s="456">
        <f t="shared" si="27"/>
        <v>116389.03499999999</v>
      </c>
      <c r="D152" s="456">
        <f t="shared" si="27"/>
        <v>107461.704</v>
      </c>
      <c r="E152" s="456">
        <f t="shared" si="27"/>
        <v>116389.03499999999</v>
      </c>
      <c r="F152" s="456">
        <f t="shared" si="27"/>
        <v>62192.52</v>
      </c>
      <c r="G152" s="456">
        <f t="shared" si="27"/>
        <v>40134.149999999994</v>
      </c>
      <c r="H152" s="456">
        <f t="shared" si="27"/>
        <v>37760.625</v>
      </c>
      <c r="I152" s="456">
        <f t="shared" si="27"/>
        <v>53512.19999999999</v>
      </c>
      <c r="J152" s="456">
        <f t="shared" si="27"/>
        <v>66890.25</v>
      </c>
      <c r="K152" s="456">
        <f t="shared" si="27"/>
        <v>11984.759999999998</v>
      </c>
      <c r="L152" s="456">
        <f t="shared" si="27"/>
        <v>0</v>
      </c>
      <c r="M152" s="456">
        <f t="shared" si="27"/>
        <v>63554.985000000001</v>
      </c>
      <c r="N152" s="456">
        <f t="shared" si="27"/>
        <v>136264.995</v>
      </c>
      <c r="O152" s="456">
        <f t="shared" si="28"/>
        <v>812534.25899999996</v>
      </c>
      <c r="P152" s="416"/>
      <c r="Q152" s="416"/>
      <c r="R152" s="416"/>
      <c r="S152" s="416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</row>
    <row r="153" spans="1:30" ht="12.75" customHeight="1">
      <c r="A153" s="416"/>
      <c r="B153" s="437" t="s">
        <v>46</v>
      </c>
      <c r="C153" s="456">
        <f t="shared" si="27"/>
        <v>79473.261599999998</v>
      </c>
      <c r="D153" s="456">
        <f t="shared" si="27"/>
        <v>70221.816000000006</v>
      </c>
      <c r="E153" s="456">
        <f t="shared" si="27"/>
        <v>82928.62079999999</v>
      </c>
      <c r="F153" s="456">
        <f t="shared" si="27"/>
        <v>58303.637999999999</v>
      </c>
      <c r="G153" s="456">
        <f t="shared" si="27"/>
        <v>40455.2232</v>
      </c>
      <c r="H153" s="456">
        <f t="shared" si="27"/>
        <v>30450.167999999998</v>
      </c>
      <c r="I153" s="456">
        <f t="shared" si="27"/>
        <v>47946.931200000006</v>
      </c>
      <c r="J153" s="456">
        <f t="shared" si="27"/>
        <v>46448.589599999992</v>
      </c>
      <c r="K153" s="456">
        <f t="shared" si="27"/>
        <v>14810.795999999998</v>
      </c>
      <c r="L153" s="456">
        <f t="shared" si="27"/>
        <v>0</v>
      </c>
      <c r="M153" s="456">
        <f t="shared" si="27"/>
        <v>47117.862000000001</v>
      </c>
      <c r="N153" s="456">
        <f t="shared" si="27"/>
        <v>76442.942160000006</v>
      </c>
      <c r="O153" s="456">
        <f t="shared" si="28"/>
        <v>594599.84855999995</v>
      </c>
      <c r="P153" s="416"/>
      <c r="Q153" s="416"/>
      <c r="R153" s="416"/>
      <c r="S153" s="416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/>
      <c r="AD153" s="416"/>
    </row>
    <row r="154" spans="1:30" ht="12.75" customHeight="1">
      <c r="A154" s="416"/>
      <c r="B154" s="458" t="s">
        <v>25</v>
      </c>
      <c r="C154" s="459">
        <f t="shared" ref="C154:N154" si="29">SUM(C148:C153)</f>
        <v>345701.55299999996</v>
      </c>
      <c r="D154" s="459">
        <f t="shared" si="29"/>
        <v>344386.10639999993</v>
      </c>
      <c r="E154" s="459">
        <f t="shared" si="29"/>
        <v>389336.92979999998</v>
      </c>
      <c r="F154" s="459">
        <f t="shared" si="29"/>
        <v>230136.984</v>
      </c>
      <c r="G154" s="459">
        <f t="shared" si="29"/>
        <v>162017.1042</v>
      </c>
      <c r="H154" s="459">
        <f t="shared" si="29"/>
        <v>128228.30100000001</v>
      </c>
      <c r="I154" s="459">
        <f t="shared" si="29"/>
        <v>195197.21639999998</v>
      </c>
      <c r="J154" s="459">
        <f t="shared" si="29"/>
        <v>167903.8983</v>
      </c>
      <c r="K154" s="459">
        <f t="shared" si="29"/>
        <v>61278.456000000006</v>
      </c>
      <c r="L154" s="459">
        <f t="shared" si="29"/>
        <v>0</v>
      </c>
      <c r="M154" s="459">
        <f t="shared" si="29"/>
        <v>183513.55500000002</v>
      </c>
      <c r="N154" s="459">
        <f t="shared" si="29"/>
        <v>397404.02136000001</v>
      </c>
      <c r="O154" s="459">
        <f t="shared" si="28"/>
        <v>2605104.1254599998</v>
      </c>
      <c r="P154" s="416"/>
      <c r="Q154" s="416"/>
      <c r="R154" s="416"/>
      <c r="S154" s="416"/>
      <c r="T154" s="416"/>
      <c r="U154" s="416"/>
      <c r="V154" s="416"/>
      <c r="W154" s="416"/>
      <c r="X154" s="416"/>
      <c r="Y154" s="416"/>
      <c r="Z154" s="416"/>
      <c r="AA154" s="416"/>
      <c r="AB154" s="416"/>
      <c r="AC154" s="416"/>
      <c r="AD154" s="416"/>
    </row>
    <row r="155" spans="1:30" ht="15" customHeight="1">
      <c r="A155" s="416"/>
      <c r="B155" s="416"/>
      <c r="C155" s="416"/>
      <c r="D155" s="416"/>
      <c r="E155" s="416"/>
      <c r="F155" s="416"/>
      <c r="G155" s="416"/>
      <c r="H155" s="416"/>
      <c r="I155" s="416"/>
      <c r="J155" s="416"/>
      <c r="K155" s="416"/>
      <c r="L155" s="416"/>
      <c r="M155" s="416"/>
      <c r="N155" s="416"/>
      <c r="O155" s="463">
        <f>+O154/O98</f>
        <v>608.81427944510142</v>
      </c>
      <c r="P155" s="416">
        <v>487</v>
      </c>
      <c r="Q155" s="464">
        <f>+O155-P155</f>
        <v>121.81427944510142</v>
      </c>
      <c r="R155" s="416"/>
      <c r="S155" s="416"/>
      <c r="T155" s="416"/>
      <c r="U155" s="416"/>
      <c r="V155" s="416"/>
      <c r="W155" s="416"/>
      <c r="X155" s="416"/>
      <c r="Y155" s="416"/>
      <c r="Z155" s="416"/>
      <c r="AA155" s="416"/>
      <c r="AB155" s="416"/>
      <c r="AC155" s="416"/>
      <c r="AD155" s="416"/>
    </row>
    <row r="156" spans="1:30" ht="13.5" customHeight="1" thickBot="1">
      <c r="A156" s="416"/>
      <c r="B156" s="416"/>
      <c r="C156" s="416"/>
      <c r="D156" s="416"/>
      <c r="E156" s="416"/>
      <c r="F156" s="416"/>
      <c r="G156" s="416"/>
      <c r="H156" s="416"/>
      <c r="I156" s="416"/>
      <c r="J156" s="416"/>
      <c r="K156" s="416"/>
      <c r="L156" s="416"/>
      <c r="M156" s="416"/>
      <c r="N156" s="416"/>
      <c r="O156" s="416"/>
      <c r="P156" s="416"/>
      <c r="Q156" s="416"/>
      <c r="R156" s="416"/>
      <c r="S156" s="416"/>
      <c r="T156" s="416"/>
      <c r="U156" s="416"/>
      <c r="V156" s="416"/>
      <c r="W156" s="416"/>
      <c r="X156" s="416"/>
      <c r="Y156" s="416"/>
      <c r="Z156" s="416"/>
      <c r="AA156" s="416"/>
      <c r="AB156" s="416"/>
      <c r="AC156" s="416"/>
      <c r="AD156" s="416"/>
    </row>
    <row r="157" spans="1:30" ht="38.25" customHeight="1" thickBot="1">
      <c r="A157" s="416"/>
      <c r="B157" s="519" t="s">
        <v>92</v>
      </c>
      <c r="C157" s="520"/>
      <c r="D157" s="520"/>
      <c r="E157" s="520"/>
      <c r="F157" s="520"/>
      <c r="G157" s="520"/>
      <c r="H157" s="520"/>
      <c r="I157" s="520"/>
      <c r="J157" s="520"/>
      <c r="K157" s="520"/>
      <c r="L157" s="520"/>
      <c r="M157" s="520"/>
      <c r="N157" s="520"/>
      <c r="O157" s="521"/>
      <c r="P157" s="416"/>
      <c r="Q157" s="465">
        <f>+Q155/P155</f>
        <v>0.25013199064702551</v>
      </c>
      <c r="R157" s="416"/>
      <c r="S157" s="416"/>
      <c r="T157" s="416"/>
      <c r="U157" s="416"/>
      <c r="V157" s="416"/>
      <c r="W157" s="416"/>
      <c r="X157" s="416"/>
      <c r="Y157" s="416"/>
      <c r="Z157" s="416"/>
      <c r="AA157" s="416"/>
      <c r="AB157" s="416"/>
      <c r="AC157" s="416"/>
      <c r="AD157" s="416"/>
    </row>
    <row r="158" spans="1:30" ht="12.75" customHeight="1">
      <c r="A158" s="416"/>
      <c r="B158" s="416"/>
      <c r="C158" s="416"/>
      <c r="D158" s="416"/>
      <c r="E158" s="416"/>
      <c r="F158" s="416"/>
      <c r="G158" s="416"/>
      <c r="H158" s="416"/>
      <c r="I158" s="416"/>
      <c r="J158" s="416"/>
      <c r="K158" s="416"/>
      <c r="L158" s="416"/>
      <c r="M158" s="416"/>
      <c r="N158" s="416"/>
      <c r="O158" s="416"/>
      <c r="P158" s="416"/>
      <c r="Q158" s="416"/>
      <c r="R158" s="416"/>
      <c r="S158" s="416"/>
      <c r="T158" s="416"/>
      <c r="U158" s="416"/>
      <c r="V158" s="416"/>
      <c r="W158" s="416"/>
      <c r="X158" s="416"/>
      <c r="Y158" s="416"/>
      <c r="Z158" s="416"/>
      <c r="AA158" s="416"/>
      <c r="AB158" s="416"/>
      <c r="AC158" s="416"/>
      <c r="AD158" s="416"/>
    </row>
    <row r="159" spans="1:30" ht="12.75" customHeight="1">
      <c r="A159" s="416"/>
      <c r="B159" s="416"/>
      <c r="C159" s="416"/>
      <c r="D159" s="416"/>
      <c r="E159" s="416"/>
      <c r="F159" s="416"/>
      <c r="G159" s="416"/>
      <c r="H159" s="416"/>
      <c r="I159" s="416"/>
      <c r="J159" s="416"/>
      <c r="K159" s="416"/>
      <c r="L159" s="416"/>
      <c r="M159" s="416"/>
      <c r="N159" s="416"/>
      <c r="O159" s="416"/>
      <c r="P159" s="416"/>
      <c r="Q159" s="416"/>
      <c r="R159" s="416"/>
      <c r="S159" s="416"/>
      <c r="T159" s="416"/>
      <c r="U159" s="416"/>
      <c r="V159" s="416"/>
      <c r="W159" s="416"/>
      <c r="X159" s="416"/>
      <c r="Y159" s="416"/>
      <c r="Z159" s="416"/>
      <c r="AA159" s="416"/>
      <c r="AB159" s="416"/>
      <c r="AC159" s="416"/>
      <c r="AD159" s="416"/>
    </row>
    <row r="160" spans="1:30" ht="12.75" customHeight="1">
      <c r="A160" s="416"/>
      <c r="B160" s="416" t="s">
        <v>80</v>
      </c>
      <c r="C160" s="454">
        <v>0.85</v>
      </c>
      <c r="D160" s="454">
        <v>0.85</v>
      </c>
      <c r="E160" s="454">
        <v>0.85</v>
      </c>
      <c r="F160" s="454">
        <v>0.5</v>
      </c>
      <c r="G160" s="454">
        <v>0.5</v>
      </c>
      <c r="H160" s="454">
        <v>0.5</v>
      </c>
      <c r="I160" s="454">
        <v>0.5</v>
      </c>
      <c r="J160" s="454">
        <v>0.5</v>
      </c>
      <c r="K160" s="454">
        <v>0.5</v>
      </c>
      <c r="L160" s="454">
        <v>0.5</v>
      </c>
      <c r="M160" s="454">
        <v>0.6</v>
      </c>
      <c r="N160" s="454">
        <v>0.65</v>
      </c>
      <c r="O160" s="454"/>
      <c r="P160" s="416"/>
      <c r="Q160" s="416"/>
      <c r="R160" s="416"/>
      <c r="S160" s="416"/>
      <c r="T160" s="416"/>
      <c r="U160" s="416"/>
      <c r="V160" s="416"/>
      <c r="W160" s="416"/>
      <c r="X160" s="416"/>
      <c r="Y160" s="416"/>
      <c r="Z160" s="416"/>
      <c r="AA160" s="416"/>
      <c r="AB160" s="416"/>
      <c r="AC160" s="416"/>
      <c r="AD160" s="416"/>
    </row>
    <row r="161" spans="1:30" ht="18.75" customHeight="1">
      <c r="A161" s="416"/>
      <c r="B161" s="433" t="s">
        <v>50</v>
      </c>
      <c r="C161" s="434" t="s">
        <v>13</v>
      </c>
      <c r="D161" s="434" t="s">
        <v>14</v>
      </c>
      <c r="E161" s="434" t="s">
        <v>15</v>
      </c>
      <c r="F161" s="434" t="s">
        <v>16</v>
      </c>
      <c r="G161" s="434" t="s">
        <v>51</v>
      </c>
      <c r="H161" s="434" t="s">
        <v>18</v>
      </c>
      <c r="I161" s="434" t="s">
        <v>19</v>
      </c>
      <c r="J161" s="434" t="s">
        <v>20</v>
      </c>
      <c r="K161" s="434" t="s">
        <v>21</v>
      </c>
      <c r="L161" s="434" t="s">
        <v>22</v>
      </c>
      <c r="M161" s="434" t="s">
        <v>23</v>
      </c>
      <c r="N161" s="434" t="s">
        <v>24</v>
      </c>
      <c r="O161" s="434" t="s">
        <v>25</v>
      </c>
      <c r="P161" s="416"/>
      <c r="Q161" s="416"/>
      <c r="R161" s="416"/>
      <c r="S161" s="416"/>
      <c r="T161" s="416"/>
      <c r="U161" s="416"/>
      <c r="V161" s="416"/>
      <c r="W161" s="416"/>
      <c r="X161" s="416"/>
      <c r="Y161" s="416"/>
      <c r="Z161" s="416"/>
      <c r="AA161" s="416"/>
      <c r="AB161" s="416"/>
      <c r="AC161" s="416"/>
      <c r="AD161" s="416"/>
    </row>
    <row r="162" spans="1:30" ht="12.75" customHeight="1">
      <c r="A162" s="416"/>
      <c r="B162" s="437" t="s">
        <v>41</v>
      </c>
      <c r="C162" s="456">
        <f t="shared" ref="C162:O168" si="30">+C148/C92</f>
        <v>595.94999999999993</v>
      </c>
      <c r="D162" s="456">
        <f t="shared" si="30"/>
        <v>595.95000000000005</v>
      </c>
      <c r="E162" s="456">
        <f t="shared" si="30"/>
        <v>595.94999999999993</v>
      </c>
      <c r="F162" s="456">
        <f t="shared" si="30"/>
        <v>595.95000000000005</v>
      </c>
      <c r="G162" s="456">
        <f t="shared" si="30"/>
        <v>505.53</v>
      </c>
      <c r="H162" s="456">
        <f t="shared" si="30"/>
        <v>505.53</v>
      </c>
      <c r="I162" s="456">
        <f t="shared" si="30"/>
        <v>505.52999999999992</v>
      </c>
      <c r="J162" s="456">
        <f t="shared" si="30"/>
        <v>505.52999999999992</v>
      </c>
      <c r="K162" s="456">
        <f t="shared" si="30"/>
        <v>460.32</v>
      </c>
      <c r="L162" s="456" t="e">
        <f t="shared" si="30"/>
        <v>#DIV/0!</v>
      </c>
      <c r="M162" s="456">
        <f t="shared" si="30"/>
        <v>472.65</v>
      </c>
      <c r="N162" s="456">
        <f t="shared" si="30"/>
        <v>682.26</v>
      </c>
      <c r="O162" s="456">
        <f t="shared" si="30"/>
        <v>567.54031221171579</v>
      </c>
      <c r="P162" s="416"/>
      <c r="Q162" s="416"/>
      <c r="R162" s="416"/>
      <c r="S162" s="416"/>
      <c r="T162" s="416"/>
      <c r="U162" s="416"/>
      <c r="V162" s="416"/>
      <c r="W162" s="416"/>
      <c r="X162" s="416"/>
      <c r="Y162" s="416"/>
      <c r="Z162" s="416"/>
      <c r="AA162" s="416"/>
      <c r="AB162" s="416"/>
      <c r="AC162" s="416"/>
      <c r="AD162" s="416"/>
    </row>
    <row r="163" spans="1:30" ht="12.75" customHeight="1">
      <c r="A163" s="416"/>
      <c r="B163" s="437" t="s">
        <v>42</v>
      </c>
      <c r="C163" s="456">
        <f t="shared" si="30"/>
        <v>550.7399999999999</v>
      </c>
      <c r="D163" s="456">
        <f t="shared" si="30"/>
        <v>550.7399999999999</v>
      </c>
      <c r="E163" s="456">
        <f t="shared" si="30"/>
        <v>550.7399999999999</v>
      </c>
      <c r="F163" s="456">
        <f t="shared" si="30"/>
        <v>521.96999999999991</v>
      </c>
      <c r="G163" s="456">
        <f t="shared" si="30"/>
        <v>464.43</v>
      </c>
      <c r="H163" s="456">
        <f t="shared" si="30"/>
        <v>464.42999999999995</v>
      </c>
      <c r="I163" s="456">
        <f t="shared" si="30"/>
        <v>464.43</v>
      </c>
      <c r="J163" s="456">
        <f t="shared" si="30"/>
        <v>464.42999999999995</v>
      </c>
      <c r="K163" s="456">
        <f t="shared" si="30"/>
        <v>423.33</v>
      </c>
      <c r="L163" s="456" t="e">
        <f t="shared" si="30"/>
        <v>#DIV/0!</v>
      </c>
      <c r="M163" s="456">
        <f t="shared" si="30"/>
        <v>439.77000000000004</v>
      </c>
      <c r="N163" s="456">
        <f t="shared" si="30"/>
        <v>637.04999999999995</v>
      </c>
      <c r="O163" s="456">
        <f t="shared" si="30"/>
        <v>513.44745251551922</v>
      </c>
      <c r="P163" s="416"/>
      <c r="Q163" s="416"/>
      <c r="R163" s="416"/>
      <c r="S163" s="416"/>
      <c r="T163" s="416"/>
      <c r="U163" s="416"/>
      <c r="V163" s="416"/>
      <c r="W163" s="416"/>
      <c r="X163" s="416"/>
      <c r="Y163" s="416"/>
      <c r="Z163" s="416"/>
      <c r="AA163" s="416"/>
      <c r="AB163" s="416"/>
      <c r="AC163" s="416"/>
      <c r="AD163" s="416"/>
    </row>
    <row r="164" spans="1:30" ht="12.75" customHeight="1">
      <c r="A164" s="416"/>
      <c r="B164" s="437" t="s">
        <v>43</v>
      </c>
      <c r="C164" s="456">
        <f t="shared" si="30"/>
        <v>443.88</v>
      </c>
      <c r="D164" s="456">
        <f t="shared" si="30"/>
        <v>443.87999999999988</v>
      </c>
      <c r="E164" s="456">
        <f t="shared" si="30"/>
        <v>443.87999999999994</v>
      </c>
      <c r="F164" s="456">
        <f t="shared" si="30"/>
        <v>419.21999999999991</v>
      </c>
      <c r="G164" s="456">
        <f t="shared" si="30"/>
        <v>365.78999999999996</v>
      </c>
      <c r="H164" s="456">
        <f t="shared" si="30"/>
        <v>365.79</v>
      </c>
      <c r="I164" s="456">
        <f t="shared" si="30"/>
        <v>365.78999999999996</v>
      </c>
      <c r="J164" s="456">
        <f t="shared" si="30"/>
        <v>365.78999999999996</v>
      </c>
      <c r="K164" s="456">
        <f t="shared" si="30"/>
        <v>332.90999999999997</v>
      </c>
      <c r="L164" s="456" t="e">
        <f t="shared" si="30"/>
        <v>#DIV/0!</v>
      </c>
      <c r="M164" s="456">
        <f t="shared" si="30"/>
        <v>341.13</v>
      </c>
      <c r="N164" s="456">
        <f t="shared" si="30"/>
        <v>517.8599999999999</v>
      </c>
      <c r="O164" s="456">
        <f t="shared" si="30"/>
        <v>416.86712095629434</v>
      </c>
      <c r="P164" s="416"/>
      <c r="Q164" s="416"/>
      <c r="R164" s="416"/>
      <c r="S164" s="416"/>
      <c r="T164" s="416"/>
      <c r="U164" s="416"/>
      <c r="V164" s="416"/>
      <c r="W164" s="416"/>
      <c r="X164" s="416"/>
      <c r="Y164" s="416"/>
      <c r="Z164" s="416"/>
      <c r="AA164" s="416"/>
      <c r="AB164" s="416"/>
      <c r="AC164" s="416"/>
      <c r="AD164" s="416"/>
    </row>
    <row r="165" spans="1:30" ht="12.75" customHeight="1">
      <c r="A165" s="416"/>
      <c r="B165" s="437" t="s">
        <v>44</v>
      </c>
      <c r="C165" s="456">
        <f t="shared" si="30"/>
        <v>398.66999999999996</v>
      </c>
      <c r="D165" s="456">
        <f t="shared" si="30"/>
        <v>398.66999999999996</v>
      </c>
      <c r="E165" s="456">
        <f t="shared" si="30"/>
        <v>398.67</v>
      </c>
      <c r="F165" s="456">
        <f t="shared" si="30"/>
        <v>365.78999999999996</v>
      </c>
      <c r="G165" s="456">
        <f t="shared" si="30"/>
        <v>324.69</v>
      </c>
      <c r="H165" s="456">
        <f t="shared" si="30"/>
        <v>324.69</v>
      </c>
      <c r="I165" s="456">
        <f t="shared" si="30"/>
        <v>324.68999999999994</v>
      </c>
      <c r="J165" s="456">
        <f t="shared" si="30"/>
        <v>324.69</v>
      </c>
      <c r="K165" s="456">
        <f t="shared" si="30"/>
        <v>295.92</v>
      </c>
      <c r="L165" s="456" t="e">
        <f t="shared" si="30"/>
        <v>#DIV/0!</v>
      </c>
      <c r="M165" s="456">
        <f t="shared" si="30"/>
        <v>308.25</v>
      </c>
      <c r="N165" s="456">
        <f t="shared" si="30"/>
        <v>472.65</v>
      </c>
      <c r="O165" s="456">
        <f t="shared" si="30"/>
        <v>381.80324479323872</v>
      </c>
      <c r="P165" s="416"/>
      <c r="Q165" s="416"/>
      <c r="R165" s="416"/>
      <c r="S165" s="416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/>
      <c r="AD165" s="416"/>
    </row>
    <row r="166" spans="1:30" ht="12.75" customHeight="1">
      <c r="A166" s="416"/>
      <c r="B166" s="437" t="s">
        <v>45</v>
      </c>
      <c r="C166" s="456">
        <f t="shared" si="30"/>
        <v>834.32999999999993</v>
      </c>
      <c r="D166" s="456">
        <f t="shared" si="30"/>
        <v>834.32999999999993</v>
      </c>
      <c r="E166" s="456">
        <f t="shared" si="30"/>
        <v>834.32999999999993</v>
      </c>
      <c r="F166" s="456">
        <f t="shared" si="30"/>
        <v>797.33999999999992</v>
      </c>
      <c r="G166" s="456">
        <f t="shared" si="30"/>
        <v>719.24999999999989</v>
      </c>
      <c r="H166" s="456">
        <f t="shared" si="30"/>
        <v>719.25</v>
      </c>
      <c r="I166" s="456">
        <f t="shared" si="30"/>
        <v>719.25</v>
      </c>
      <c r="J166" s="456">
        <f t="shared" si="30"/>
        <v>719.25</v>
      </c>
      <c r="K166" s="456">
        <f t="shared" si="30"/>
        <v>665.81999999999994</v>
      </c>
      <c r="L166" s="456" t="e">
        <f t="shared" si="30"/>
        <v>#DIV/0!</v>
      </c>
      <c r="M166" s="456">
        <f t="shared" si="30"/>
        <v>694.59</v>
      </c>
      <c r="N166" s="456">
        <f t="shared" si="30"/>
        <v>945.3</v>
      </c>
      <c r="O166" s="456">
        <f t="shared" si="30"/>
        <v>800.40807663892031</v>
      </c>
      <c r="P166" s="416"/>
      <c r="Q166" s="416"/>
      <c r="R166" s="416"/>
      <c r="S166" s="416"/>
      <c r="T166" s="416"/>
      <c r="U166" s="416"/>
      <c r="V166" s="416"/>
      <c r="W166" s="416"/>
      <c r="X166" s="416"/>
      <c r="Y166" s="416"/>
      <c r="Z166" s="416"/>
      <c r="AA166" s="416"/>
      <c r="AB166" s="416"/>
      <c r="AC166" s="416"/>
      <c r="AD166" s="416"/>
    </row>
    <row r="167" spans="1:30" ht="13.5" customHeight="1" thickBot="1">
      <c r="A167" s="416"/>
      <c r="B167" s="437" t="s">
        <v>46</v>
      </c>
      <c r="C167" s="456">
        <f t="shared" si="30"/>
        <v>928.8599999999999</v>
      </c>
      <c r="D167" s="456">
        <f t="shared" si="30"/>
        <v>928.86</v>
      </c>
      <c r="E167" s="456">
        <f t="shared" si="30"/>
        <v>928.8599999999999</v>
      </c>
      <c r="F167" s="456">
        <f t="shared" si="30"/>
        <v>875.43000000000006</v>
      </c>
      <c r="G167" s="456">
        <f t="shared" si="30"/>
        <v>805.56</v>
      </c>
      <c r="H167" s="456">
        <f t="shared" si="30"/>
        <v>805.56000000000006</v>
      </c>
      <c r="I167" s="456">
        <f t="shared" si="30"/>
        <v>805.56000000000006</v>
      </c>
      <c r="J167" s="456">
        <f t="shared" si="30"/>
        <v>805.56</v>
      </c>
      <c r="K167" s="456">
        <f t="shared" si="30"/>
        <v>748.01999999999987</v>
      </c>
      <c r="L167" s="456" t="e">
        <f t="shared" si="30"/>
        <v>#DIV/0!</v>
      </c>
      <c r="M167" s="456">
        <f t="shared" si="30"/>
        <v>793.2299999999999</v>
      </c>
      <c r="N167" s="456">
        <f t="shared" si="30"/>
        <v>1053.8040000000001</v>
      </c>
      <c r="O167" s="466">
        <f t="shared" si="30"/>
        <v>882.22179969732042</v>
      </c>
      <c r="P167" s="416"/>
      <c r="Q167" s="416"/>
      <c r="R167" s="416"/>
      <c r="S167" s="416"/>
      <c r="T167" s="416"/>
      <c r="U167" s="416"/>
      <c r="V167" s="416"/>
      <c r="W167" s="416"/>
      <c r="X167" s="416"/>
      <c r="Y167" s="416"/>
      <c r="Z167" s="416"/>
      <c r="AA167" s="416"/>
      <c r="AB167" s="416"/>
      <c r="AC167" s="416"/>
      <c r="AD167" s="416"/>
    </row>
    <row r="168" spans="1:30" ht="18.75" customHeight="1" thickBot="1">
      <c r="A168" s="416"/>
      <c r="B168" s="458" t="s">
        <v>25</v>
      </c>
      <c r="C168" s="467">
        <f t="shared" si="30"/>
        <v>643.48892094633572</v>
      </c>
      <c r="D168" s="467">
        <f t="shared" si="30"/>
        <v>628.16669050051064</v>
      </c>
      <c r="E168" s="467">
        <f t="shared" si="30"/>
        <v>627.33545454545447</v>
      </c>
      <c r="F168" s="467">
        <f t="shared" si="30"/>
        <v>603.55883556254923</v>
      </c>
      <c r="G168" s="467">
        <f t="shared" si="30"/>
        <v>539.9130371900826</v>
      </c>
      <c r="H168" s="467">
        <f t="shared" si="30"/>
        <v>541.73342205323195</v>
      </c>
      <c r="I168" s="467">
        <f t="shared" si="30"/>
        <v>535.43234693877548</v>
      </c>
      <c r="J168" s="467">
        <f t="shared" si="30"/>
        <v>616.95351203380494</v>
      </c>
      <c r="K168" s="467">
        <f t="shared" si="30"/>
        <v>468.48972477064223</v>
      </c>
      <c r="L168" s="467" t="e">
        <f t="shared" si="30"/>
        <v>#DIV/0!</v>
      </c>
      <c r="M168" s="467">
        <f t="shared" si="30"/>
        <v>537.06044776119404</v>
      </c>
      <c r="N168" s="468">
        <f t="shared" si="30"/>
        <v>728.3798045454547</v>
      </c>
      <c r="O168" s="469">
        <f t="shared" si="30"/>
        <v>608.81427944510142</v>
      </c>
      <c r="P168" s="416"/>
      <c r="Q168" s="416"/>
      <c r="R168" s="416"/>
      <c r="S168" s="416"/>
      <c r="T168" s="416"/>
      <c r="U168" s="416"/>
      <c r="V168" s="416"/>
      <c r="W168" s="416"/>
      <c r="X168" s="416"/>
      <c r="Y168" s="416"/>
      <c r="Z168" s="416"/>
      <c r="AA168" s="416"/>
      <c r="AB168" s="416"/>
      <c r="AC168" s="416"/>
      <c r="AD168" s="416"/>
    </row>
    <row r="169" spans="1:30" ht="12.75" customHeight="1">
      <c r="A169" s="416"/>
      <c r="B169" s="416"/>
      <c r="C169" s="416"/>
      <c r="D169" s="416"/>
      <c r="E169" s="416"/>
      <c r="F169" s="416"/>
      <c r="G169" s="416"/>
      <c r="H169" s="416"/>
      <c r="I169" s="416"/>
      <c r="J169" s="416"/>
      <c r="K169" s="416"/>
      <c r="L169" s="416"/>
      <c r="M169" s="416"/>
      <c r="N169" s="416"/>
      <c r="O169" s="416"/>
      <c r="P169" s="416"/>
      <c r="Q169" s="416"/>
      <c r="R169" s="416"/>
      <c r="S169" s="416"/>
      <c r="T169" s="416"/>
      <c r="U169" s="416"/>
      <c r="V169" s="416"/>
      <c r="W169" s="416"/>
      <c r="X169" s="416"/>
      <c r="Y169" s="416"/>
      <c r="Z169" s="416"/>
      <c r="AA169" s="416"/>
      <c r="AB169" s="416"/>
      <c r="AC169" s="416"/>
      <c r="AD169" s="416"/>
    </row>
    <row r="170" spans="1:30" ht="12.75" customHeight="1">
      <c r="A170" s="416"/>
      <c r="B170" s="416"/>
      <c r="C170" s="416"/>
      <c r="D170" s="416"/>
      <c r="E170" s="416"/>
      <c r="F170" s="416"/>
      <c r="G170" s="416"/>
      <c r="H170" s="416"/>
      <c r="I170" s="416"/>
      <c r="J170" s="416"/>
      <c r="K170" s="416"/>
      <c r="L170" s="416"/>
      <c r="M170" s="416"/>
      <c r="N170" s="416"/>
      <c r="O170" s="416">
        <v>487</v>
      </c>
      <c r="P170" s="416"/>
      <c r="Q170" s="416"/>
      <c r="R170" s="416"/>
      <c r="S170" s="416"/>
      <c r="T170" s="416"/>
      <c r="U170" s="416"/>
      <c r="V170" s="416"/>
      <c r="W170" s="416"/>
      <c r="X170" s="416"/>
      <c r="Y170" s="416"/>
      <c r="Z170" s="416"/>
      <c r="AA170" s="416"/>
      <c r="AB170" s="416"/>
      <c r="AC170" s="416"/>
      <c r="AD170" s="416"/>
    </row>
    <row r="171" spans="1:30" ht="30" customHeight="1">
      <c r="A171" s="416"/>
      <c r="B171" s="422" t="s">
        <v>93</v>
      </c>
      <c r="C171" s="416"/>
      <c r="D171" s="416"/>
      <c r="E171" s="416"/>
      <c r="F171" s="416"/>
      <c r="G171" s="416"/>
      <c r="H171" s="416"/>
      <c r="I171" s="416"/>
      <c r="J171" s="416"/>
      <c r="K171" s="416"/>
      <c r="L171" s="416"/>
      <c r="M171" s="416"/>
      <c r="N171" s="416"/>
      <c r="O171" s="457">
        <f>+O168-O170</f>
        <v>121.81427944510142</v>
      </c>
      <c r="P171" s="452">
        <f>+O171/O170</f>
        <v>0.25013199064702551</v>
      </c>
      <c r="Q171" s="416"/>
      <c r="R171" s="416"/>
      <c r="S171" s="416"/>
      <c r="T171" s="416"/>
      <c r="U171" s="416"/>
      <c r="V171" s="416"/>
      <c r="W171" s="416"/>
      <c r="X171" s="416"/>
      <c r="Y171" s="416"/>
      <c r="Z171" s="416"/>
      <c r="AA171" s="416"/>
      <c r="AB171" s="416"/>
      <c r="AC171" s="416"/>
      <c r="AD171" s="416"/>
    </row>
    <row r="172" spans="1:30" ht="12.75" customHeight="1" thickBot="1">
      <c r="A172" s="416"/>
      <c r="B172" s="416"/>
      <c r="C172" s="416"/>
      <c r="D172" s="416"/>
      <c r="E172" s="416"/>
      <c r="F172" s="416"/>
      <c r="G172" s="416"/>
      <c r="H172" s="416"/>
      <c r="I172" s="416"/>
      <c r="J172" s="416"/>
      <c r="K172" s="416"/>
      <c r="L172" s="416"/>
      <c r="M172" s="416"/>
      <c r="N172" s="416"/>
      <c r="O172" s="416"/>
      <c r="P172" s="416"/>
      <c r="Q172" s="416"/>
      <c r="R172" s="416"/>
      <c r="S172" s="416"/>
      <c r="T172" s="416"/>
      <c r="U172" s="416"/>
      <c r="V172" s="416"/>
      <c r="W172" s="416"/>
      <c r="X172" s="416"/>
      <c r="Y172" s="416"/>
      <c r="Z172" s="416"/>
      <c r="AA172" s="416"/>
      <c r="AB172" s="416"/>
      <c r="AC172" s="416"/>
      <c r="AD172" s="416"/>
    </row>
    <row r="173" spans="1:30" ht="22.5" customHeight="1" thickBot="1">
      <c r="A173" s="416"/>
      <c r="B173" s="416" t="s">
        <v>94</v>
      </c>
      <c r="C173" s="470">
        <v>1.7</v>
      </c>
      <c r="D173" s="471">
        <v>1.7</v>
      </c>
      <c r="E173" s="471">
        <v>1.7</v>
      </c>
      <c r="F173" s="471">
        <v>1.7</v>
      </c>
      <c r="G173" s="471">
        <v>1.7</v>
      </c>
      <c r="H173" s="471">
        <v>1.7</v>
      </c>
      <c r="I173" s="471">
        <v>1.7</v>
      </c>
      <c r="J173" s="471">
        <v>1.7</v>
      </c>
      <c r="K173" s="471">
        <v>1.7</v>
      </c>
      <c r="L173" s="471">
        <v>1.7</v>
      </c>
      <c r="M173" s="471">
        <v>1.7</v>
      </c>
      <c r="N173" s="472">
        <v>1.7</v>
      </c>
      <c r="O173" s="416"/>
      <c r="P173" s="416"/>
      <c r="Q173" s="416"/>
      <c r="R173" s="416"/>
      <c r="S173" s="416"/>
      <c r="T173" s="416"/>
      <c r="U173" s="416"/>
      <c r="V173" s="416"/>
      <c r="W173" s="416"/>
      <c r="X173" s="416"/>
      <c r="Y173" s="416"/>
      <c r="Z173" s="416"/>
      <c r="AA173" s="416"/>
      <c r="AB173" s="416"/>
      <c r="AC173" s="416"/>
      <c r="AD173" s="416"/>
    </row>
    <row r="174" spans="1:30" ht="22.5" customHeight="1">
      <c r="A174" s="416"/>
      <c r="B174" s="416" t="s">
        <v>80</v>
      </c>
      <c r="C174" s="454"/>
      <c r="D174" s="454"/>
      <c r="E174" s="454"/>
      <c r="F174" s="454"/>
      <c r="G174" s="454"/>
      <c r="H174" s="454"/>
      <c r="I174" s="454"/>
      <c r="J174" s="454"/>
      <c r="K174" s="454"/>
      <c r="L174" s="454"/>
      <c r="M174" s="454"/>
      <c r="N174" s="454"/>
      <c r="O174" s="454"/>
      <c r="P174" s="416"/>
      <c r="Q174" s="416"/>
      <c r="R174" s="416"/>
      <c r="S174" s="416"/>
      <c r="T174" s="416"/>
      <c r="U174" s="416"/>
      <c r="V174" s="416"/>
      <c r="W174" s="416"/>
      <c r="X174" s="416"/>
      <c r="Y174" s="416"/>
      <c r="Z174" s="416"/>
      <c r="AA174" s="416"/>
      <c r="AB174" s="416"/>
      <c r="AC174" s="416"/>
      <c r="AD174" s="416"/>
    </row>
    <row r="175" spans="1:30" ht="18.75" customHeight="1">
      <c r="A175" s="416"/>
      <c r="B175" s="433" t="s">
        <v>50</v>
      </c>
      <c r="C175" s="434" t="s">
        <v>13</v>
      </c>
      <c r="D175" s="434" t="s">
        <v>14</v>
      </c>
      <c r="E175" s="434" t="s">
        <v>15</v>
      </c>
      <c r="F175" s="434" t="s">
        <v>16</v>
      </c>
      <c r="G175" s="434" t="s">
        <v>51</v>
      </c>
      <c r="H175" s="434" t="s">
        <v>18</v>
      </c>
      <c r="I175" s="434" t="s">
        <v>19</v>
      </c>
      <c r="J175" s="434" t="s">
        <v>20</v>
      </c>
      <c r="K175" s="434" t="s">
        <v>21</v>
      </c>
      <c r="L175" s="434" t="s">
        <v>22</v>
      </c>
      <c r="M175" s="434" t="s">
        <v>23</v>
      </c>
      <c r="N175" s="434" t="s">
        <v>24</v>
      </c>
      <c r="O175" s="434" t="s">
        <v>25</v>
      </c>
      <c r="P175" s="416"/>
      <c r="Q175" s="416"/>
      <c r="R175" s="416"/>
      <c r="S175" s="416"/>
      <c r="T175" s="416"/>
      <c r="U175" s="416"/>
      <c r="V175" s="416"/>
      <c r="W175" s="416"/>
      <c r="X175" s="416"/>
      <c r="Y175" s="416"/>
      <c r="Z175" s="416"/>
      <c r="AA175" s="416"/>
      <c r="AB175" s="416"/>
      <c r="AC175" s="416"/>
      <c r="AD175" s="416"/>
    </row>
    <row r="176" spans="1:30" ht="12.75" customHeight="1">
      <c r="A176" s="416"/>
      <c r="B176" s="437" t="s">
        <v>41</v>
      </c>
      <c r="C176" s="450">
        <f t="shared" ref="C176:N181" si="31">+C$173*C92</f>
        <v>132.80399999999997</v>
      </c>
      <c r="D176" s="450">
        <f t="shared" si="31"/>
        <v>162.79199999999997</v>
      </c>
      <c r="E176" s="450">
        <f t="shared" si="31"/>
        <v>183.39599999999999</v>
      </c>
      <c r="F176" s="450">
        <f t="shared" si="31"/>
        <v>97.92</v>
      </c>
      <c r="G176" s="450">
        <f t="shared" si="31"/>
        <v>110.66999999999999</v>
      </c>
      <c r="H176" s="450">
        <f t="shared" si="31"/>
        <v>76.5</v>
      </c>
      <c r="I176" s="450">
        <f t="shared" si="31"/>
        <v>79.05</v>
      </c>
      <c r="J176" s="450">
        <f t="shared" si="31"/>
        <v>79.05</v>
      </c>
      <c r="K176" s="450">
        <f t="shared" si="31"/>
        <v>32.299999999999997</v>
      </c>
      <c r="L176" s="450">
        <f t="shared" si="31"/>
        <v>0</v>
      </c>
      <c r="M176" s="450">
        <f t="shared" si="31"/>
        <v>82.62</v>
      </c>
      <c r="N176" s="450">
        <f t="shared" si="31"/>
        <v>142.29</v>
      </c>
      <c r="O176" s="450">
        <f t="shared" ref="O176:O181" si="32">SUM(C176:N176)</f>
        <v>1179.3919999999998</v>
      </c>
      <c r="P176" s="416"/>
      <c r="Q176" s="416"/>
      <c r="R176" s="416"/>
      <c r="S176" s="416"/>
      <c r="T176" s="416"/>
      <c r="U176" s="416"/>
      <c r="V176" s="416"/>
      <c r="W176" s="416"/>
      <c r="X176" s="416"/>
      <c r="Y176" s="416"/>
      <c r="Z176" s="416"/>
      <c r="AA176" s="416"/>
      <c r="AB176" s="416"/>
      <c r="AC176" s="416"/>
      <c r="AD176" s="416"/>
    </row>
    <row r="177" spans="1:30" ht="12.75" customHeight="1">
      <c r="A177" s="416"/>
      <c r="B177" s="437" t="s">
        <v>42</v>
      </c>
      <c r="C177" s="450">
        <f t="shared" si="31"/>
        <v>70.617999999999995</v>
      </c>
      <c r="D177" s="450">
        <f t="shared" si="31"/>
        <v>80.92</v>
      </c>
      <c r="E177" s="450">
        <f t="shared" si="31"/>
        <v>94.86</v>
      </c>
      <c r="F177" s="450">
        <f t="shared" si="31"/>
        <v>63.24</v>
      </c>
      <c r="G177" s="450">
        <f t="shared" si="31"/>
        <v>54.808</v>
      </c>
      <c r="H177" s="450">
        <f t="shared" si="31"/>
        <v>28.56</v>
      </c>
      <c r="I177" s="450">
        <f t="shared" si="31"/>
        <v>91.697999999999993</v>
      </c>
      <c r="J177" s="450">
        <f t="shared" si="31"/>
        <v>65.347999999999999</v>
      </c>
      <c r="K177" s="450">
        <f t="shared" si="31"/>
        <v>37.4</v>
      </c>
      <c r="L177" s="450">
        <f t="shared" si="31"/>
        <v>0</v>
      </c>
      <c r="M177" s="450">
        <f t="shared" si="31"/>
        <v>64.259999999999991</v>
      </c>
      <c r="N177" s="450">
        <f t="shared" si="31"/>
        <v>82.212000000000003</v>
      </c>
      <c r="O177" s="450">
        <f t="shared" si="32"/>
        <v>733.92399999999998</v>
      </c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</row>
    <row r="178" spans="1:30" ht="12.75" customHeight="1">
      <c r="A178" s="416"/>
      <c r="B178" s="437" t="s">
        <v>43</v>
      </c>
      <c r="C178" s="450">
        <f t="shared" si="31"/>
        <v>137.547</v>
      </c>
      <c r="D178" s="450">
        <f t="shared" si="31"/>
        <v>131.376</v>
      </c>
      <c r="E178" s="450">
        <f t="shared" si="31"/>
        <v>151.77600000000001</v>
      </c>
      <c r="F178" s="450">
        <f t="shared" si="31"/>
        <v>126.99</v>
      </c>
      <c r="G178" s="450">
        <f t="shared" si="31"/>
        <v>88.536000000000001</v>
      </c>
      <c r="H178" s="450">
        <f t="shared" si="31"/>
        <v>82.62</v>
      </c>
      <c r="I178" s="450">
        <f t="shared" si="31"/>
        <v>120.15600000000001</v>
      </c>
      <c r="J178" s="450">
        <f t="shared" si="31"/>
        <v>55.334999999999994</v>
      </c>
      <c r="K178" s="450">
        <f t="shared" si="31"/>
        <v>47.6</v>
      </c>
      <c r="L178" s="450">
        <f t="shared" si="31"/>
        <v>0</v>
      </c>
      <c r="M178" s="450">
        <f t="shared" si="31"/>
        <v>55.08</v>
      </c>
      <c r="N178" s="450">
        <f t="shared" si="31"/>
        <v>140.709</v>
      </c>
      <c r="O178" s="450">
        <f t="shared" si="32"/>
        <v>1137.7250000000001</v>
      </c>
      <c r="P178" s="416"/>
      <c r="Q178" s="416"/>
      <c r="R178" s="416"/>
      <c r="S178" s="416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/>
      <c r="AD178" s="416"/>
    </row>
    <row r="179" spans="1:30" ht="12.75" customHeight="1">
      <c r="A179" s="416"/>
      <c r="B179" s="437" t="s">
        <v>44</v>
      </c>
      <c r="C179" s="450">
        <f t="shared" si="31"/>
        <v>189.72</v>
      </c>
      <c r="D179" s="450">
        <f t="shared" si="31"/>
        <v>209.44000000000003</v>
      </c>
      <c r="E179" s="450">
        <f t="shared" si="31"/>
        <v>236.09600000000003</v>
      </c>
      <c r="F179" s="450">
        <f t="shared" si="31"/>
        <v>114.24</v>
      </c>
      <c r="G179" s="450">
        <f t="shared" si="31"/>
        <v>75.888000000000005</v>
      </c>
      <c r="H179" s="450">
        <f t="shared" si="31"/>
        <v>61.199999999999996</v>
      </c>
      <c r="I179" s="450">
        <f t="shared" si="31"/>
        <v>101.184</v>
      </c>
      <c r="J179" s="450">
        <f t="shared" si="31"/>
        <v>6.8</v>
      </c>
      <c r="K179" s="450">
        <f t="shared" si="31"/>
        <v>40.799999999999997</v>
      </c>
      <c r="L179" s="450">
        <f t="shared" si="31"/>
        <v>0</v>
      </c>
      <c r="M179" s="450">
        <f t="shared" si="31"/>
        <v>122.39999999999999</v>
      </c>
      <c r="N179" s="450">
        <f t="shared" si="31"/>
        <v>193.93599999999998</v>
      </c>
      <c r="O179" s="450">
        <f t="shared" si="32"/>
        <v>1351.7040000000002</v>
      </c>
      <c r="P179" s="416"/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</row>
    <row r="180" spans="1:30" ht="12.75" customHeight="1">
      <c r="A180" s="416"/>
      <c r="B180" s="437" t="s">
        <v>45</v>
      </c>
      <c r="C180" s="450">
        <f t="shared" si="31"/>
        <v>237.15</v>
      </c>
      <c r="D180" s="450">
        <f t="shared" si="31"/>
        <v>218.96</v>
      </c>
      <c r="E180" s="450">
        <f t="shared" si="31"/>
        <v>237.15</v>
      </c>
      <c r="F180" s="450">
        <f t="shared" si="31"/>
        <v>132.6</v>
      </c>
      <c r="G180" s="450">
        <f t="shared" si="31"/>
        <v>94.86</v>
      </c>
      <c r="H180" s="450">
        <f t="shared" si="31"/>
        <v>89.25</v>
      </c>
      <c r="I180" s="450">
        <f t="shared" si="31"/>
        <v>126.47999999999998</v>
      </c>
      <c r="J180" s="450">
        <f t="shared" si="31"/>
        <v>158.1</v>
      </c>
      <c r="K180" s="450">
        <f t="shared" si="31"/>
        <v>30.599999999999998</v>
      </c>
      <c r="L180" s="450">
        <f t="shared" si="31"/>
        <v>0</v>
      </c>
      <c r="M180" s="450">
        <f t="shared" si="31"/>
        <v>155.54999999999998</v>
      </c>
      <c r="N180" s="450">
        <f t="shared" si="31"/>
        <v>245.05500000000001</v>
      </c>
      <c r="O180" s="450">
        <f t="shared" si="32"/>
        <v>1725.7549999999999</v>
      </c>
      <c r="P180" s="416"/>
      <c r="Q180" s="416"/>
      <c r="R180" s="416"/>
      <c r="S180" s="416"/>
      <c r="T180" s="416"/>
      <c r="U180" s="416"/>
      <c r="V180" s="416"/>
      <c r="W180" s="416"/>
      <c r="X180" s="416"/>
      <c r="Y180" s="416"/>
      <c r="Z180" s="416"/>
      <c r="AA180" s="416"/>
      <c r="AB180" s="416"/>
      <c r="AC180" s="416"/>
      <c r="AD180" s="416"/>
    </row>
    <row r="181" spans="1:30" ht="12.75" customHeight="1">
      <c r="A181" s="416"/>
      <c r="B181" s="437" t="s">
        <v>46</v>
      </c>
      <c r="C181" s="450">
        <f t="shared" si="31"/>
        <v>145.452</v>
      </c>
      <c r="D181" s="450">
        <f t="shared" si="31"/>
        <v>128.52000000000001</v>
      </c>
      <c r="E181" s="450">
        <f t="shared" si="31"/>
        <v>151.77600000000001</v>
      </c>
      <c r="F181" s="450">
        <f t="shared" si="31"/>
        <v>113.21999999999998</v>
      </c>
      <c r="G181" s="450">
        <f t="shared" si="31"/>
        <v>85.374000000000009</v>
      </c>
      <c r="H181" s="450">
        <f t="shared" si="31"/>
        <v>64.259999999999991</v>
      </c>
      <c r="I181" s="450">
        <f t="shared" si="31"/>
        <v>101.184</v>
      </c>
      <c r="J181" s="450">
        <f t="shared" si="31"/>
        <v>98.021999999999991</v>
      </c>
      <c r="K181" s="450">
        <f t="shared" si="31"/>
        <v>33.660000000000004</v>
      </c>
      <c r="L181" s="450">
        <f t="shared" si="31"/>
        <v>0</v>
      </c>
      <c r="M181" s="450">
        <f t="shared" si="31"/>
        <v>100.98</v>
      </c>
      <c r="N181" s="450">
        <f t="shared" si="31"/>
        <v>123.31800000000001</v>
      </c>
      <c r="O181" s="450">
        <f t="shared" si="32"/>
        <v>1145.7660000000001</v>
      </c>
      <c r="P181" s="416"/>
      <c r="Q181" s="416"/>
      <c r="R181" s="416"/>
      <c r="S181" s="416"/>
      <c r="T181" s="416"/>
      <c r="U181" s="416"/>
      <c r="V181" s="416"/>
      <c r="W181" s="416"/>
      <c r="X181" s="416"/>
      <c r="Y181" s="416"/>
      <c r="Z181" s="416"/>
      <c r="AA181" s="416"/>
      <c r="AB181" s="416"/>
      <c r="AC181" s="416"/>
      <c r="AD181" s="416"/>
    </row>
    <row r="182" spans="1:30" ht="12.75" customHeight="1">
      <c r="A182" s="416"/>
      <c r="B182" s="416"/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16"/>
      <c r="Q182" s="416"/>
      <c r="R182" s="416"/>
      <c r="S182" s="416"/>
      <c r="T182" s="416"/>
      <c r="U182" s="416"/>
      <c r="V182" s="416"/>
      <c r="W182" s="416"/>
      <c r="X182" s="416"/>
      <c r="Y182" s="416"/>
      <c r="Z182" s="416"/>
      <c r="AA182" s="416"/>
      <c r="AB182" s="416"/>
      <c r="AC182" s="416"/>
      <c r="AD182" s="416"/>
    </row>
    <row r="183" spans="1:30" ht="12.75" customHeight="1">
      <c r="A183" s="416"/>
      <c r="B183" s="458" t="s">
        <v>25</v>
      </c>
      <c r="C183" s="473">
        <f t="shared" ref="C183:N183" si="33">SUM(C176:C182)</f>
        <v>913.29099999999994</v>
      </c>
      <c r="D183" s="473">
        <f t="shared" si="33"/>
        <v>932.00800000000004</v>
      </c>
      <c r="E183" s="473">
        <f t="shared" si="33"/>
        <v>1055.0540000000001</v>
      </c>
      <c r="F183" s="473">
        <f t="shared" si="33"/>
        <v>648.21</v>
      </c>
      <c r="G183" s="473">
        <f t="shared" si="33"/>
        <v>510.13600000000002</v>
      </c>
      <c r="H183" s="473">
        <f t="shared" si="33"/>
        <v>402.39</v>
      </c>
      <c r="I183" s="473">
        <f t="shared" si="33"/>
        <v>619.75199999999995</v>
      </c>
      <c r="J183" s="473">
        <f t="shared" si="33"/>
        <v>462.65500000000003</v>
      </c>
      <c r="K183" s="473">
        <f t="shared" si="33"/>
        <v>222.35999999999996</v>
      </c>
      <c r="L183" s="473">
        <f t="shared" si="33"/>
        <v>0</v>
      </c>
      <c r="M183" s="473">
        <f t="shared" si="33"/>
        <v>580.89</v>
      </c>
      <c r="N183" s="473">
        <f t="shared" si="33"/>
        <v>927.52</v>
      </c>
      <c r="O183" s="473">
        <f>SUM(C183:N183)</f>
        <v>7274.2659999999996</v>
      </c>
      <c r="P183" s="416"/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  <c r="AA183" s="416"/>
      <c r="AB183" s="416"/>
      <c r="AC183" s="416"/>
      <c r="AD183" s="416"/>
    </row>
    <row r="184" spans="1:30" ht="12.75" customHeight="1">
      <c r="A184" s="416"/>
      <c r="B184" s="416"/>
      <c r="C184" s="416"/>
      <c r="D184" s="416"/>
      <c r="E184" s="416"/>
      <c r="F184" s="416"/>
      <c r="G184" s="416"/>
      <c r="H184" s="416"/>
      <c r="I184" s="416"/>
      <c r="J184" s="416"/>
      <c r="K184" s="416"/>
      <c r="L184" s="416"/>
      <c r="M184" s="416"/>
      <c r="N184" s="416"/>
      <c r="O184" s="416"/>
      <c r="P184" s="416"/>
      <c r="Q184" s="416"/>
      <c r="R184" s="416"/>
      <c r="S184" s="416"/>
      <c r="T184" s="416"/>
      <c r="U184" s="416"/>
      <c r="V184" s="416"/>
      <c r="W184" s="416"/>
      <c r="X184" s="416"/>
      <c r="Y184" s="416"/>
      <c r="Z184" s="416"/>
      <c r="AA184" s="416"/>
      <c r="AB184" s="416"/>
      <c r="AC184" s="416"/>
      <c r="AD184" s="416"/>
    </row>
    <row r="185" spans="1:30" ht="12.75" customHeight="1">
      <c r="A185" s="416"/>
      <c r="B185" s="416"/>
      <c r="C185" s="416"/>
      <c r="D185" s="416"/>
      <c r="E185" s="416"/>
      <c r="F185" s="416"/>
      <c r="G185" s="416"/>
      <c r="H185" s="416"/>
      <c r="I185" s="416"/>
      <c r="J185" s="416"/>
      <c r="K185" s="416"/>
      <c r="L185" s="416"/>
      <c r="M185" s="416"/>
      <c r="N185" s="416"/>
      <c r="O185" s="416"/>
      <c r="P185" s="416"/>
      <c r="Q185" s="416"/>
      <c r="R185" s="416"/>
      <c r="S185" s="416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</row>
    <row r="186" spans="1:30" ht="12.75" customHeight="1">
      <c r="A186" s="416"/>
      <c r="B186" s="416"/>
      <c r="C186" s="416"/>
      <c r="D186" s="416"/>
      <c r="E186" s="416"/>
      <c r="F186" s="416"/>
      <c r="G186" s="416"/>
      <c r="H186" s="416"/>
      <c r="I186" s="416"/>
      <c r="J186" s="416"/>
      <c r="K186" s="416"/>
      <c r="L186" s="416"/>
      <c r="M186" s="416"/>
      <c r="N186" s="416"/>
      <c r="O186" s="416"/>
      <c r="P186" s="416"/>
      <c r="Q186" s="416"/>
      <c r="R186" s="416"/>
      <c r="S186" s="416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/>
      <c r="AD186" s="416"/>
    </row>
    <row r="187" spans="1:30" ht="12.75" customHeight="1">
      <c r="A187" s="416"/>
      <c r="B187" s="416"/>
      <c r="C187" s="416"/>
      <c r="D187" s="416"/>
      <c r="E187" s="416"/>
      <c r="F187" s="416"/>
      <c r="G187" s="416"/>
      <c r="H187" s="416"/>
      <c r="I187" s="416"/>
      <c r="J187" s="416"/>
      <c r="K187" s="416"/>
      <c r="L187" s="416"/>
      <c r="M187" s="416"/>
      <c r="N187" s="416"/>
      <c r="O187" s="416"/>
      <c r="P187" s="416"/>
      <c r="Q187" s="416"/>
      <c r="R187" s="416"/>
      <c r="S187" s="416"/>
      <c r="T187" s="416"/>
      <c r="U187" s="416"/>
      <c r="V187" s="416"/>
      <c r="W187" s="416"/>
      <c r="X187" s="416"/>
      <c r="Y187" s="416"/>
      <c r="Z187" s="416"/>
      <c r="AA187" s="416"/>
      <c r="AB187" s="416"/>
      <c r="AC187" s="416"/>
      <c r="AD187" s="416"/>
    </row>
    <row r="188" spans="1:30" ht="12.75" customHeight="1">
      <c r="A188" s="416"/>
      <c r="B188" s="416"/>
      <c r="C188" s="416"/>
      <c r="D188" s="416"/>
      <c r="E188" s="416"/>
      <c r="F188" s="416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416"/>
      <c r="S188" s="416"/>
      <c r="T188" s="416"/>
      <c r="U188" s="416"/>
      <c r="V188" s="416"/>
      <c r="W188" s="416"/>
      <c r="X188" s="416"/>
      <c r="Y188" s="416"/>
      <c r="Z188" s="416"/>
      <c r="AA188" s="416"/>
      <c r="AB188" s="416"/>
      <c r="AC188" s="416"/>
      <c r="AD188" s="416"/>
    </row>
    <row r="189" spans="1:30" ht="13.5" customHeight="1" thickBot="1">
      <c r="A189" s="416"/>
      <c r="B189" s="416"/>
      <c r="C189" s="416"/>
      <c r="D189" s="416"/>
      <c r="E189" s="416"/>
      <c r="F189" s="416"/>
      <c r="G189" s="416"/>
      <c r="H189" s="416"/>
      <c r="I189" s="416"/>
      <c r="J189" s="416"/>
      <c r="K189" s="416"/>
      <c r="L189" s="416"/>
      <c r="M189" s="416"/>
      <c r="N189" s="416"/>
      <c r="O189" s="416"/>
      <c r="P189" s="416"/>
      <c r="Q189" s="416"/>
      <c r="R189" s="416"/>
      <c r="S189" s="416"/>
      <c r="T189" s="416"/>
      <c r="U189" s="416"/>
      <c r="V189" s="416"/>
      <c r="W189" s="416"/>
      <c r="X189" s="416"/>
      <c r="Y189" s="416"/>
      <c r="Z189" s="416"/>
      <c r="AA189" s="416"/>
      <c r="AB189" s="416"/>
      <c r="AC189" s="416"/>
      <c r="AD189" s="416"/>
    </row>
    <row r="190" spans="1:30" ht="21" customHeight="1" thickBot="1">
      <c r="A190" s="416"/>
      <c r="B190" s="522" t="s">
        <v>99</v>
      </c>
      <c r="C190" s="523"/>
      <c r="D190" s="523"/>
      <c r="E190" s="523"/>
      <c r="F190" s="523"/>
      <c r="G190" s="523"/>
      <c r="H190" s="523"/>
      <c r="I190" s="523"/>
      <c r="J190" s="523"/>
      <c r="K190" s="523"/>
      <c r="L190" s="523"/>
      <c r="M190" s="523"/>
      <c r="N190" s="524"/>
      <c r="O190" s="416"/>
      <c r="P190" s="416"/>
      <c r="Q190" s="416"/>
      <c r="R190" s="416"/>
      <c r="S190" s="416"/>
      <c r="T190" s="416"/>
      <c r="U190" s="416"/>
      <c r="V190" s="416"/>
      <c r="W190" s="416"/>
      <c r="X190" s="416"/>
      <c r="Y190" s="416"/>
      <c r="Z190" s="416"/>
      <c r="AA190" s="416"/>
      <c r="AB190" s="416"/>
      <c r="AC190" s="416"/>
      <c r="AD190" s="416"/>
    </row>
    <row r="191" spans="1:30" ht="12.75" customHeight="1">
      <c r="A191" s="416"/>
      <c r="B191" s="416"/>
      <c r="C191" s="416"/>
      <c r="D191" s="416"/>
      <c r="E191" s="416"/>
      <c r="F191" s="416"/>
      <c r="G191" s="416"/>
      <c r="H191" s="416"/>
      <c r="I191" s="416"/>
      <c r="J191" s="416"/>
      <c r="K191" s="416"/>
      <c r="L191" s="416"/>
      <c r="M191" s="416"/>
      <c r="N191" s="416"/>
      <c r="O191" s="416"/>
      <c r="P191" s="416"/>
      <c r="Q191" s="416"/>
      <c r="R191" s="416"/>
      <c r="S191" s="416"/>
      <c r="T191" s="416"/>
      <c r="U191" s="416"/>
      <c r="V191" s="416"/>
      <c r="W191" s="416"/>
      <c r="X191" s="416"/>
      <c r="Y191" s="416"/>
      <c r="Z191" s="416"/>
      <c r="AA191" s="416"/>
      <c r="AB191" s="416"/>
      <c r="AC191" s="416"/>
      <c r="AD191" s="416"/>
    </row>
    <row r="192" spans="1:30" ht="31.5" customHeight="1" thickBot="1">
      <c r="A192" s="416"/>
      <c r="B192" s="514" t="s">
        <v>100</v>
      </c>
      <c r="C192" s="515"/>
      <c r="D192" s="515"/>
      <c r="E192" s="515"/>
      <c r="F192" s="515"/>
      <c r="G192" s="515"/>
      <c r="H192" s="515"/>
      <c r="I192" s="515"/>
      <c r="J192" s="515"/>
      <c r="K192" s="515"/>
      <c r="L192" s="515"/>
      <c r="M192" s="515"/>
      <c r="N192" s="515"/>
      <c r="O192" s="515"/>
      <c r="P192" s="416"/>
      <c r="Q192" s="416"/>
      <c r="R192" s="416"/>
      <c r="S192" s="416"/>
      <c r="T192" s="416"/>
      <c r="U192" s="416"/>
      <c r="V192" s="416"/>
      <c r="W192" s="416"/>
      <c r="X192" s="416"/>
      <c r="Y192" s="416"/>
      <c r="Z192" s="416"/>
      <c r="AA192" s="416"/>
      <c r="AB192" s="416"/>
      <c r="AC192" s="416"/>
      <c r="AD192" s="416"/>
    </row>
    <row r="193" spans="1:30" ht="13.5" customHeight="1" thickBot="1">
      <c r="A193" s="416"/>
      <c r="B193" s="474" t="s">
        <v>101</v>
      </c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5"/>
      <c r="N193" s="475"/>
      <c r="O193" s="475"/>
      <c r="P193" s="416"/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  <c r="AA193" s="416"/>
      <c r="AB193" s="416"/>
      <c r="AC193" s="416"/>
      <c r="AD193" s="416"/>
    </row>
    <row r="194" spans="1:30" ht="13.5" customHeight="1" thickBot="1">
      <c r="A194" s="416"/>
      <c r="B194" s="423" t="s">
        <v>50</v>
      </c>
      <c r="C194" s="424" t="s">
        <v>13</v>
      </c>
      <c r="D194" s="424" t="s">
        <v>14</v>
      </c>
      <c r="E194" s="424" t="s">
        <v>15</v>
      </c>
      <c r="F194" s="424" t="s">
        <v>16</v>
      </c>
      <c r="G194" s="424" t="s">
        <v>51</v>
      </c>
      <c r="H194" s="424" t="s">
        <v>18</v>
      </c>
      <c r="I194" s="424" t="s">
        <v>19</v>
      </c>
      <c r="J194" s="424" t="s">
        <v>20</v>
      </c>
      <c r="K194" s="424" t="s">
        <v>21</v>
      </c>
      <c r="L194" s="424" t="s">
        <v>22</v>
      </c>
      <c r="M194" s="424" t="s">
        <v>23</v>
      </c>
      <c r="N194" s="424" t="s">
        <v>24</v>
      </c>
      <c r="O194" s="425" t="s">
        <v>25</v>
      </c>
      <c r="P194" s="416"/>
      <c r="Q194" s="416"/>
      <c r="R194" s="416"/>
      <c r="S194" s="416"/>
      <c r="T194" s="416"/>
      <c r="U194" s="416"/>
      <c r="V194" s="416"/>
      <c r="W194" s="416"/>
      <c r="X194" s="416"/>
      <c r="Y194" s="416"/>
      <c r="Z194" s="416"/>
      <c r="AA194" s="416"/>
      <c r="AB194" s="416"/>
      <c r="AC194" s="416"/>
      <c r="AD194" s="416"/>
    </row>
    <row r="195" spans="1:30" ht="36.75" customHeight="1">
      <c r="A195" s="416"/>
      <c r="B195" s="416" t="s">
        <v>41</v>
      </c>
      <c r="C195" s="457">
        <f t="shared" ref="C195:N200" si="34">+C148</f>
        <v>46555.613999999987</v>
      </c>
      <c r="D195" s="457">
        <f t="shared" si="34"/>
        <v>57068.171999999999</v>
      </c>
      <c r="E195" s="457">
        <f t="shared" si="34"/>
        <v>64291.085999999996</v>
      </c>
      <c r="F195" s="457">
        <f t="shared" si="34"/>
        <v>34326.720000000001</v>
      </c>
      <c r="G195" s="457">
        <f t="shared" si="34"/>
        <v>32910.002999999997</v>
      </c>
      <c r="H195" s="457">
        <f t="shared" si="34"/>
        <v>22748.85</v>
      </c>
      <c r="I195" s="457">
        <f t="shared" si="34"/>
        <v>23507.144999999997</v>
      </c>
      <c r="J195" s="457">
        <f t="shared" si="34"/>
        <v>23507.144999999997</v>
      </c>
      <c r="K195" s="457">
        <f t="shared" si="34"/>
        <v>8746.08</v>
      </c>
      <c r="L195" s="457">
        <f t="shared" si="34"/>
        <v>0</v>
      </c>
      <c r="M195" s="457">
        <f t="shared" si="34"/>
        <v>22970.79</v>
      </c>
      <c r="N195" s="457">
        <f t="shared" si="34"/>
        <v>57105.161999999997</v>
      </c>
      <c r="O195" s="457">
        <f t="shared" ref="O195:O200" si="35">SUM(C195:N195)</f>
        <v>393736.76699999999</v>
      </c>
      <c r="P195" s="416"/>
      <c r="Q195" s="416"/>
      <c r="R195" s="416"/>
      <c r="S195" s="416"/>
      <c r="T195" s="416"/>
      <c r="U195" s="416"/>
      <c r="V195" s="416"/>
      <c r="W195" s="416"/>
      <c r="X195" s="416"/>
      <c r="Y195" s="416"/>
      <c r="Z195" s="416"/>
      <c r="AA195" s="416"/>
      <c r="AB195" s="416"/>
      <c r="AC195" s="416"/>
      <c r="AD195" s="416"/>
    </row>
    <row r="196" spans="1:30" ht="12.75" customHeight="1">
      <c r="A196" s="416"/>
      <c r="B196" s="416" t="s">
        <v>42</v>
      </c>
      <c r="C196" s="457">
        <f t="shared" si="34"/>
        <v>22877.739599999997</v>
      </c>
      <c r="D196" s="457">
        <f t="shared" si="34"/>
        <v>26215.223999999998</v>
      </c>
      <c r="E196" s="457">
        <f t="shared" si="34"/>
        <v>30731.291999999998</v>
      </c>
      <c r="F196" s="457">
        <f t="shared" si="34"/>
        <v>19417.284</v>
      </c>
      <c r="G196" s="457">
        <f t="shared" si="34"/>
        <v>14973.2232</v>
      </c>
      <c r="H196" s="457">
        <f t="shared" si="34"/>
        <v>7802.4239999999991</v>
      </c>
      <c r="I196" s="457">
        <f t="shared" si="34"/>
        <v>25051.354199999998</v>
      </c>
      <c r="J196" s="457">
        <f t="shared" si="34"/>
        <v>17852.689199999997</v>
      </c>
      <c r="K196" s="457">
        <f t="shared" si="34"/>
        <v>9313.26</v>
      </c>
      <c r="L196" s="457">
        <f t="shared" si="34"/>
        <v>0</v>
      </c>
      <c r="M196" s="457">
        <f t="shared" si="34"/>
        <v>16623.306</v>
      </c>
      <c r="N196" s="457">
        <f t="shared" si="34"/>
        <v>30807.737999999998</v>
      </c>
      <c r="O196" s="457">
        <f t="shared" si="35"/>
        <v>221665.53419999999</v>
      </c>
      <c r="P196" s="416"/>
      <c r="Q196" s="416"/>
      <c r="R196" s="416"/>
      <c r="S196" s="416"/>
      <c r="T196" s="416"/>
      <c r="U196" s="416"/>
      <c r="V196" s="416"/>
      <c r="W196" s="416"/>
      <c r="X196" s="416"/>
      <c r="Y196" s="416"/>
      <c r="Z196" s="416"/>
      <c r="AA196" s="416"/>
      <c r="AB196" s="416"/>
      <c r="AC196" s="416"/>
      <c r="AD196" s="416"/>
    </row>
    <row r="197" spans="1:30" ht="12.75" customHeight="1">
      <c r="A197" s="416"/>
      <c r="B197" s="416" t="s">
        <v>43</v>
      </c>
      <c r="C197" s="457">
        <f t="shared" si="34"/>
        <v>35914.330799999996</v>
      </c>
      <c r="D197" s="457">
        <f t="shared" si="34"/>
        <v>34303.046399999992</v>
      </c>
      <c r="E197" s="457">
        <f t="shared" si="34"/>
        <v>39629.606399999997</v>
      </c>
      <c r="F197" s="457">
        <f t="shared" si="34"/>
        <v>31315.733999999997</v>
      </c>
      <c r="G197" s="457">
        <f t="shared" si="34"/>
        <v>19050.343199999999</v>
      </c>
      <c r="H197" s="457">
        <f t="shared" si="34"/>
        <v>17777.394</v>
      </c>
      <c r="I197" s="457">
        <f t="shared" si="34"/>
        <v>25854.037199999999</v>
      </c>
      <c r="J197" s="457">
        <f t="shared" si="34"/>
        <v>11906.464499999998</v>
      </c>
      <c r="K197" s="457">
        <f t="shared" si="34"/>
        <v>9321.48</v>
      </c>
      <c r="L197" s="457">
        <f t="shared" si="34"/>
        <v>0</v>
      </c>
      <c r="M197" s="457">
        <f t="shared" si="34"/>
        <v>11052.611999999999</v>
      </c>
      <c r="N197" s="457">
        <f t="shared" si="34"/>
        <v>42863.272199999992</v>
      </c>
      <c r="O197" s="457">
        <f t="shared" si="35"/>
        <v>278988.32069999998</v>
      </c>
      <c r="P197" s="416"/>
      <c r="Q197" s="416"/>
      <c r="R197" s="416"/>
      <c r="S197" s="416"/>
      <c r="T197" s="416"/>
      <c r="U197" s="416"/>
      <c r="V197" s="416"/>
      <c r="W197" s="416"/>
      <c r="X197" s="416"/>
      <c r="Y197" s="416"/>
      <c r="Z197" s="416"/>
      <c r="AA197" s="416"/>
      <c r="AB197" s="416"/>
      <c r="AC197" s="416"/>
      <c r="AD197" s="416"/>
    </row>
    <row r="198" spans="1:30" ht="12.75" customHeight="1">
      <c r="A198" s="416"/>
      <c r="B198" s="416" t="s">
        <v>44</v>
      </c>
      <c r="C198" s="457">
        <f t="shared" si="34"/>
        <v>44491.572</v>
      </c>
      <c r="D198" s="457">
        <f t="shared" si="34"/>
        <v>49116.144</v>
      </c>
      <c r="E198" s="457">
        <f t="shared" si="34"/>
        <v>55367.289600000011</v>
      </c>
      <c r="F198" s="457">
        <f t="shared" si="34"/>
        <v>24581.088</v>
      </c>
      <c r="G198" s="457">
        <f t="shared" si="34"/>
        <v>14494.161599999999</v>
      </c>
      <c r="H198" s="457">
        <f t="shared" si="34"/>
        <v>11688.84</v>
      </c>
      <c r="I198" s="457">
        <f t="shared" si="34"/>
        <v>19325.548799999997</v>
      </c>
      <c r="J198" s="457">
        <f t="shared" si="34"/>
        <v>1298.76</v>
      </c>
      <c r="K198" s="457">
        <f t="shared" si="34"/>
        <v>7102.08</v>
      </c>
      <c r="L198" s="457">
        <f t="shared" si="34"/>
        <v>0</v>
      </c>
      <c r="M198" s="457">
        <f t="shared" si="34"/>
        <v>22194</v>
      </c>
      <c r="N198" s="457">
        <f t="shared" si="34"/>
        <v>53919.911999999997</v>
      </c>
      <c r="O198" s="457">
        <f t="shared" si="35"/>
        <v>303579.39599999995</v>
      </c>
      <c r="P198" s="416"/>
      <c r="Q198" s="416"/>
      <c r="R198" s="416"/>
      <c r="S198" s="416"/>
      <c r="T198" s="416"/>
      <c r="U198" s="416"/>
      <c r="V198" s="416"/>
      <c r="W198" s="416"/>
      <c r="X198" s="416"/>
      <c r="Y198" s="416"/>
      <c r="Z198" s="416"/>
      <c r="AA198" s="416"/>
      <c r="AB198" s="416"/>
      <c r="AC198" s="416"/>
      <c r="AD198" s="416"/>
    </row>
    <row r="199" spans="1:30" ht="12.75" customHeight="1">
      <c r="A199" s="416"/>
      <c r="B199" s="416" t="s">
        <v>45</v>
      </c>
      <c r="C199" s="457">
        <f t="shared" si="34"/>
        <v>116389.03499999999</v>
      </c>
      <c r="D199" s="457">
        <f t="shared" si="34"/>
        <v>107461.704</v>
      </c>
      <c r="E199" s="457">
        <f t="shared" si="34"/>
        <v>116389.03499999999</v>
      </c>
      <c r="F199" s="457">
        <f t="shared" si="34"/>
        <v>62192.52</v>
      </c>
      <c r="G199" s="457">
        <f t="shared" si="34"/>
        <v>40134.149999999994</v>
      </c>
      <c r="H199" s="457">
        <f t="shared" si="34"/>
        <v>37760.625</v>
      </c>
      <c r="I199" s="457">
        <f t="shared" si="34"/>
        <v>53512.19999999999</v>
      </c>
      <c r="J199" s="457">
        <f t="shared" si="34"/>
        <v>66890.25</v>
      </c>
      <c r="K199" s="457">
        <f t="shared" si="34"/>
        <v>11984.759999999998</v>
      </c>
      <c r="L199" s="457">
        <f t="shared" si="34"/>
        <v>0</v>
      </c>
      <c r="M199" s="457">
        <f t="shared" si="34"/>
        <v>63554.985000000001</v>
      </c>
      <c r="N199" s="457">
        <f t="shared" si="34"/>
        <v>136264.995</v>
      </c>
      <c r="O199" s="457">
        <f t="shared" si="35"/>
        <v>812534.25899999996</v>
      </c>
      <c r="P199" s="416"/>
      <c r="Q199" s="416"/>
      <c r="R199" s="416"/>
      <c r="S199" s="416"/>
      <c r="T199" s="416"/>
      <c r="U199" s="416"/>
      <c r="V199" s="416"/>
      <c r="W199" s="416"/>
      <c r="X199" s="416"/>
      <c r="Y199" s="416"/>
      <c r="Z199" s="416"/>
      <c r="AA199" s="416"/>
      <c r="AB199" s="416"/>
      <c r="AC199" s="416"/>
      <c r="AD199" s="416"/>
    </row>
    <row r="200" spans="1:30" ht="12.75" customHeight="1">
      <c r="A200" s="416"/>
      <c r="B200" s="416" t="s">
        <v>46</v>
      </c>
      <c r="C200" s="457">
        <f t="shared" si="34"/>
        <v>79473.261599999998</v>
      </c>
      <c r="D200" s="457">
        <f t="shared" si="34"/>
        <v>70221.816000000006</v>
      </c>
      <c r="E200" s="457">
        <f t="shared" si="34"/>
        <v>82928.62079999999</v>
      </c>
      <c r="F200" s="457">
        <f t="shared" si="34"/>
        <v>58303.637999999999</v>
      </c>
      <c r="G200" s="457">
        <f t="shared" si="34"/>
        <v>40455.2232</v>
      </c>
      <c r="H200" s="457">
        <f t="shared" si="34"/>
        <v>30450.167999999998</v>
      </c>
      <c r="I200" s="457">
        <f t="shared" si="34"/>
        <v>47946.931200000006</v>
      </c>
      <c r="J200" s="457">
        <f t="shared" si="34"/>
        <v>46448.589599999992</v>
      </c>
      <c r="K200" s="457">
        <f t="shared" si="34"/>
        <v>14810.795999999998</v>
      </c>
      <c r="L200" s="457">
        <f t="shared" si="34"/>
        <v>0</v>
      </c>
      <c r="M200" s="457">
        <f t="shared" si="34"/>
        <v>47117.862000000001</v>
      </c>
      <c r="N200" s="457">
        <f t="shared" si="34"/>
        <v>76442.942160000006</v>
      </c>
      <c r="O200" s="457">
        <f t="shared" si="35"/>
        <v>594599.84855999995</v>
      </c>
      <c r="P200" s="416"/>
      <c r="Q200" s="416"/>
      <c r="R200" s="416"/>
      <c r="S200" s="416"/>
      <c r="T200" s="416"/>
      <c r="U200" s="416"/>
      <c r="V200" s="416"/>
      <c r="W200" s="416"/>
      <c r="X200" s="416"/>
      <c r="Y200" s="416"/>
      <c r="Z200" s="416"/>
      <c r="AA200" s="416"/>
      <c r="AB200" s="416"/>
      <c r="AC200" s="416"/>
      <c r="AD200" s="416"/>
    </row>
    <row r="201" spans="1:30" ht="12.75" customHeight="1">
      <c r="A201" s="416"/>
      <c r="B201" s="416"/>
      <c r="C201" s="457"/>
      <c r="D201" s="457"/>
      <c r="E201" s="457"/>
      <c r="F201" s="457"/>
      <c r="G201" s="457"/>
      <c r="H201" s="457"/>
      <c r="I201" s="457"/>
      <c r="J201" s="457"/>
      <c r="K201" s="457"/>
      <c r="L201" s="457"/>
      <c r="M201" s="457"/>
      <c r="N201" s="457"/>
      <c r="O201" s="457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  <c r="AA201" s="416"/>
      <c r="AB201" s="416"/>
      <c r="AC201" s="416"/>
      <c r="AD201" s="416"/>
    </row>
    <row r="202" spans="1:30" ht="12.75" customHeight="1">
      <c r="A202" s="416"/>
      <c r="B202" s="416"/>
      <c r="C202" s="457"/>
      <c r="D202" s="457"/>
      <c r="E202" s="457"/>
      <c r="F202" s="457"/>
      <c r="G202" s="457"/>
      <c r="H202" s="457"/>
      <c r="I202" s="457"/>
      <c r="J202" s="457"/>
      <c r="K202" s="457"/>
      <c r="L202" s="457"/>
      <c r="M202" s="457"/>
      <c r="N202" s="457"/>
      <c r="O202" s="457"/>
      <c r="P202" s="416"/>
      <c r="Q202" s="416"/>
      <c r="R202" s="416"/>
      <c r="S202" s="416"/>
      <c r="T202" s="416"/>
      <c r="U202" s="416"/>
      <c r="V202" s="416"/>
      <c r="W202" s="416"/>
      <c r="X202" s="416"/>
      <c r="Y202" s="416"/>
      <c r="Z202" s="416"/>
      <c r="AA202" s="416"/>
      <c r="AB202" s="416"/>
      <c r="AC202" s="416"/>
      <c r="AD202" s="416"/>
    </row>
    <row r="203" spans="1:30" ht="12.75" customHeight="1">
      <c r="A203" s="416"/>
      <c r="B203" s="416"/>
      <c r="C203" s="457"/>
      <c r="D203" s="457"/>
      <c r="E203" s="457"/>
      <c r="F203" s="457"/>
      <c r="G203" s="457"/>
      <c r="H203" s="457"/>
      <c r="I203" s="457"/>
      <c r="J203" s="457"/>
      <c r="K203" s="457"/>
      <c r="L203" s="457"/>
      <c r="M203" s="457"/>
      <c r="N203" s="457"/>
      <c r="O203" s="457"/>
      <c r="P203" s="416"/>
      <c r="Q203" s="416"/>
      <c r="R203" s="416"/>
      <c r="S203" s="416"/>
      <c r="T203" s="416"/>
      <c r="U203" s="416"/>
      <c r="V203" s="416"/>
      <c r="W203" s="416"/>
      <c r="X203" s="416"/>
      <c r="Y203" s="416"/>
      <c r="Z203" s="416"/>
      <c r="AA203" s="416"/>
      <c r="AB203" s="416"/>
      <c r="AC203" s="416"/>
      <c r="AD203" s="416"/>
    </row>
    <row r="204" spans="1:30" ht="13.5" customHeight="1" thickBot="1">
      <c r="A204" s="416"/>
      <c r="B204" s="416"/>
      <c r="C204" s="457"/>
      <c r="D204" s="457"/>
      <c r="E204" s="457"/>
      <c r="F204" s="457"/>
      <c r="G204" s="457"/>
      <c r="H204" s="457"/>
      <c r="I204" s="457"/>
      <c r="J204" s="457"/>
      <c r="K204" s="457"/>
      <c r="L204" s="457"/>
      <c r="M204" s="457"/>
      <c r="N204" s="457"/>
      <c r="O204" s="457"/>
      <c r="P204" s="416"/>
      <c r="Q204" s="416"/>
      <c r="R204" s="416"/>
      <c r="S204" s="416"/>
      <c r="T204" s="416"/>
      <c r="U204" s="416"/>
      <c r="V204" s="416"/>
      <c r="W204" s="416"/>
      <c r="X204" s="416"/>
      <c r="Y204" s="416"/>
      <c r="Z204" s="416"/>
      <c r="AA204" s="416"/>
      <c r="AB204" s="416"/>
      <c r="AC204" s="416"/>
      <c r="AD204" s="416"/>
    </row>
    <row r="205" spans="1:30" ht="29.25" customHeight="1" thickBot="1">
      <c r="A205" s="416"/>
      <c r="B205" s="476" t="s">
        <v>25</v>
      </c>
      <c r="C205" s="477">
        <f t="shared" ref="C205:O205" si="36">SUM(C195:C200)</f>
        <v>345701.55299999996</v>
      </c>
      <c r="D205" s="477">
        <f t="shared" si="36"/>
        <v>344386.10639999993</v>
      </c>
      <c r="E205" s="477">
        <f t="shared" si="36"/>
        <v>389336.92979999998</v>
      </c>
      <c r="F205" s="477">
        <f t="shared" si="36"/>
        <v>230136.984</v>
      </c>
      <c r="G205" s="477">
        <f t="shared" si="36"/>
        <v>162017.1042</v>
      </c>
      <c r="H205" s="477">
        <f t="shared" si="36"/>
        <v>128228.30100000001</v>
      </c>
      <c r="I205" s="477">
        <f t="shared" si="36"/>
        <v>195197.21639999998</v>
      </c>
      <c r="J205" s="477">
        <f t="shared" si="36"/>
        <v>167903.8983</v>
      </c>
      <c r="K205" s="477">
        <f t="shared" si="36"/>
        <v>61278.456000000006</v>
      </c>
      <c r="L205" s="477">
        <f t="shared" si="36"/>
        <v>0</v>
      </c>
      <c r="M205" s="477">
        <f t="shared" si="36"/>
        <v>183513.55500000002</v>
      </c>
      <c r="N205" s="477">
        <f t="shared" si="36"/>
        <v>397404.02136000001</v>
      </c>
      <c r="O205" s="478">
        <f t="shared" si="36"/>
        <v>2605104.1254599998</v>
      </c>
      <c r="P205" s="416"/>
      <c r="Q205" s="416"/>
      <c r="R205" s="416"/>
      <c r="S205" s="416"/>
      <c r="T205" s="416"/>
      <c r="U205" s="416"/>
      <c r="V205" s="416"/>
      <c r="W205" s="416"/>
      <c r="X205" s="416"/>
      <c r="Y205" s="416"/>
      <c r="Z205" s="416"/>
      <c r="AA205" s="416"/>
      <c r="AB205" s="416"/>
      <c r="AC205" s="416"/>
      <c r="AD205" s="416"/>
    </row>
    <row r="206" spans="1:30" ht="12.75" customHeight="1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6"/>
      <c r="Y206" s="416"/>
      <c r="Z206" s="416"/>
      <c r="AA206" s="416"/>
      <c r="AB206" s="416"/>
      <c r="AC206" s="416"/>
      <c r="AD206" s="416"/>
    </row>
    <row r="207" spans="1:30" ht="12.75" customHeight="1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6"/>
      <c r="Y207" s="416"/>
      <c r="Z207" s="416"/>
      <c r="AA207" s="416"/>
      <c r="AB207" s="416"/>
      <c r="AC207" s="416"/>
      <c r="AD207" s="416"/>
    </row>
    <row r="208" spans="1:30" ht="12.75" customHeight="1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  <c r="AA208" s="416"/>
      <c r="AB208" s="416"/>
      <c r="AC208" s="416"/>
      <c r="AD208" s="416"/>
    </row>
    <row r="209" spans="1:30" ht="12.75" customHeight="1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  <c r="AA209" s="416"/>
      <c r="AB209" s="416"/>
      <c r="AC209" s="416"/>
      <c r="AD209" s="416"/>
    </row>
    <row r="210" spans="1:30" ht="12.75" customHeight="1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/>
      <c r="AD210" s="416"/>
    </row>
    <row r="211" spans="1:30" ht="12.75" customHeight="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6"/>
      <c r="Y211" s="416"/>
      <c r="Z211" s="416"/>
      <c r="AA211" s="416"/>
      <c r="AB211" s="416"/>
      <c r="AC211" s="416"/>
      <c r="AD211" s="416"/>
    </row>
    <row r="212" spans="1:30" ht="12.75" customHeight="1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  <c r="AA212" s="416"/>
      <c r="AB212" s="416"/>
      <c r="AC212" s="416"/>
      <c r="AD212" s="416"/>
    </row>
    <row r="213" spans="1:30" ht="12.75" customHeight="1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</row>
    <row r="214" spans="1:30" ht="12.75" customHeight="1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  <c r="AA214" s="416"/>
      <c r="AB214" s="416"/>
      <c r="AC214" s="416"/>
      <c r="AD214" s="416"/>
    </row>
    <row r="215" spans="1:30" ht="12.75" customHeight="1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</row>
    <row r="216" spans="1:30" ht="12.75" customHeight="1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6"/>
      <c r="Y216" s="416"/>
      <c r="Z216" s="416"/>
      <c r="AA216" s="416"/>
      <c r="AB216" s="416"/>
      <c r="AC216" s="416"/>
      <c r="AD216" s="416"/>
    </row>
    <row r="217" spans="1:30" ht="12.75" customHeight="1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6"/>
      <c r="Y217" s="416"/>
      <c r="Z217" s="416"/>
      <c r="AA217" s="416"/>
      <c r="AB217" s="416"/>
      <c r="AC217" s="416"/>
      <c r="AD217" s="416"/>
    </row>
    <row r="218" spans="1:30" ht="12.75" customHeight="1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/>
      <c r="AD218" s="416"/>
    </row>
    <row r="219" spans="1:30" ht="12.75" customHeight="1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/>
      <c r="AD219" s="416"/>
    </row>
    <row r="220" spans="1:30" ht="12.75" customHeight="1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6"/>
      <c r="Y220" s="416"/>
      <c r="Z220" s="416"/>
      <c r="AA220" s="416"/>
      <c r="AB220" s="416"/>
      <c r="AC220" s="416"/>
      <c r="AD220" s="416"/>
    </row>
    <row r="221" spans="1:30" ht="12.75" customHeight="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6"/>
      <c r="Y221" s="416"/>
      <c r="Z221" s="416"/>
      <c r="AA221" s="416"/>
      <c r="AB221" s="416"/>
      <c r="AC221" s="416"/>
      <c r="AD221" s="416"/>
    </row>
    <row r="222" spans="1:30" ht="12.75" customHeight="1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6"/>
      <c r="Y222" s="416"/>
      <c r="Z222" s="416"/>
      <c r="AA222" s="416"/>
      <c r="AB222" s="416"/>
      <c r="AC222" s="416"/>
      <c r="AD222" s="416"/>
    </row>
    <row r="223" spans="1:30" ht="12.75" customHeight="1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6"/>
      <c r="Y223" s="416"/>
      <c r="Z223" s="416"/>
      <c r="AA223" s="416"/>
      <c r="AB223" s="416"/>
      <c r="AC223" s="416"/>
      <c r="AD223" s="416"/>
    </row>
    <row r="224" spans="1:30" ht="12.75" customHeight="1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6"/>
      <c r="Y224" s="416"/>
      <c r="Z224" s="416"/>
      <c r="AA224" s="416"/>
      <c r="AB224" s="416"/>
      <c r="AC224" s="416"/>
      <c r="AD224" s="416"/>
    </row>
    <row r="225" spans="1:30" ht="12.75" customHeight="1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6"/>
      <c r="Y225" s="416"/>
      <c r="Z225" s="416"/>
      <c r="AA225" s="416"/>
      <c r="AB225" s="416"/>
      <c r="AC225" s="416"/>
      <c r="AD225" s="416"/>
    </row>
    <row r="226" spans="1:30" ht="12.75" customHeight="1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6"/>
      <c r="Y226" s="416"/>
      <c r="Z226" s="416"/>
      <c r="AA226" s="416"/>
      <c r="AB226" s="416"/>
      <c r="AC226" s="416"/>
      <c r="AD226" s="416"/>
    </row>
    <row r="227" spans="1:30" ht="12.75" customHeight="1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6"/>
      <c r="Y227" s="416"/>
      <c r="Z227" s="416"/>
      <c r="AA227" s="416"/>
      <c r="AB227" s="416"/>
      <c r="AC227" s="416"/>
      <c r="AD227" s="416"/>
    </row>
    <row r="228" spans="1:30" ht="12.75" customHeight="1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6"/>
      <c r="Y228" s="416"/>
      <c r="Z228" s="416"/>
      <c r="AA228" s="416"/>
      <c r="AB228" s="416"/>
      <c r="AC228" s="416"/>
      <c r="AD228" s="416"/>
    </row>
    <row r="229" spans="1:30" ht="12.75" customHeight="1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6"/>
      <c r="Y229" s="416"/>
      <c r="Z229" s="416"/>
      <c r="AA229" s="416"/>
      <c r="AB229" s="416"/>
      <c r="AC229" s="416"/>
      <c r="AD229" s="416"/>
    </row>
    <row r="230" spans="1:30" ht="12.75" customHeight="1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  <c r="Z230" s="416"/>
      <c r="AA230" s="416"/>
      <c r="AB230" s="416"/>
      <c r="AC230" s="416"/>
      <c r="AD230" s="416"/>
    </row>
    <row r="231" spans="1:30" ht="12.75" customHeight="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6"/>
      <c r="Y231" s="416"/>
      <c r="Z231" s="416"/>
      <c r="AA231" s="416"/>
      <c r="AB231" s="416"/>
      <c r="AC231" s="416"/>
      <c r="AD231" s="416"/>
    </row>
    <row r="232" spans="1:30" ht="12.75" customHeight="1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6"/>
      <c r="Y232" s="416"/>
      <c r="Z232" s="416"/>
      <c r="AA232" s="416"/>
      <c r="AB232" s="416"/>
      <c r="AC232" s="416"/>
      <c r="AD232" s="416"/>
    </row>
    <row r="233" spans="1:30" ht="12.75" customHeight="1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6"/>
      <c r="Y233" s="416"/>
      <c r="Z233" s="416"/>
      <c r="AA233" s="416"/>
      <c r="AB233" s="416"/>
      <c r="AC233" s="416"/>
      <c r="AD233" s="416"/>
    </row>
    <row r="234" spans="1:30" ht="12.75" customHeight="1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6"/>
      <c r="Y234" s="416"/>
      <c r="Z234" s="416"/>
      <c r="AA234" s="416"/>
      <c r="AB234" s="416"/>
      <c r="AC234" s="416"/>
      <c r="AD234" s="416"/>
    </row>
    <row r="235" spans="1:30" ht="12.75" customHeight="1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6"/>
      <c r="Y235" s="416"/>
      <c r="Z235" s="416"/>
      <c r="AA235" s="416"/>
      <c r="AB235" s="416"/>
      <c r="AC235" s="416"/>
      <c r="AD235" s="416"/>
    </row>
    <row r="236" spans="1:30" ht="12.75" customHeight="1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6"/>
      <c r="Y236" s="416"/>
      <c r="Z236" s="416"/>
      <c r="AA236" s="416"/>
      <c r="AB236" s="416"/>
      <c r="AC236" s="416"/>
      <c r="AD236" s="416"/>
    </row>
    <row r="237" spans="1:30" ht="12.75" customHeight="1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  <c r="AA237" s="416"/>
      <c r="AB237" s="416"/>
      <c r="AC237" s="416"/>
      <c r="AD237" s="416"/>
    </row>
    <row r="238" spans="1:30" ht="12.75" customHeight="1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6"/>
      <c r="Y238" s="416"/>
      <c r="Z238" s="416"/>
      <c r="AA238" s="416"/>
      <c r="AB238" s="416"/>
      <c r="AC238" s="416"/>
      <c r="AD238" s="416"/>
    </row>
    <row r="239" spans="1:30" ht="12.75" customHeight="1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6"/>
      <c r="Y239" s="416"/>
      <c r="Z239" s="416"/>
      <c r="AA239" s="416"/>
      <c r="AB239" s="416"/>
      <c r="AC239" s="416"/>
      <c r="AD239" s="416"/>
    </row>
    <row r="240" spans="1:30" ht="12.75" customHeight="1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6"/>
      <c r="Y240" s="416"/>
      <c r="Z240" s="416"/>
      <c r="AA240" s="416"/>
      <c r="AB240" s="416"/>
      <c r="AC240" s="416"/>
      <c r="AD240" s="416"/>
    </row>
    <row r="241" spans="1:30" ht="12.75" customHeight="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6"/>
      <c r="Y241" s="416"/>
      <c r="Z241" s="416"/>
      <c r="AA241" s="416"/>
      <c r="AB241" s="416"/>
      <c r="AC241" s="416"/>
      <c r="AD241" s="416"/>
    </row>
    <row r="242" spans="1:30" ht="12.75" customHeight="1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6"/>
      <c r="Y242" s="416"/>
      <c r="Z242" s="416"/>
      <c r="AA242" s="416"/>
      <c r="AB242" s="416"/>
      <c r="AC242" s="416"/>
      <c r="AD242" s="416"/>
    </row>
    <row r="243" spans="1:30" ht="12.75" customHeight="1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6"/>
      <c r="Y243" s="416"/>
      <c r="Z243" s="416"/>
      <c r="AA243" s="416"/>
      <c r="AB243" s="416"/>
      <c r="AC243" s="416"/>
      <c r="AD243" s="416"/>
    </row>
    <row r="244" spans="1:30" ht="12.75" customHeight="1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  <c r="AA244" s="416"/>
      <c r="AB244" s="416"/>
      <c r="AC244" s="416"/>
      <c r="AD244" s="416"/>
    </row>
    <row r="245" spans="1:30" ht="12.75" customHeight="1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6"/>
      <c r="Y245" s="416"/>
      <c r="Z245" s="416"/>
      <c r="AA245" s="416"/>
      <c r="AB245" s="416"/>
      <c r="AC245" s="416"/>
      <c r="AD245" s="416"/>
    </row>
    <row r="246" spans="1:30" ht="12.75" customHeight="1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/>
      <c r="AD246" s="416"/>
    </row>
    <row r="247" spans="1:30" ht="12.75" customHeight="1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6"/>
      <c r="Y247" s="416"/>
      <c r="Z247" s="416"/>
      <c r="AA247" s="416"/>
      <c r="AB247" s="416"/>
      <c r="AC247" s="416"/>
      <c r="AD247" s="416"/>
    </row>
    <row r="248" spans="1:30" ht="12.75" customHeight="1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6"/>
      <c r="Y248" s="416"/>
      <c r="Z248" s="416"/>
      <c r="AA248" s="416"/>
      <c r="AB248" s="416"/>
      <c r="AC248" s="416"/>
      <c r="AD248" s="416"/>
    </row>
    <row r="249" spans="1:30" ht="12.75" customHeight="1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/>
      <c r="AD249" s="416"/>
    </row>
    <row r="250" spans="1:30" ht="12.75" customHeight="1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  <c r="AA250" s="416"/>
      <c r="AB250" s="416"/>
      <c r="AC250" s="416"/>
      <c r="AD250" s="416"/>
    </row>
    <row r="251" spans="1:30" ht="12.75" customHeight="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6"/>
      <c r="AA251" s="416"/>
      <c r="AB251" s="416"/>
      <c r="AC251" s="416"/>
      <c r="AD251" s="416"/>
    </row>
    <row r="252" spans="1:30" ht="12.75" customHeight="1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6"/>
      <c r="Y252" s="416"/>
      <c r="Z252" s="416"/>
      <c r="AA252" s="416"/>
      <c r="AB252" s="416"/>
      <c r="AC252" s="416"/>
      <c r="AD252" s="416"/>
    </row>
    <row r="253" spans="1:30" ht="12.75" customHeight="1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6"/>
      <c r="Y253" s="416"/>
      <c r="Z253" s="416"/>
      <c r="AA253" s="416"/>
      <c r="AB253" s="416"/>
      <c r="AC253" s="416"/>
      <c r="AD253" s="416"/>
    </row>
    <row r="254" spans="1:30" ht="12.75" customHeight="1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6"/>
      <c r="Y254" s="416"/>
      <c r="Z254" s="416"/>
      <c r="AA254" s="416"/>
      <c r="AB254" s="416"/>
      <c r="AC254" s="416"/>
      <c r="AD254" s="416"/>
    </row>
    <row r="255" spans="1:30" ht="12.75" customHeight="1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6"/>
      <c r="Y255" s="416"/>
      <c r="Z255" s="416"/>
      <c r="AA255" s="416"/>
      <c r="AB255" s="416"/>
      <c r="AC255" s="416"/>
      <c r="AD255" s="416"/>
    </row>
    <row r="256" spans="1:30" ht="12.75" customHeight="1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6"/>
      <c r="Y256" s="416"/>
      <c r="Z256" s="416"/>
      <c r="AA256" s="416"/>
      <c r="AB256" s="416"/>
      <c r="AC256" s="416"/>
      <c r="AD256" s="416"/>
    </row>
    <row r="257" spans="1:30" ht="12.75" customHeight="1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6"/>
      <c r="Y257" s="416"/>
      <c r="Z257" s="416"/>
      <c r="AA257" s="416"/>
      <c r="AB257" s="416"/>
      <c r="AC257" s="416"/>
      <c r="AD257" s="416"/>
    </row>
    <row r="258" spans="1:30" ht="12.75" customHeight="1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6"/>
      <c r="AA258" s="416"/>
      <c r="AB258" s="416"/>
      <c r="AC258" s="416"/>
      <c r="AD258" s="416"/>
    </row>
    <row r="259" spans="1:30" ht="12.75" customHeight="1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6"/>
      <c r="Y259" s="416"/>
      <c r="Z259" s="416"/>
      <c r="AA259" s="416"/>
      <c r="AB259" s="416"/>
      <c r="AC259" s="416"/>
      <c r="AD259" s="416"/>
    </row>
    <row r="260" spans="1:30" ht="12.75" customHeight="1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6"/>
      <c r="Y260" s="416"/>
      <c r="Z260" s="416"/>
      <c r="AA260" s="416"/>
      <c r="AB260" s="416"/>
      <c r="AC260" s="416"/>
      <c r="AD260" s="416"/>
    </row>
    <row r="261" spans="1:30" ht="12.75" customHeight="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6"/>
      <c r="Y261" s="416"/>
      <c r="Z261" s="416"/>
      <c r="AA261" s="416"/>
      <c r="AB261" s="416"/>
      <c r="AC261" s="416"/>
      <c r="AD261" s="416"/>
    </row>
    <row r="262" spans="1:30" ht="12.75" customHeight="1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6"/>
      <c r="Y262" s="416"/>
      <c r="Z262" s="416"/>
      <c r="AA262" s="416"/>
      <c r="AB262" s="416"/>
      <c r="AC262" s="416"/>
      <c r="AD262" s="416"/>
    </row>
    <row r="263" spans="1:30" ht="12.75" customHeight="1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  <c r="X263" s="416"/>
      <c r="Y263" s="416"/>
      <c r="Z263" s="416"/>
      <c r="AA263" s="416"/>
      <c r="AB263" s="416"/>
      <c r="AC263" s="416"/>
      <c r="AD263" s="416"/>
    </row>
    <row r="264" spans="1:30" ht="12.75" customHeight="1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  <c r="X264" s="416"/>
      <c r="Y264" s="416"/>
      <c r="Z264" s="416"/>
      <c r="AA264" s="416"/>
      <c r="AB264" s="416"/>
      <c r="AC264" s="416"/>
      <c r="AD264" s="416"/>
    </row>
    <row r="265" spans="1:30" ht="12.75" customHeight="1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  <c r="V265" s="416"/>
      <c r="W265" s="416"/>
      <c r="X265" s="416"/>
      <c r="Y265" s="416"/>
      <c r="Z265" s="416"/>
      <c r="AA265" s="416"/>
      <c r="AB265" s="416"/>
      <c r="AC265" s="416"/>
      <c r="AD265" s="416"/>
    </row>
    <row r="266" spans="1:30" ht="12.75" customHeight="1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  <c r="V266" s="416"/>
      <c r="W266" s="416"/>
      <c r="X266" s="416"/>
      <c r="Y266" s="416"/>
      <c r="Z266" s="416"/>
      <c r="AA266" s="416"/>
      <c r="AB266" s="416"/>
      <c r="AC266" s="416"/>
      <c r="AD266" s="416"/>
    </row>
    <row r="267" spans="1:30" ht="12.75" customHeight="1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  <c r="V267" s="416"/>
      <c r="W267" s="416"/>
      <c r="X267" s="416"/>
      <c r="Y267" s="416"/>
      <c r="Z267" s="416"/>
      <c r="AA267" s="416"/>
      <c r="AB267" s="416"/>
      <c r="AC267" s="416"/>
      <c r="AD267" s="416"/>
    </row>
    <row r="268" spans="1:30" ht="12.75" customHeight="1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  <c r="V268" s="416"/>
      <c r="W268" s="416"/>
      <c r="X268" s="416"/>
      <c r="Y268" s="416"/>
      <c r="Z268" s="416"/>
      <c r="AA268" s="416"/>
      <c r="AB268" s="416"/>
      <c r="AC268" s="416"/>
      <c r="AD268" s="416"/>
    </row>
    <row r="269" spans="1:30" ht="12.75" customHeight="1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  <c r="AA269" s="416"/>
      <c r="AB269" s="416"/>
      <c r="AC269" s="416"/>
      <c r="AD269" s="416"/>
    </row>
    <row r="270" spans="1:30" ht="12.75" customHeight="1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  <c r="V270" s="416"/>
      <c r="W270" s="416"/>
      <c r="X270" s="416"/>
      <c r="Y270" s="416"/>
      <c r="Z270" s="416"/>
      <c r="AA270" s="416"/>
      <c r="AB270" s="416"/>
      <c r="AC270" s="416"/>
      <c r="AD270" s="416"/>
    </row>
    <row r="271" spans="1:30" ht="12.75" customHeight="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  <c r="V271" s="416"/>
      <c r="W271" s="416"/>
      <c r="X271" s="416"/>
      <c r="Y271" s="416"/>
      <c r="Z271" s="416"/>
      <c r="AA271" s="416"/>
      <c r="AB271" s="416"/>
      <c r="AC271" s="416"/>
      <c r="AD271" s="416"/>
    </row>
    <row r="272" spans="1:30" ht="12.75" customHeight="1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  <c r="V272" s="416"/>
      <c r="W272" s="416"/>
      <c r="X272" s="416"/>
      <c r="Y272" s="416"/>
      <c r="Z272" s="416"/>
      <c r="AA272" s="416"/>
      <c r="AB272" s="416"/>
      <c r="AC272" s="416"/>
      <c r="AD272" s="416"/>
    </row>
    <row r="273" spans="1:30" ht="12.75" customHeight="1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  <c r="V273" s="416"/>
      <c r="W273" s="416"/>
      <c r="X273" s="416"/>
      <c r="Y273" s="416"/>
      <c r="Z273" s="416"/>
      <c r="AA273" s="416"/>
      <c r="AB273" s="416"/>
      <c r="AC273" s="416"/>
      <c r="AD273" s="416"/>
    </row>
    <row r="274" spans="1:30" ht="12.75" customHeight="1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/>
      <c r="AD274" s="416"/>
    </row>
    <row r="275" spans="1:30" ht="12.75" customHeight="1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  <c r="V275" s="416"/>
      <c r="W275" s="416"/>
      <c r="X275" s="416"/>
      <c r="Y275" s="416"/>
      <c r="Z275" s="416"/>
      <c r="AA275" s="416"/>
      <c r="AB275" s="416"/>
      <c r="AC275" s="416"/>
      <c r="AD275" s="416"/>
    </row>
    <row r="276" spans="1:30" ht="12.75" customHeight="1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  <c r="V276" s="416"/>
      <c r="W276" s="416"/>
      <c r="X276" s="416"/>
      <c r="Y276" s="416"/>
      <c r="Z276" s="416"/>
      <c r="AA276" s="416"/>
      <c r="AB276" s="416"/>
      <c r="AC276" s="416"/>
      <c r="AD276" s="416"/>
    </row>
    <row r="277" spans="1:30" ht="12.75" customHeight="1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  <c r="V277" s="416"/>
      <c r="W277" s="416"/>
      <c r="X277" s="416"/>
      <c r="Y277" s="416"/>
      <c r="Z277" s="416"/>
      <c r="AA277" s="416"/>
      <c r="AB277" s="416"/>
      <c r="AC277" s="416"/>
      <c r="AD277" s="416"/>
    </row>
    <row r="278" spans="1:30" ht="12.75" customHeight="1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6"/>
      <c r="AA278" s="416"/>
      <c r="AB278" s="416"/>
      <c r="AC278" s="416"/>
      <c r="AD278" s="416"/>
    </row>
    <row r="279" spans="1:30" ht="12.75" customHeight="1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  <c r="V279" s="416"/>
      <c r="W279" s="416"/>
      <c r="X279" s="416"/>
      <c r="Y279" s="416"/>
      <c r="Z279" s="416"/>
      <c r="AA279" s="416"/>
      <c r="AB279" s="416"/>
      <c r="AC279" s="416"/>
      <c r="AD279" s="416"/>
    </row>
    <row r="280" spans="1:30" ht="12.75" customHeight="1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/>
      <c r="AD280" s="416"/>
    </row>
    <row r="281" spans="1:30" ht="12.75" customHeight="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  <c r="V281" s="416"/>
      <c r="W281" s="416"/>
      <c r="X281" s="416"/>
      <c r="Y281" s="416"/>
      <c r="Z281" s="416"/>
      <c r="AA281" s="416"/>
      <c r="AB281" s="416"/>
      <c r="AC281" s="416"/>
      <c r="AD281" s="416"/>
    </row>
    <row r="282" spans="1:30" ht="12.75" customHeight="1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  <c r="V282" s="416"/>
      <c r="W282" s="416"/>
      <c r="X282" s="416"/>
      <c r="Y282" s="416"/>
      <c r="Z282" s="416"/>
      <c r="AA282" s="416"/>
      <c r="AB282" s="416"/>
      <c r="AC282" s="416"/>
      <c r="AD282" s="416"/>
    </row>
    <row r="283" spans="1:30" ht="12.75" customHeight="1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  <c r="V283" s="416"/>
      <c r="W283" s="416"/>
      <c r="X283" s="416"/>
      <c r="Y283" s="416"/>
      <c r="Z283" s="416"/>
      <c r="AA283" s="416"/>
      <c r="AB283" s="416"/>
      <c r="AC283" s="416"/>
      <c r="AD283" s="416"/>
    </row>
    <row r="284" spans="1:30" ht="12.75" customHeight="1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  <c r="AA284" s="416"/>
      <c r="AB284" s="416"/>
      <c r="AC284" s="416"/>
      <c r="AD284" s="416"/>
    </row>
    <row r="285" spans="1:30" ht="12.75" customHeight="1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  <c r="AA285" s="416"/>
      <c r="AB285" s="416"/>
      <c r="AC285" s="416"/>
      <c r="AD285" s="416"/>
    </row>
    <row r="286" spans="1:30" ht="12.75" customHeight="1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6"/>
      <c r="AA286" s="416"/>
      <c r="AB286" s="416"/>
      <c r="AC286" s="416"/>
      <c r="AD286" s="416"/>
    </row>
    <row r="287" spans="1:30" ht="12.75" customHeight="1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  <c r="AA287" s="416"/>
      <c r="AB287" s="416"/>
      <c r="AC287" s="416"/>
      <c r="AD287" s="416"/>
    </row>
    <row r="288" spans="1:30" ht="12.75" customHeight="1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  <c r="AA288" s="416"/>
      <c r="AB288" s="416"/>
      <c r="AC288" s="416"/>
      <c r="AD288" s="416"/>
    </row>
    <row r="289" spans="1:30" ht="12.75" customHeight="1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6"/>
      <c r="AA289" s="416"/>
      <c r="AB289" s="416"/>
      <c r="AC289" s="416"/>
      <c r="AD289" s="416"/>
    </row>
    <row r="290" spans="1:30" ht="12.75" customHeight="1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6"/>
      <c r="AA290" s="416"/>
      <c r="AB290" s="416"/>
      <c r="AC290" s="416"/>
      <c r="AD290" s="416"/>
    </row>
    <row r="291" spans="1:30" ht="12.75" customHeight="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  <c r="V291" s="416"/>
      <c r="W291" s="416"/>
      <c r="X291" s="416"/>
      <c r="Y291" s="416"/>
      <c r="Z291" s="416"/>
      <c r="AA291" s="416"/>
      <c r="AB291" s="416"/>
      <c r="AC291" s="416"/>
      <c r="AD291" s="416"/>
    </row>
    <row r="292" spans="1:30" ht="12.75" customHeight="1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/>
      <c r="AD292" s="416"/>
    </row>
    <row r="293" spans="1:30" ht="12.75" customHeight="1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  <c r="V293" s="416"/>
      <c r="W293" s="416"/>
      <c r="X293" s="416"/>
      <c r="Y293" s="416"/>
      <c r="Z293" s="416"/>
      <c r="AA293" s="416"/>
      <c r="AB293" s="416"/>
      <c r="AC293" s="416"/>
      <c r="AD293" s="416"/>
    </row>
    <row r="294" spans="1:30" ht="12.75" customHeight="1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  <c r="V294" s="416"/>
      <c r="W294" s="416"/>
      <c r="X294" s="416"/>
      <c r="Y294" s="416"/>
      <c r="Z294" s="416"/>
      <c r="AA294" s="416"/>
      <c r="AB294" s="416"/>
      <c r="AC294" s="416"/>
      <c r="AD294" s="416"/>
    </row>
    <row r="295" spans="1:30" ht="12.75" customHeight="1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6"/>
      <c r="AA295" s="416"/>
      <c r="AB295" s="416"/>
      <c r="AC295" s="416"/>
      <c r="AD295" s="416"/>
    </row>
    <row r="296" spans="1:30" ht="12.75" customHeight="1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  <c r="V296" s="416"/>
      <c r="W296" s="416"/>
      <c r="X296" s="416"/>
      <c r="Y296" s="416"/>
      <c r="Z296" s="416"/>
      <c r="AA296" s="416"/>
      <c r="AB296" s="416"/>
      <c r="AC296" s="416"/>
      <c r="AD296" s="416"/>
    </row>
    <row r="297" spans="1:30" ht="12.75" customHeight="1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  <c r="V297" s="416"/>
      <c r="W297" s="416"/>
      <c r="X297" s="416"/>
      <c r="Y297" s="416"/>
      <c r="Z297" s="416"/>
      <c r="AA297" s="416"/>
      <c r="AB297" s="416"/>
      <c r="AC297" s="416"/>
      <c r="AD297" s="416"/>
    </row>
    <row r="298" spans="1:30" ht="12.75" customHeight="1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6"/>
      <c r="AA298" s="416"/>
      <c r="AB298" s="416"/>
      <c r="AC298" s="416"/>
      <c r="AD298" s="416"/>
    </row>
    <row r="299" spans="1:30" ht="12.75" customHeight="1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  <c r="AA299" s="416"/>
      <c r="AB299" s="416"/>
      <c r="AC299" s="416"/>
      <c r="AD299" s="416"/>
    </row>
    <row r="300" spans="1:30" ht="12.75" customHeight="1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  <c r="V300" s="416"/>
      <c r="W300" s="416"/>
      <c r="X300" s="416"/>
      <c r="Y300" s="416"/>
      <c r="Z300" s="416"/>
      <c r="AA300" s="416"/>
      <c r="AB300" s="416"/>
      <c r="AC300" s="416"/>
      <c r="AD300" s="416"/>
    </row>
    <row r="301" spans="1:30" ht="12.75" customHeight="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  <c r="V301" s="416"/>
      <c r="W301" s="416"/>
      <c r="X301" s="416"/>
      <c r="Y301" s="416"/>
      <c r="Z301" s="416"/>
      <c r="AA301" s="416"/>
      <c r="AB301" s="416"/>
      <c r="AC301" s="416"/>
      <c r="AD301" s="416"/>
    </row>
    <row r="302" spans="1:30" ht="12.75" customHeight="1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  <c r="V302" s="416"/>
      <c r="W302" s="416"/>
      <c r="X302" s="416"/>
      <c r="Y302" s="416"/>
      <c r="Z302" s="416"/>
      <c r="AA302" s="416"/>
      <c r="AB302" s="416"/>
      <c r="AC302" s="416"/>
      <c r="AD302" s="416"/>
    </row>
    <row r="303" spans="1:30" ht="12.75" customHeight="1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6"/>
      <c r="AA303" s="416"/>
      <c r="AB303" s="416"/>
      <c r="AC303" s="416"/>
      <c r="AD303" s="416"/>
    </row>
    <row r="304" spans="1:30" ht="12.75" customHeight="1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  <c r="V304" s="416"/>
      <c r="W304" s="416"/>
      <c r="X304" s="416"/>
      <c r="Y304" s="416"/>
      <c r="Z304" s="416"/>
      <c r="AA304" s="416"/>
      <c r="AB304" s="416"/>
      <c r="AC304" s="416"/>
      <c r="AD304" s="416"/>
    </row>
    <row r="305" spans="1:30" ht="12.75" customHeight="1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  <c r="V305" s="416"/>
      <c r="W305" s="416"/>
      <c r="X305" s="416"/>
      <c r="Y305" s="416"/>
      <c r="Z305" s="416"/>
      <c r="AA305" s="416"/>
      <c r="AB305" s="416"/>
      <c r="AC305" s="416"/>
      <c r="AD305" s="416"/>
    </row>
    <row r="306" spans="1:30" ht="12.75" customHeight="1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  <c r="V306" s="416"/>
      <c r="W306" s="416"/>
      <c r="X306" s="416"/>
      <c r="Y306" s="416"/>
      <c r="Z306" s="416"/>
      <c r="AA306" s="416"/>
      <c r="AB306" s="416"/>
      <c r="AC306" s="416"/>
      <c r="AD306" s="416"/>
    </row>
    <row r="307" spans="1:30" ht="12.75" customHeight="1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  <c r="V307" s="416"/>
      <c r="W307" s="416"/>
      <c r="X307" s="416"/>
      <c r="Y307" s="416"/>
      <c r="Z307" s="416"/>
      <c r="AA307" s="416"/>
      <c r="AB307" s="416"/>
      <c r="AC307" s="416"/>
      <c r="AD307" s="416"/>
    </row>
    <row r="308" spans="1:30" ht="12.75" customHeight="1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  <c r="V308" s="416"/>
      <c r="W308" s="416"/>
      <c r="X308" s="416"/>
      <c r="Y308" s="416"/>
      <c r="Z308" s="416"/>
      <c r="AA308" s="416"/>
      <c r="AB308" s="416"/>
      <c r="AC308" s="416"/>
      <c r="AD308" s="416"/>
    </row>
    <row r="309" spans="1:30" ht="12.75" customHeight="1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  <c r="AA309" s="416"/>
      <c r="AB309" s="416"/>
      <c r="AC309" s="416"/>
      <c r="AD309" s="416"/>
    </row>
    <row r="310" spans="1:30" ht="12.75" customHeight="1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  <c r="V310" s="416"/>
      <c r="W310" s="416"/>
      <c r="X310" s="416"/>
      <c r="Y310" s="416"/>
      <c r="Z310" s="416"/>
      <c r="AA310" s="416"/>
      <c r="AB310" s="416"/>
      <c r="AC310" s="416"/>
      <c r="AD310" s="416"/>
    </row>
    <row r="311" spans="1:30" ht="12.75" customHeight="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  <c r="V311" s="416"/>
      <c r="W311" s="416"/>
      <c r="X311" s="416"/>
      <c r="Y311" s="416"/>
      <c r="Z311" s="416"/>
      <c r="AA311" s="416"/>
      <c r="AB311" s="416"/>
      <c r="AC311" s="416"/>
      <c r="AD311" s="416"/>
    </row>
    <row r="312" spans="1:30" ht="12.75" customHeight="1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  <c r="V312" s="416"/>
      <c r="W312" s="416"/>
      <c r="X312" s="416"/>
      <c r="Y312" s="416"/>
      <c r="Z312" s="416"/>
      <c r="AA312" s="416"/>
      <c r="AB312" s="416"/>
      <c r="AC312" s="416"/>
      <c r="AD312" s="416"/>
    </row>
    <row r="313" spans="1:30" ht="12.75" customHeight="1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  <c r="V313" s="416"/>
      <c r="W313" s="416"/>
      <c r="X313" s="416"/>
      <c r="Y313" s="416"/>
      <c r="Z313" s="416"/>
      <c r="AA313" s="416"/>
      <c r="AB313" s="416"/>
      <c r="AC313" s="416"/>
      <c r="AD313" s="416"/>
    </row>
    <row r="314" spans="1:30" ht="12.75" customHeight="1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  <c r="V314" s="416"/>
      <c r="W314" s="416"/>
      <c r="X314" s="416"/>
      <c r="Y314" s="416"/>
      <c r="Z314" s="416"/>
      <c r="AA314" s="416"/>
      <c r="AB314" s="416"/>
      <c r="AC314" s="416"/>
      <c r="AD314" s="416"/>
    </row>
    <row r="315" spans="1:30" ht="12.75" customHeight="1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  <c r="V315" s="416"/>
      <c r="W315" s="416"/>
      <c r="X315" s="416"/>
      <c r="Y315" s="416"/>
      <c r="Z315" s="416"/>
      <c r="AA315" s="416"/>
      <c r="AB315" s="416"/>
      <c r="AC315" s="416"/>
      <c r="AD315" s="416"/>
    </row>
    <row r="316" spans="1:30" ht="12.75" customHeight="1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  <c r="V316" s="416"/>
      <c r="W316" s="416"/>
      <c r="X316" s="416"/>
      <c r="Y316" s="416"/>
      <c r="Z316" s="416"/>
      <c r="AA316" s="416"/>
      <c r="AB316" s="416"/>
      <c r="AC316" s="416"/>
      <c r="AD316" s="416"/>
    </row>
    <row r="317" spans="1:30" ht="12.75" customHeight="1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  <c r="V317" s="416"/>
      <c r="W317" s="416"/>
      <c r="X317" s="416"/>
      <c r="Y317" s="416"/>
      <c r="Z317" s="416"/>
      <c r="AA317" s="416"/>
      <c r="AB317" s="416"/>
      <c r="AC317" s="416"/>
      <c r="AD317" s="416"/>
    </row>
    <row r="318" spans="1:30" ht="12.75" customHeight="1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  <c r="V318" s="416"/>
      <c r="W318" s="416"/>
      <c r="X318" s="416"/>
      <c r="Y318" s="416"/>
      <c r="Z318" s="416"/>
      <c r="AA318" s="416"/>
      <c r="AB318" s="416"/>
      <c r="AC318" s="416"/>
      <c r="AD318" s="416"/>
    </row>
    <row r="319" spans="1:30" ht="12.75" customHeight="1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  <c r="AA319" s="416"/>
      <c r="AB319" s="416"/>
      <c r="AC319" s="416"/>
      <c r="AD319" s="416"/>
    </row>
    <row r="320" spans="1:30" ht="12.75" customHeight="1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  <c r="AA320" s="416"/>
      <c r="AB320" s="416"/>
      <c r="AC320" s="416"/>
      <c r="AD320" s="416"/>
    </row>
    <row r="321" spans="1:30" ht="12.75" customHeight="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  <c r="V321" s="416"/>
      <c r="W321" s="416"/>
      <c r="X321" s="416"/>
      <c r="Y321" s="416"/>
      <c r="Z321" s="416"/>
      <c r="AA321" s="416"/>
      <c r="AB321" s="416"/>
      <c r="AC321" s="416"/>
      <c r="AD321" s="416"/>
    </row>
    <row r="322" spans="1:30" ht="12.75" customHeight="1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  <c r="V322" s="416"/>
      <c r="W322" s="416"/>
      <c r="X322" s="416"/>
      <c r="Y322" s="416"/>
      <c r="Z322" s="416"/>
      <c r="AA322" s="416"/>
      <c r="AB322" s="416"/>
      <c r="AC322" s="416"/>
      <c r="AD322" s="416"/>
    </row>
    <row r="323" spans="1:30" ht="12.75" customHeight="1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  <c r="V323" s="416"/>
      <c r="W323" s="416"/>
      <c r="X323" s="416"/>
      <c r="Y323" s="416"/>
      <c r="Z323" s="416"/>
      <c r="AA323" s="416"/>
      <c r="AB323" s="416"/>
      <c r="AC323" s="416"/>
      <c r="AD323" s="416"/>
    </row>
    <row r="324" spans="1:30" ht="12.75" customHeight="1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  <c r="V324" s="416"/>
      <c r="W324" s="416"/>
      <c r="X324" s="416"/>
      <c r="Y324" s="416"/>
      <c r="Z324" s="416"/>
      <c r="AA324" s="416"/>
      <c r="AB324" s="416"/>
      <c r="AC324" s="416"/>
      <c r="AD324" s="416"/>
    </row>
    <row r="325" spans="1:30" ht="12.75" customHeight="1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  <c r="V325" s="416"/>
      <c r="W325" s="416"/>
      <c r="X325" s="416"/>
      <c r="Y325" s="416"/>
      <c r="Z325" s="416"/>
      <c r="AA325" s="416"/>
      <c r="AB325" s="416"/>
      <c r="AC325" s="416"/>
      <c r="AD325" s="416"/>
    </row>
    <row r="326" spans="1:30" ht="12.75" customHeight="1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  <c r="V326" s="416"/>
      <c r="W326" s="416"/>
      <c r="X326" s="416"/>
      <c r="Y326" s="416"/>
      <c r="Z326" s="416"/>
      <c r="AA326" s="416"/>
      <c r="AB326" s="416"/>
      <c r="AC326" s="416"/>
      <c r="AD326" s="416"/>
    </row>
    <row r="327" spans="1:30" ht="12.75" customHeight="1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  <c r="V327" s="416"/>
      <c r="W327" s="416"/>
      <c r="X327" s="416"/>
      <c r="Y327" s="416"/>
      <c r="Z327" s="416"/>
      <c r="AA327" s="416"/>
      <c r="AB327" s="416"/>
      <c r="AC327" s="416"/>
      <c r="AD327" s="416"/>
    </row>
    <row r="328" spans="1:30" ht="12.75" customHeight="1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  <c r="V328" s="416"/>
      <c r="W328" s="416"/>
      <c r="X328" s="416"/>
      <c r="Y328" s="416"/>
      <c r="Z328" s="416"/>
      <c r="AA328" s="416"/>
      <c r="AB328" s="416"/>
      <c r="AC328" s="416"/>
      <c r="AD328" s="416"/>
    </row>
    <row r="329" spans="1:30" ht="12.75" customHeight="1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  <c r="V329" s="416"/>
      <c r="W329" s="416"/>
      <c r="X329" s="416"/>
      <c r="Y329" s="416"/>
      <c r="Z329" s="416"/>
      <c r="AA329" s="416"/>
      <c r="AB329" s="416"/>
      <c r="AC329" s="416"/>
      <c r="AD329" s="416"/>
    </row>
    <row r="330" spans="1:30" ht="12.75" customHeight="1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  <c r="V330" s="416"/>
      <c r="W330" s="416"/>
      <c r="X330" s="416"/>
      <c r="Y330" s="416"/>
      <c r="Z330" s="416"/>
      <c r="AA330" s="416"/>
      <c r="AB330" s="416"/>
      <c r="AC330" s="416"/>
      <c r="AD330" s="416"/>
    </row>
    <row r="331" spans="1:30" ht="12.75" customHeight="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  <c r="V331" s="416"/>
      <c r="W331" s="416"/>
      <c r="X331" s="416"/>
      <c r="Y331" s="416"/>
      <c r="Z331" s="416"/>
      <c r="AA331" s="416"/>
      <c r="AB331" s="416"/>
      <c r="AC331" s="416"/>
      <c r="AD331" s="416"/>
    </row>
    <row r="332" spans="1:30" ht="12.75" customHeight="1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  <c r="V332" s="416"/>
      <c r="W332" s="416"/>
      <c r="X332" s="416"/>
      <c r="Y332" s="416"/>
      <c r="Z332" s="416"/>
      <c r="AA332" s="416"/>
      <c r="AB332" s="416"/>
      <c r="AC332" s="416"/>
      <c r="AD332" s="416"/>
    </row>
    <row r="333" spans="1:30" ht="12.75" customHeight="1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  <c r="V333" s="416"/>
      <c r="W333" s="416"/>
      <c r="X333" s="416"/>
      <c r="Y333" s="416"/>
      <c r="Z333" s="416"/>
      <c r="AA333" s="416"/>
      <c r="AB333" s="416"/>
      <c r="AC333" s="416"/>
      <c r="AD333" s="416"/>
    </row>
    <row r="334" spans="1:30" ht="12.75" customHeight="1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  <c r="V334" s="416"/>
      <c r="W334" s="416"/>
      <c r="X334" s="416"/>
      <c r="Y334" s="416"/>
      <c r="Z334" s="416"/>
      <c r="AA334" s="416"/>
      <c r="AB334" s="416"/>
      <c r="AC334" s="416"/>
      <c r="AD334" s="416"/>
    </row>
    <row r="335" spans="1:30" ht="12.75" customHeight="1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  <c r="V335" s="416"/>
      <c r="W335" s="416"/>
      <c r="X335" s="416"/>
      <c r="Y335" s="416"/>
      <c r="Z335" s="416"/>
      <c r="AA335" s="416"/>
      <c r="AB335" s="416"/>
      <c r="AC335" s="416"/>
      <c r="AD335" s="416"/>
    </row>
    <row r="336" spans="1:30" ht="12.75" customHeight="1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  <c r="V336" s="416"/>
      <c r="W336" s="416"/>
      <c r="X336" s="416"/>
      <c r="Y336" s="416"/>
      <c r="Z336" s="416"/>
      <c r="AA336" s="416"/>
      <c r="AB336" s="416"/>
      <c r="AC336" s="416"/>
      <c r="AD336" s="416"/>
    </row>
    <row r="337" spans="1:30" ht="12.75" customHeight="1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  <c r="V337" s="416"/>
      <c r="W337" s="416"/>
      <c r="X337" s="416"/>
      <c r="Y337" s="416"/>
      <c r="Z337" s="416"/>
      <c r="AA337" s="416"/>
      <c r="AB337" s="416"/>
      <c r="AC337" s="416"/>
      <c r="AD337" s="416"/>
    </row>
    <row r="338" spans="1:30" ht="12.75" customHeight="1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  <c r="V338" s="416"/>
      <c r="W338" s="416"/>
      <c r="X338" s="416"/>
      <c r="Y338" s="416"/>
      <c r="Z338" s="416"/>
      <c r="AA338" s="416"/>
      <c r="AB338" s="416"/>
      <c r="AC338" s="416"/>
      <c r="AD338" s="416"/>
    </row>
    <row r="339" spans="1:30" ht="12.75" customHeight="1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  <c r="V339" s="416"/>
      <c r="W339" s="416"/>
      <c r="X339" s="416"/>
      <c r="Y339" s="416"/>
      <c r="Z339" s="416"/>
      <c r="AA339" s="416"/>
      <c r="AB339" s="416"/>
      <c r="AC339" s="416"/>
      <c r="AD339" s="416"/>
    </row>
    <row r="340" spans="1:30" ht="12.75" customHeight="1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  <c r="V340" s="416"/>
      <c r="W340" s="416"/>
      <c r="X340" s="416"/>
      <c r="Y340" s="416"/>
      <c r="Z340" s="416"/>
      <c r="AA340" s="416"/>
      <c r="AB340" s="416"/>
      <c r="AC340" s="416"/>
      <c r="AD340" s="416"/>
    </row>
    <row r="341" spans="1:30" ht="12.75" customHeight="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  <c r="V341" s="416"/>
      <c r="W341" s="416"/>
      <c r="X341" s="416"/>
      <c r="Y341" s="416"/>
      <c r="Z341" s="416"/>
      <c r="AA341" s="416"/>
      <c r="AB341" s="416"/>
      <c r="AC341" s="416"/>
      <c r="AD341" s="416"/>
    </row>
    <row r="342" spans="1:30" ht="12.75" customHeight="1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  <c r="Z342" s="416"/>
      <c r="AA342" s="416"/>
      <c r="AB342" s="416"/>
      <c r="AC342" s="416"/>
      <c r="AD342" s="416"/>
    </row>
    <row r="343" spans="1:30" ht="12.75" customHeight="1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  <c r="V343" s="416"/>
      <c r="W343" s="416"/>
      <c r="X343" s="416"/>
      <c r="Y343" s="416"/>
      <c r="Z343" s="416"/>
      <c r="AA343" s="416"/>
      <c r="AB343" s="416"/>
      <c r="AC343" s="416"/>
      <c r="AD343" s="416"/>
    </row>
    <row r="344" spans="1:30" ht="12.75" customHeight="1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  <c r="V344" s="416"/>
      <c r="W344" s="416"/>
      <c r="X344" s="416"/>
      <c r="Y344" s="416"/>
      <c r="Z344" s="416"/>
      <c r="AA344" s="416"/>
      <c r="AB344" s="416"/>
      <c r="AC344" s="416"/>
      <c r="AD344" s="416"/>
    </row>
    <row r="345" spans="1:30" ht="12.75" customHeight="1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  <c r="V345" s="416"/>
      <c r="W345" s="416"/>
      <c r="X345" s="416"/>
      <c r="Y345" s="416"/>
      <c r="Z345" s="416"/>
      <c r="AA345" s="416"/>
      <c r="AB345" s="416"/>
      <c r="AC345" s="416"/>
      <c r="AD345" s="416"/>
    </row>
    <row r="346" spans="1:30" ht="12.75" customHeight="1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  <c r="V346" s="416"/>
      <c r="W346" s="416"/>
      <c r="X346" s="416"/>
      <c r="Y346" s="416"/>
      <c r="Z346" s="416"/>
      <c r="AA346" s="416"/>
      <c r="AB346" s="416"/>
      <c r="AC346" s="416"/>
      <c r="AD346" s="416"/>
    </row>
    <row r="347" spans="1:30" ht="12.75" customHeight="1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  <c r="V347" s="416"/>
      <c r="W347" s="416"/>
      <c r="X347" s="416"/>
      <c r="Y347" s="416"/>
      <c r="Z347" s="416"/>
      <c r="AA347" s="416"/>
      <c r="AB347" s="416"/>
      <c r="AC347" s="416"/>
      <c r="AD347" s="416"/>
    </row>
    <row r="348" spans="1:30" ht="12.75" customHeight="1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  <c r="V348" s="416"/>
      <c r="W348" s="416"/>
      <c r="X348" s="416"/>
      <c r="Y348" s="416"/>
      <c r="Z348" s="416"/>
      <c r="AA348" s="416"/>
      <c r="AB348" s="416"/>
      <c r="AC348" s="416"/>
      <c r="AD348" s="416"/>
    </row>
    <row r="349" spans="1:30" ht="12.75" customHeight="1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  <c r="V349" s="416"/>
      <c r="W349" s="416"/>
      <c r="X349" s="416"/>
      <c r="Y349" s="416"/>
      <c r="Z349" s="416"/>
      <c r="AA349" s="416"/>
      <c r="AB349" s="416"/>
      <c r="AC349" s="416"/>
      <c r="AD349" s="416"/>
    </row>
    <row r="350" spans="1:30" ht="12.75" customHeight="1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  <c r="V350" s="416"/>
      <c r="W350" s="416"/>
      <c r="X350" s="416"/>
      <c r="Y350" s="416"/>
      <c r="Z350" s="416"/>
      <c r="AA350" s="416"/>
      <c r="AB350" s="416"/>
      <c r="AC350" s="416"/>
      <c r="AD350" s="416"/>
    </row>
    <row r="351" spans="1:30" ht="12.75" customHeight="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  <c r="V351" s="416"/>
      <c r="W351" s="416"/>
      <c r="X351" s="416"/>
      <c r="Y351" s="416"/>
      <c r="Z351" s="416"/>
      <c r="AA351" s="416"/>
      <c r="AB351" s="416"/>
      <c r="AC351" s="416"/>
      <c r="AD351" s="416"/>
    </row>
    <row r="352" spans="1:30" ht="12.75" customHeight="1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  <c r="V352" s="416"/>
      <c r="W352" s="416"/>
      <c r="X352" s="416"/>
      <c r="Y352" s="416"/>
      <c r="Z352" s="416"/>
      <c r="AA352" s="416"/>
      <c r="AB352" s="416"/>
      <c r="AC352" s="416"/>
      <c r="AD352" s="416"/>
    </row>
    <row r="353" spans="1:30" ht="12.75" customHeight="1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  <c r="V353" s="416"/>
      <c r="W353" s="416"/>
      <c r="X353" s="416"/>
      <c r="Y353" s="416"/>
      <c r="Z353" s="416"/>
      <c r="AA353" s="416"/>
      <c r="AB353" s="416"/>
      <c r="AC353" s="416"/>
      <c r="AD353" s="416"/>
    </row>
    <row r="354" spans="1:30" ht="12.75" customHeight="1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  <c r="AA354" s="416"/>
      <c r="AB354" s="416"/>
      <c r="AC354" s="416"/>
      <c r="AD354" s="416"/>
    </row>
    <row r="355" spans="1:30" ht="12.75" customHeight="1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  <c r="AA355" s="416"/>
      <c r="AB355" s="416"/>
      <c r="AC355" s="416"/>
      <c r="AD355" s="416"/>
    </row>
    <row r="356" spans="1:30" ht="12.75" customHeight="1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  <c r="V356" s="416"/>
      <c r="W356" s="416"/>
      <c r="X356" s="416"/>
      <c r="Y356" s="416"/>
      <c r="Z356" s="416"/>
      <c r="AA356" s="416"/>
      <c r="AB356" s="416"/>
      <c r="AC356" s="416"/>
      <c r="AD356" s="416"/>
    </row>
    <row r="357" spans="1:30" ht="12.75" customHeight="1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  <c r="V357" s="416"/>
      <c r="W357" s="416"/>
      <c r="X357" s="416"/>
      <c r="Y357" s="416"/>
      <c r="Z357" s="416"/>
      <c r="AA357" s="416"/>
      <c r="AB357" s="416"/>
      <c r="AC357" s="416"/>
      <c r="AD357" s="416"/>
    </row>
    <row r="358" spans="1:30" ht="12.75" customHeight="1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  <c r="V358" s="416"/>
      <c r="W358" s="416"/>
      <c r="X358" s="416"/>
      <c r="Y358" s="416"/>
      <c r="Z358" s="416"/>
      <c r="AA358" s="416"/>
      <c r="AB358" s="416"/>
      <c r="AC358" s="416"/>
      <c r="AD358" s="416"/>
    </row>
    <row r="359" spans="1:30" ht="12.75" customHeight="1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  <c r="V359" s="416"/>
      <c r="W359" s="416"/>
      <c r="X359" s="416"/>
      <c r="Y359" s="416"/>
      <c r="Z359" s="416"/>
      <c r="AA359" s="416"/>
      <c r="AB359" s="416"/>
      <c r="AC359" s="416"/>
      <c r="AD359" s="416"/>
    </row>
    <row r="360" spans="1:30" ht="12.75" customHeight="1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  <c r="V360" s="416"/>
      <c r="W360" s="416"/>
      <c r="X360" s="416"/>
      <c r="Y360" s="416"/>
      <c r="Z360" s="416"/>
      <c r="AA360" s="416"/>
      <c r="AB360" s="416"/>
      <c r="AC360" s="416"/>
      <c r="AD360" s="416"/>
    </row>
    <row r="361" spans="1:30" ht="12.75" customHeight="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  <c r="Z361" s="416"/>
      <c r="AA361" s="416"/>
      <c r="AB361" s="416"/>
      <c r="AC361" s="416"/>
      <c r="AD361" s="416"/>
    </row>
    <row r="362" spans="1:30" ht="12.75" customHeight="1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  <c r="V362" s="416"/>
      <c r="W362" s="416"/>
      <c r="X362" s="416"/>
      <c r="Y362" s="416"/>
      <c r="Z362" s="416"/>
      <c r="AA362" s="416"/>
      <c r="AB362" s="416"/>
      <c r="AC362" s="416"/>
      <c r="AD362" s="416"/>
    </row>
    <row r="363" spans="1:30" ht="12.75" customHeight="1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  <c r="V363" s="416"/>
      <c r="W363" s="416"/>
      <c r="X363" s="416"/>
      <c r="Y363" s="416"/>
      <c r="Z363" s="416"/>
      <c r="AA363" s="416"/>
      <c r="AB363" s="416"/>
      <c r="AC363" s="416"/>
      <c r="AD363" s="416"/>
    </row>
    <row r="364" spans="1:30" ht="12.75" customHeight="1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416"/>
      <c r="X364" s="416"/>
      <c r="Y364" s="416"/>
      <c r="Z364" s="416"/>
      <c r="AA364" s="416"/>
      <c r="AB364" s="416"/>
      <c r="AC364" s="416"/>
      <c r="AD364" s="416"/>
    </row>
    <row r="365" spans="1:30" ht="12.75" customHeight="1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  <c r="V365" s="416"/>
      <c r="W365" s="416"/>
      <c r="X365" s="416"/>
      <c r="Y365" s="416"/>
      <c r="Z365" s="416"/>
      <c r="AA365" s="416"/>
      <c r="AB365" s="416"/>
      <c r="AC365" s="416"/>
      <c r="AD365" s="416"/>
    </row>
    <row r="366" spans="1:30" ht="12.75" customHeight="1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  <c r="V366" s="416"/>
      <c r="W366" s="416"/>
      <c r="X366" s="416"/>
      <c r="Y366" s="416"/>
      <c r="Z366" s="416"/>
      <c r="AA366" s="416"/>
      <c r="AB366" s="416"/>
      <c r="AC366" s="416"/>
      <c r="AD366" s="416"/>
    </row>
    <row r="367" spans="1:30" ht="12.75" customHeight="1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  <c r="V367" s="416"/>
      <c r="W367" s="416"/>
      <c r="X367" s="416"/>
      <c r="Y367" s="416"/>
      <c r="Z367" s="416"/>
      <c r="AA367" s="416"/>
      <c r="AB367" s="416"/>
      <c r="AC367" s="416"/>
      <c r="AD367" s="416"/>
    </row>
    <row r="368" spans="1:30" ht="12.75" customHeight="1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  <c r="V368" s="416"/>
      <c r="W368" s="416"/>
      <c r="X368" s="416"/>
      <c r="Y368" s="416"/>
      <c r="Z368" s="416"/>
      <c r="AA368" s="416"/>
      <c r="AB368" s="416"/>
      <c r="AC368" s="416"/>
      <c r="AD368" s="416"/>
    </row>
    <row r="369" spans="1:30" ht="12.75" customHeight="1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  <c r="V369" s="416"/>
      <c r="W369" s="416"/>
      <c r="X369" s="416"/>
      <c r="Y369" s="416"/>
      <c r="Z369" s="416"/>
      <c r="AA369" s="416"/>
      <c r="AB369" s="416"/>
      <c r="AC369" s="416"/>
      <c r="AD369" s="416"/>
    </row>
    <row r="370" spans="1:30" ht="12.75" customHeight="1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  <c r="V370" s="416"/>
      <c r="W370" s="416"/>
      <c r="X370" s="416"/>
      <c r="Y370" s="416"/>
      <c r="Z370" s="416"/>
      <c r="AA370" s="416"/>
      <c r="AB370" s="416"/>
      <c r="AC370" s="416"/>
      <c r="AD370" s="416"/>
    </row>
    <row r="371" spans="1:30" ht="12.75" customHeight="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  <c r="V371" s="416"/>
      <c r="W371" s="416"/>
      <c r="X371" s="416"/>
      <c r="Y371" s="416"/>
      <c r="Z371" s="416"/>
      <c r="AA371" s="416"/>
      <c r="AB371" s="416"/>
      <c r="AC371" s="416"/>
      <c r="AD371" s="416"/>
    </row>
    <row r="372" spans="1:30" ht="12.75" customHeight="1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  <c r="V372" s="416"/>
      <c r="W372" s="416"/>
      <c r="X372" s="416"/>
      <c r="Y372" s="416"/>
      <c r="Z372" s="416"/>
      <c r="AA372" s="416"/>
      <c r="AB372" s="416"/>
      <c r="AC372" s="416"/>
      <c r="AD372" s="416"/>
    </row>
    <row r="373" spans="1:30" ht="12.75" customHeight="1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  <c r="V373" s="416"/>
      <c r="W373" s="416"/>
      <c r="X373" s="416"/>
      <c r="Y373" s="416"/>
      <c r="Z373" s="416"/>
      <c r="AA373" s="416"/>
      <c r="AB373" s="416"/>
      <c r="AC373" s="416"/>
      <c r="AD373" s="416"/>
    </row>
    <row r="374" spans="1:30" ht="12.75" customHeight="1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  <c r="V374" s="416"/>
      <c r="W374" s="416"/>
      <c r="X374" s="416"/>
      <c r="Y374" s="416"/>
      <c r="Z374" s="416"/>
      <c r="AA374" s="416"/>
      <c r="AB374" s="416"/>
      <c r="AC374" s="416"/>
      <c r="AD374" s="416"/>
    </row>
    <row r="375" spans="1:30" ht="12.75" customHeight="1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  <c r="V375" s="416"/>
      <c r="W375" s="416"/>
      <c r="X375" s="416"/>
      <c r="Y375" s="416"/>
      <c r="Z375" s="416"/>
      <c r="AA375" s="416"/>
      <c r="AB375" s="416"/>
      <c r="AC375" s="416"/>
      <c r="AD375" s="416"/>
    </row>
    <row r="376" spans="1:30" ht="12.75" customHeight="1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  <c r="V376" s="416"/>
      <c r="W376" s="416"/>
      <c r="X376" s="416"/>
      <c r="Y376" s="416"/>
      <c r="Z376" s="416"/>
      <c r="AA376" s="416"/>
      <c r="AB376" s="416"/>
      <c r="AC376" s="416"/>
      <c r="AD376" s="416"/>
    </row>
    <row r="377" spans="1:30" ht="12.75" customHeight="1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  <c r="V377" s="416"/>
      <c r="W377" s="416"/>
      <c r="X377" s="416"/>
      <c r="Y377" s="416"/>
      <c r="Z377" s="416"/>
      <c r="AA377" s="416"/>
      <c r="AB377" s="416"/>
      <c r="AC377" s="416"/>
      <c r="AD377" s="416"/>
    </row>
    <row r="378" spans="1:30" ht="12.75" customHeight="1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  <c r="V378" s="416"/>
      <c r="W378" s="416"/>
      <c r="X378" s="416"/>
      <c r="Y378" s="416"/>
      <c r="Z378" s="416"/>
      <c r="AA378" s="416"/>
      <c r="AB378" s="416"/>
      <c r="AC378" s="416"/>
      <c r="AD378" s="416"/>
    </row>
    <row r="379" spans="1:30" ht="12.75" customHeight="1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  <c r="V379" s="416"/>
      <c r="W379" s="416"/>
      <c r="X379" s="416"/>
      <c r="Y379" s="416"/>
      <c r="Z379" s="416"/>
      <c r="AA379" s="416"/>
      <c r="AB379" s="416"/>
      <c r="AC379" s="416"/>
      <c r="AD379" s="416"/>
    </row>
    <row r="380" spans="1:30" ht="12.75" customHeight="1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  <c r="V380" s="416"/>
      <c r="W380" s="416"/>
      <c r="X380" s="416"/>
      <c r="Y380" s="416"/>
      <c r="Z380" s="416"/>
      <c r="AA380" s="416"/>
      <c r="AB380" s="416"/>
      <c r="AC380" s="416"/>
      <c r="AD380" s="416"/>
    </row>
    <row r="381" spans="1:30" ht="12.75" customHeight="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  <c r="V381" s="416"/>
      <c r="W381" s="416"/>
      <c r="X381" s="416"/>
      <c r="Y381" s="416"/>
      <c r="Z381" s="416"/>
      <c r="AA381" s="416"/>
      <c r="AB381" s="416"/>
      <c r="AC381" s="416"/>
      <c r="AD381" s="416"/>
    </row>
    <row r="382" spans="1:30" ht="12.75" customHeight="1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  <c r="V382" s="416"/>
      <c r="W382" s="416"/>
      <c r="X382" s="416"/>
      <c r="Y382" s="416"/>
      <c r="Z382" s="416"/>
      <c r="AA382" s="416"/>
      <c r="AB382" s="416"/>
      <c r="AC382" s="416"/>
      <c r="AD382" s="416"/>
    </row>
    <row r="383" spans="1:30" ht="12.75" customHeight="1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  <c r="V383" s="416"/>
      <c r="W383" s="416"/>
      <c r="X383" s="416"/>
      <c r="Y383" s="416"/>
      <c r="Z383" s="416"/>
      <c r="AA383" s="416"/>
      <c r="AB383" s="416"/>
      <c r="AC383" s="416"/>
      <c r="AD383" s="416"/>
    </row>
    <row r="384" spans="1:30" ht="12.75" customHeight="1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  <c r="V384" s="416"/>
      <c r="W384" s="416"/>
      <c r="X384" s="416"/>
      <c r="Y384" s="416"/>
      <c r="Z384" s="416"/>
      <c r="AA384" s="416"/>
      <c r="AB384" s="416"/>
      <c r="AC384" s="416"/>
      <c r="AD384" s="416"/>
    </row>
    <row r="385" spans="1:30" ht="12.75" customHeight="1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  <c r="V385" s="416"/>
      <c r="W385" s="416"/>
      <c r="X385" s="416"/>
      <c r="Y385" s="416"/>
      <c r="Z385" s="416"/>
      <c r="AA385" s="416"/>
      <c r="AB385" s="416"/>
      <c r="AC385" s="416"/>
      <c r="AD385" s="416"/>
    </row>
    <row r="386" spans="1:30" ht="12.75" customHeight="1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  <c r="V386" s="416"/>
      <c r="W386" s="416"/>
      <c r="X386" s="416"/>
      <c r="Y386" s="416"/>
      <c r="Z386" s="416"/>
      <c r="AA386" s="416"/>
      <c r="AB386" s="416"/>
      <c r="AC386" s="416"/>
      <c r="AD386" s="416"/>
    </row>
    <row r="387" spans="1:30" ht="12.75" customHeight="1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  <c r="AA387" s="416"/>
      <c r="AB387" s="416"/>
      <c r="AC387" s="416"/>
      <c r="AD387" s="416"/>
    </row>
    <row r="388" spans="1:30" ht="12.75" customHeight="1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  <c r="V388" s="416"/>
      <c r="W388" s="416"/>
      <c r="X388" s="416"/>
      <c r="Y388" s="416"/>
      <c r="Z388" s="416"/>
      <c r="AA388" s="416"/>
      <c r="AB388" s="416"/>
      <c r="AC388" s="416"/>
      <c r="AD388" s="416"/>
    </row>
    <row r="389" spans="1:30" ht="12.75" customHeight="1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  <c r="AA389" s="416"/>
      <c r="AB389" s="416"/>
      <c r="AC389" s="416"/>
      <c r="AD389" s="416"/>
    </row>
    <row r="390" spans="1:30" ht="12.75" customHeight="1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  <c r="AA390" s="416"/>
      <c r="AB390" s="416"/>
      <c r="AC390" s="416"/>
      <c r="AD390" s="416"/>
    </row>
    <row r="391" spans="1:30" ht="12.75" customHeight="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  <c r="V391" s="416"/>
      <c r="W391" s="416"/>
      <c r="X391" s="416"/>
      <c r="Y391" s="416"/>
      <c r="Z391" s="416"/>
      <c r="AA391" s="416"/>
      <c r="AB391" s="416"/>
      <c r="AC391" s="416"/>
      <c r="AD391" s="416"/>
    </row>
    <row r="392" spans="1:30" ht="12.75" customHeight="1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  <c r="V392" s="416"/>
      <c r="W392" s="416"/>
      <c r="X392" s="416"/>
      <c r="Y392" s="416"/>
      <c r="Z392" s="416"/>
      <c r="AA392" s="416"/>
      <c r="AB392" s="416"/>
      <c r="AC392" s="416"/>
      <c r="AD392" s="416"/>
    </row>
    <row r="393" spans="1:30" ht="12.75" customHeight="1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  <c r="V393" s="416"/>
      <c r="W393" s="416"/>
      <c r="X393" s="416"/>
      <c r="Y393" s="416"/>
      <c r="Z393" s="416"/>
      <c r="AA393" s="416"/>
      <c r="AB393" s="416"/>
      <c r="AC393" s="416"/>
      <c r="AD393" s="416"/>
    </row>
    <row r="394" spans="1:30" ht="12.75" customHeight="1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  <c r="V394" s="416"/>
      <c r="W394" s="416"/>
      <c r="X394" s="416"/>
      <c r="Y394" s="416"/>
      <c r="Z394" s="416"/>
      <c r="AA394" s="416"/>
      <c r="AB394" s="416"/>
      <c r="AC394" s="416"/>
      <c r="AD394" s="416"/>
    </row>
    <row r="395" spans="1:30" ht="12.75" customHeight="1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  <c r="V395" s="416"/>
      <c r="W395" s="416"/>
      <c r="X395" s="416"/>
      <c r="Y395" s="416"/>
      <c r="Z395" s="416"/>
      <c r="AA395" s="416"/>
      <c r="AB395" s="416"/>
      <c r="AC395" s="416"/>
      <c r="AD395" s="416"/>
    </row>
    <row r="396" spans="1:30" ht="12.75" customHeight="1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  <c r="V396" s="416"/>
      <c r="W396" s="416"/>
      <c r="X396" s="416"/>
      <c r="Y396" s="416"/>
      <c r="Z396" s="416"/>
      <c r="AA396" s="416"/>
      <c r="AB396" s="416"/>
      <c r="AC396" s="416"/>
      <c r="AD396" s="416"/>
    </row>
    <row r="397" spans="1:30" ht="12.75" customHeight="1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  <c r="V397" s="416"/>
      <c r="W397" s="416"/>
      <c r="X397" s="416"/>
      <c r="Y397" s="416"/>
      <c r="Z397" s="416"/>
      <c r="AA397" s="416"/>
      <c r="AB397" s="416"/>
      <c r="AC397" s="416"/>
      <c r="AD397" s="416"/>
    </row>
    <row r="398" spans="1:30" ht="12.75" customHeight="1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  <c r="Z398" s="416"/>
      <c r="AA398" s="416"/>
      <c r="AB398" s="416"/>
      <c r="AC398" s="416"/>
      <c r="AD398" s="416"/>
    </row>
    <row r="399" spans="1:30" ht="12.75" customHeight="1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  <c r="V399" s="416"/>
      <c r="W399" s="416"/>
      <c r="X399" s="416"/>
      <c r="Y399" s="416"/>
      <c r="Z399" s="416"/>
      <c r="AA399" s="416"/>
      <c r="AB399" s="416"/>
      <c r="AC399" s="416"/>
      <c r="AD399" s="416"/>
    </row>
    <row r="400" spans="1:30" ht="12.75" customHeight="1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  <c r="V400" s="416"/>
      <c r="W400" s="416"/>
      <c r="X400" s="416"/>
      <c r="Y400" s="416"/>
      <c r="Z400" s="416"/>
      <c r="AA400" s="416"/>
      <c r="AB400" s="416"/>
      <c r="AC400" s="416"/>
      <c r="AD400" s="416"/>
    </row>
    <row r="401" spans="1:30" ht="12.75" customHeight="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  <c r="V401" s="416"/>
      <c r="W401" s="416"/>
      <c r="X401" s="416"/>
      <c r="Y401" s="416"/>
      <c r="Z401" s="416"/>
      <c r="AA401" s="416"/>
      <c r="AB401" s="416"/>
      <c r="AC401" s="416"/>
      <c r="AD401" s="416"/>
    </row>
    <row r="402" spans="1:30" ht="12.75" customHeight="1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  <c r="V402" s="416"/>
      <c r="W402" s="416"/>
      <c r="X402" s="416"/>
      <c r="Y402" s="416"/>
      <c r="Z402" s="416"/>
      <c r="AA402" s="416"/>
      <c r="AB402" s="416"/>
      <c r="AC402" s="416"/>
      <c r="AD402" s="416"/>
    </row>
    <row r="403" spans="1:30" ht="12.75" customHeight="1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  <c r="V403" s="416"/>
      <c r="W403" s="416"/>
      <c r="X403" s="416"/>
      <c r="Y403" s="416"/>
      <c r="Z403" s="416"/>
      <c r="AA403" s="416"/>
      <c r="AB403" s="416"/>
      <c r="AC403" s="416"/>
      <c r="AD403" s="416"/>
    </row>
    <row r="404" spans="1:30" ht="12.75" customHeight="1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  <c r="V404" s="416"/>
      <c r="W404" s="416"/>
      <c r="X404" s="416"/>
      <c r="Y404" s="416"/>
      <c r="Z404" s="416"/>
      <c r="AA404" s="416"/>
      <c r="AB404" s="416"/>
      <c r="AC404" s="416"/>
      <c r="AD404" s="416"/>
    </row>
    <row r="405" spans="1:30" ht="12.75" customHeight="1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  <c r="V405" s="416"/>
      <c r="W405" s="416"/>
      <c r="X405" s="416"/>
      <c r="Y405" s="416"/>
      <c r="Z405" s="416"/>
      <c r="AA405" s="416"/>
      <c r="AB405" s="416"/>
      <c r="AC405" s="416"/>
      <c r="AD405" s="416"/>
    </row>
    <row r="406" spans="1:30" ht="12.75" customHeight="1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  <c r="V406" s="416"/>
      <c r="W406" s="416"/>
      <c r="X406" s="416"/>
      <c r="Y406" s="416"/>
      <c r="Z406" s="416"/>
      <c r="AA406" s="416"/>
      <c r="AB406" s="416"/>
      <c r="AC406" s="416"/>
      <c r="AD406" s="416"/>
    </row>
    <row r="407" spans="1:30" ht="12.75" customHeight="1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  <c r="V407" s="416"/>
      <c r="W407" s="416"/>
      <c r="X407" s="416"/>
      <c r="Y407" s="416"/>
      <c r="Z407" s="416"/>
      <c r="AA407" s="416"/>
      <c r="AB407" s="416"/>
      <c r="AC407" s="416"/>
      <c r="AD407" s="416"/>
    </row>
    <row r="408" spans="1:30" ht="12.75" customHeight="1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  <c r="V408" s="416"/>
      <c r="W408" s="416"/>
      <c r="X408" s="416"/>
      <c r="Y408" s="416"/>
      <c r="Z408" s="416"/>
      <c r="AA408" s="416"/>
      <c r="AB408" s="416"/>
      <c r="AC408" s="416"/>
      <c r="AD408" s="416"/>
    </row>
    <row r="409" spans="1:30" ht="12.75" customHeight="1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  <c r="V409" s="416"/>
      <c r="W409" s="416"/>
      <c r="X409" s="416"/>
      <c r="Y409" s="416"/>
      <c r="Z409" s="416"/>
      <c r="AA409" s="416"/>
      <c r="AB409" s="416"/>
      <c r="AC409" s="416"/>
      <c r="AD409" s="416"/>
    </row>
    <row r="410" spans="1:30" ht="12.75" customHeight="1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  <c r="V410" s="416"/>
      <c r="W410" s="416"/>
      <c r="X410" s="416"/>
      <c r="Y410" s="416"/>
      <c r="Z410" s="416"/>
      <c r="AA410" s="416"/>
      <c r="AB410" s="416"/>
      <c r="AC410" s="416"/>
      <c r="AD410" s="416"/>
    </row>
    <row r="411" spans="1:30" ht="12.75" customHeight="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  <c r="V411" s="416"/>
      <c r="W411" s="416"/>
      <c r="X411" s="416"/>
      <c r="Y411" s="416"/>
      <c r="Z411" s="416"/>
      <c r="AA411" s="416"/>
      <c r="AB411" s="416"/>
      <c r="AC411" s="416"/>
      <c r="AD411" s="416"/>
    </row>
    <row r="412" spans="1:30" ht="12.75" customHeight="1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  <c r="V412" s="416"/>
      <c r="W412" s="416"/>
      <c r="X412" s="416"/>
      <c r="Y412" s="416"/>
      <c r="Z412" s="416"/>
      <c r="AA412" s="416"/>
      <c r="AB412" s="416"/>
      <c r="AC412" s="416"/>
      <c r="AD412" s="416"/>
    </row>
    <row r="413" spans="1:30" ht="12.75" customHeight="1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  <c r="V413" s="416"/>
      <c r="W413" s="416"/>
      <c r="X413" s="416"/>
      <c r="Y413" s="416"/>
      <c r="Z413" s="416"/>
      <c r="AA413" s="416"/>
      <c r="AB413" s="416"/>
      <c r="AC413" s="416"/>
      <c r="AD413" s="416"/>
    </row>
    <row r="414" spans="1:30" ht="12.75" customHeight="1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  <c r="V414" s="416"/>
      <c r="W414" s="416"/>
      <c r="X414" s="416"/>
      <c r="Y414" s="416"/>
      <c r="Z414" s="416"/>
      <c r="AA414" s="416"/>
      <c r="AB414" s="416"/>
      <c r="AC414" s="416"/>
      <c r="AD414" s="416"/>
    </row>
    <row r="415" spans="1:30" ht="12.75" customHeight="1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  <c r="V415" s="416"/>
      <c r="W415" s="416"/>
      <c r="X415" s="416"/>
      <c r="Y415" s="416"/>
      <c r="Z415" s="416"/>
      <c r="AA415" s="416"/>
      <c r="AB415" s="416"/>
      <c r="AC415" s="416"/>
      <c r="AD415" s="416"/>
    </row>
    <row r="416" spans="1:30" ht="12.75" customHeight="1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  <c r="Z416" s="416"/>
      <c r="AA416" s="416"/>
      <c r="AB416" s="416"/>
      <c r="AC416" s="416"/>
      <c r="AD416" s="416"/>
    </row>
    <row r="417" spans="1:30" ht="12.75" customHeight="1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  <c r="V417" s="416"/>
      <c r="W417" s="416"/>
      <c r="X417" s="416"/>
      <c r="Y417" s="416"/>
      <c r="Z417" s="416"/>
      <c r="AA417" s="416"/>
      <c r="AB417" s="416"/>
      <c r="AC417" s="416"/>
      <c r="AD417" s="416"/>
    </row>
    <row r="418" spans="1:30" ht="12.75" customHeight="1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  <c r="V418" s="416"/>
      <c r="W418" s="416"/>
      <c r="X418" s="416"/>
      <c r="Y418" s="416"/>
      <c r="Z418" s="416"/>
      <c r="AA418" s="416"/>
      <c r="AB418" s="416"/>
      <c r="AC418" s="416"/>
      <c r="AD418" s="416"/>
    </row>
    <row r="419" spans="1:30" ht="12.75" customHeight="1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  <c r="V419" s="416"/>
      <c r="W419" s="416"/>
      <c r="X419" s="416"/>
      <c r="Y419" s="416"/>
      <c r="Z419" s="416"/>
      <c r="AA419" s="416"/>
      <c r="AB419" s="416"/>
      <c r="AC419" s="416"/>
      <c r="AD419" s="416"/>
    </row>
    <row r="420" spans="1:30" ht="12.75" customHeight="1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  <c r="V420" s="416"/>
      <c r="W420" s="416"/>
      <c r="X420" s="416"/>
      <c r="Y420" s="416"/>
      <c r="Z420" s="416"/>
      <c r="AA420" s="416"/>
      <c r="AB420" s="416"/>
      <c r="AC420" s="416"/>
      <c r="AD420" s="416"/>
    </row>
    <row r="421" spans="1:30" ht="12.75" customHeight="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  <c r="V421" s="416"/>
      <c r="W421" s="416"/>
      <c r="X421" s="416"/>
      <c r="Y421" s="416"/>
      <c r="Z421" s="416"/>
      <c r="AA421" s="416"/>
      <c r="AB421" s="416"/>
      <c r="AC421" s="416"/>
      <c r="AD421" s="416"/>
    </row>
    <row r="422" spans="1:30" ht="12.75" customHeight="1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  <c r="V422" s="416"/>
      <c r="W422" s="416"/>
      <c r="X422" s="416"/>
      <c r="Y422" s="416"/>
      <c r="Z422" s="416"/>
      <c r="AA422" s="416"/>
      <c r="AB422" s="416"/>
      <c r="AC422" s="416"/>
      <c r="AD422" s="416"/>
    </row>
    <row r="423" spans="1:30" ht="12.75" customHeight="1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  <c r="V423" s="416"/>
      <c r="W423" s="416"/>
      <c r="X423" s="416"/>
      <c r="Y423" s="416"/>
      <c r="Z423" s="416"/>
      <c r="AA423" s="416"/>
      <c r="AB423" s="416"/>
      <c r="AC423" s="416"/>
      <c r="AD423" s="416"/>
    </row>
    <row r="424" spans="1:30" ht="12.75" customHeight="1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  <c r="AA424" s="416"/>
      <c r="AB424" s="416"/>
      <c r="AC424" s="416"/>
      <c r="AD424" s="416"/>
    </row>
    <row r="425" spans="1:30" ht="12.75" customHeight="1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  <c r="AA425" s="416"/>
      <c r="AB425" s="416"/>
      <c r="AC425" s="416"/>
      <c r="AD425" s="416"/>
    </row>
    <row r="426" spans="1:30" ht="12.75" customHeight="1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  <c r="V426" s="416"/>
      <c r="W426" s="416"/>
      <c r="X426" s="416"/>
      <c r="Y426" s="416"/>
      <c r="Z426" s="416"/>
      <c r="AA426" s="416"/>
      <c r="AB426" s="416"/>
      <c r="AC426" s="416"/>
      <c r="AD426" s="416"/>
    </row>
    <row r="427" spans="1:30" ht="12.75" customHeight="1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  <c r="V427" s="416"/>
      <c r="W427" s="416"/>
      <c r="X427" s="416"/>
      <c r="Y427" s="416"/>
      <c r="Z427" s="416"/>
      <c r="AA427" s="416"/>
      <c r="AB427" s="416"/>
      <c r="AC427" s="416"/>
      <c r="AD427" s="416"/>
    </row>
    <row r="428" spans="1:30" ht="12.75" customHeight="1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  <c r="V428" s="416"/>
      <c r="W428" s="416"/>
      <c r="X428" s="416"/>
      <c r="Y428" s="416"/>
      <c r="Z428" s="416"/>
      <c r="AA428" s="416"/>
      <c r="AB428" s="416"/>
      <c r="AC428" s="416"/>
      <c r="AD428" s="416"/>
    </row>
    <row r="429" spans="1:30" ht="12.75" customHeight="1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  <c r="V429" s="416"/>
      <c r="W429" s="416"/>
      <c r="X429" s="416"/>
      <c r="Y429" s="416"/>
      <c r="Z429" s="416"/>
      <c r="AA429" s="416"/>
      <c r="AB429" s="416"/>
      <c r="AC429" s="416"/>
      <c r="AD429" s="416"/>
    </row>
    <row r="430" spans="1:30" ht="12.75" customHeight="1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  <c r="V430" s="416"/>
      <c r="W430" s="416"/>
      <c r="X430" s="416"/>
      <c r="Y430" s="416"/>
      <c r="Z430" s="416"/>
      <c r="AA430" s="416"/>
      <c r="AB430" s="416"/>
      <c r="AC430" s="416"/>
      <c r="AD430" s="416"/>
    </row>
    <row r="431" spans="1:30" ht="12.75" customHeight="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  <c r="V431" s="416"/>
      <c r="W431" s="416"/>
      <c r="X431" s="416"/>
      <c r="Y431" s="416"/>
      <c r="Z431" s="416"/>
      <c r="AA431" s="416"/>
      <c r="AB431" s="416"/>
      <c r="AC431" s="416"/>
      <c r="AD431" s="416"/>
    </row>
    <row r="432" spans="1:30" ht="12.75" customHeight="1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  <c r="V432" s="416"/>
      <c r="W432" s="416"/>
      <c r="X432" s="416"/>
      <c r="Y432" s="416"/>
      <c r="Z432" s="416"/>
      <c r="AA432" s="416"/>
      <c r="AB432" s="416"/>
      <c r="AC432" s="416"/>
      <c r="AD432" s="416"/>
    </row>
    <row r="433" spans="1:30" ht="12.75" customHeight="1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  <c r="V433" s="416"/>
      <c r="W433" s="416"/>
      <c r="X433" s="416"/>
      <c r="Y433" s="416"/>
      <c r="Z433" s="416"/>
      <c r="AA433" s="416"/>
      <c r="AB433" s="416"/>
      <c r="AC433" s="416"/>
      <c r="AD433" s="416"/>
    </row>
    <row r="434" spans="1:30" ht="12.75" customHeight="1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  <c r="V434" s="416"/>
      <c r="W434" s="416"/>
      <c r="X434" s="416"/>
      <c r="Y434" s="416"/>
      <c r="Z434" s="416"/>
      <c r="AA434" s="416"/>
      <c r="AB434" s="416"/>
      <c r="AC434" s="416"/>
      <c r="AD434" s="416"/>
    </row>
    <row r="435" spans="1:30" ht="12.75" customHeight="1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  <c r="V435" s="416"/>
      <c r="W435" s="416"/>
      <c r="X435" s="416"/>
      <c r="Y435" s="416"/>
      <c r="Z435" s="416"/>
      <c r="AA435" s="416"/>
      <c r="AB435" s="416"/>
      <c r="AC435" s="416"/>
      <c r="AD435" s="416"/>
    </row>
    <row r="436" spans="1:30" ht="12.75" customHeight="1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  <c r="Z436" s="416"/>
      <c r="AA436" s="416"/>
      <c r="AB436" s="416"/>
      <c r="AC436" s="416"/>
      <c r="AD436" s="416"/>
    </row>
    <row r="437" spans="1:30" ht="12.75" customHeight="1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  <c r="V437" s="416"/>
      <c r="W437" s="416"/>
      <c r="X437" s="416"/>
      <c r="Y437" s="416"/>
      <c r="Z437" s="416"/>
      <c r="AA437" s="416"/>
      <c r="AB437" s="416"/>
      <c r="AC437" s="416"/>
      <c r="AD437" s="416"/>
    </row>
    <row r="438" spans="1:30" ht="12.75" customHeight="1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  <c r="V438" s="416"/>
      <c r="W438" s="416"/>
      <c r="X438" s="416"/>
      <c r="Y438" s="416"/>
      <c r="Z438" s="416"/>
      <c r="AA438" s="416"/>
      <c r="AB438" s="416"/>
      <c r="AC438" s="416"/>
      <c r="AD438" s="416"/>
    </row>
    <row r="439" spans="1:30" ht="12.75" customHeight="1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  <c r="AA439" s="416"/>
      <c r="AB439" s="416"/>
      <c r="AC439" s="416"/>
      <c r="AD439" s="416"/>
    </row>
    <row r="440" spans="1:30" ht="12.75" customHeight="1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  <c r="V440" s="416"/>
      <c r="W440" s="416"/>
      <c r="X440" s="416"/>
      <c r="Y440" s="416"/>
      <c r="Z440" s="416"/>
      <c r="AA440" s="416"/>
      <c r="AB440" s="416"/>
      <c r="AC440" s="416"/>
      <c r="AD440" s="416"/>
    </row>
    <row r="441" spans="1:30" ht="12.75" customHeight="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  <c r="V441" s="416"/>
      <c r="W441" s="416"/>
      <c r="X441" s="416"/>
      <c r="Y441" s="416"/>
      <c r="Z441" s="416"/>
      <c r="AA441" s="416"/>
      <c r="AB441" s="416"/>
      <c r="AC441" s="416"/>
      <c r="AD441" s="416"/>
    </row>
    <row r="442" spans="1:30" ht="12.75" customHeight="1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  <c r="V442" s="416"/>
      <c r="W442" s="416"/>
      <c r="X442" s="416"/>
      <c r="Y442" s="416"/>
      <c r="Z442" s="416"/>
      <c r="AA442" s="416"/>
      <c r="AB442" s="416"/>
      <c r="AC442" s="416"/>
      <c r="AD442" s="416"/>
    </row>
    <row r="443" spans="1:30" ht="12.75" customHeight="1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  <c r="V443" s="416"/>
      <c r="W443" s="416"/>
      <c r="X443" s="416"/>
      <c r="Y443" s="416"/>
      <c r="Z443" s="416"/>
      <c r="AA443" s="416"/>
      <c r="AB443" s="416"/>
      <c r="AC443" s="416"/>
      <c r="AD443" s="416"/>
    </row>
    <row r="444" spans="1:30" ht="12.75" customHeight="1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  <c r="V444" s="416"/>
      <c r="W444" s="416"/>
      <c r="X444" s="416"/>
      <c r="Y444" s="416"/>
      <c r="Z444" s="416"/>
      <c r="AA444" s="416"/>
      <c r="AB444" s="416"/>
      <c r="AC444" s="416"/>
      <c r="AD444" s="416"/>
    </row>
    <row r="445" spans="1:30" ht="12.75" customHeight="1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  <c r="V445" s="416"/>
      <c r="W445" s="416"/>
      <c r="X445" s="416"/>
      <c r="Y445" s="416"/>
      <c r="Z445" s="416"/>
      <c r="AA445" s="416"/>
      <c r="AB445" s="416"/>
      <c r="AC445" s="416"/>
      <c r="AD445" s="416"/>
    </row>
    <row r="446" spans="1:30" ht="12.75" customHeight="1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  <c r="V446" s="416"/>
      <c r="W446" s="416"/>
      <c r="X446" s="416"/>
      <c r="Y446" s="416"/>
      <c r="Z446" s="416"/>
      <c r="AA446" s="416"/>
      <c r="AB446" s="416"/>
      <c r="AC446" s="416"/>
      <c r="AD446" s="416"/>
    </row>
    <row r="447" spans="1:30" ht="12.75" customHeight="1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  <c r="V447" s="416"/>
      <c r="W447" s="416"/>
      <c r="X447" s="416"/>
      <c r="Y447" s="416"/>
      <c r="Z447" s="416"/>
      <c r="AA447" s="416"/>
      <c r="AB447" s="416"/>
      <c r="AC447" s="416"/>
      <c r="AD447" s="416"/>
    </row>
    <row r="448" spans="1:30" ht="12.75" customHeight="1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  <c r="V448" s="416"/>
      <c r="W448" s="416"/>
      <c r="X448" s="416"/>
      <c r="Y448" s="416"/>
      <c r="Z448" s="416"/>
      <c r="AA448" s="416"/>
      <c r="AB448" s="416"/>
      <c r="AC448" s="416"/>
      <c r="AD448" s="416"/>
    </row>
    <row r="449" spans="1:30" ht="12.75" customHeight="1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  <c r="V449" s="416"/>
      <c r="W449" s="416"/>
      <c r="X449" s="416"/>
      <c r="Y449" s="416"/>
      <c r="Z449" s="416"/>
      <c r="AA449" s="416"/>
      <c r="AB449" s="416"/>
      <c r="AC449" s="416"/>
      <c r="AD449" s="416"/>
    </row>
    <row r="450" spans="1:30" ht="12.75" customHeight="1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  <c r="V450" s="416"/>
      <c r="W450" s="416"/>
      <c r="X450" s="416"/>
      <c r="Y450" s="416"/>
      <c r="Z450" s="416"/>
      <c r="AA450" s="416"/>
      <c r="AB450" s="416"/>
      <c r="AC450" s="416"/>
      <c r="AD450" s="416"/>
    </row>
    <row r="451" spans="1:30" ht="12.75" customHeight="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  <c r="V451" s="416"/>
      <c r="W451" s="416"/>
      <c r="X451" s="416"/>
      <c r="Y451" s="416"/>
      <c r="Z451" s="416"/>
      <c r="AA451" s="416"/>
      <c r="AB451" s="416"/>
      <c r="AC451" s="416"/>
      <c r="AD451" s="416"/>
    </row>
    <row r="452" spans="1:30" ht="12.75" customHeight="1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  <c r="V452" s="416"/>
      <c r="W452" s="416"/>
      <c r="X452" s="416"/>
      <c r="Y452" s="416"/>
      <c r="Z452" s="416"/>
      <c r="AA452" s="416"/>
      <c r="AB452" s="416"/>
      <c r="AC452" s="416"/>
      <c r="AD452" s="416"/>
    </row>
    <row r="453" spans="1:30" ht="12.75" customHeight="1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  <c r="V453" s="416"/>
      <c r="W453" s="416"/>
      <c r="X453" s="416"/>
      <c r="Y453" s="416"/>
      <c r="Z453" s="416"/>
      <c r="AA453" s="416"/>
      <c r="AB453" s="416"/>
      <c r="AC453" s="416"/>
      <c r="AD453" s="416"/>
    </row>
    <row r="454" spans="1:30" ht="12.75" customHeight="1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  <c r="V454" s="416"/>
      <c r="W454" s="416"/>
      <c r="X454" s="416"/>
      <c r="Y454" s="416"/>
      <c r="Z454" s="416"/>
      <c r="AA454" s="416"/>
      <c r="AB454" s="416"/>
      <c r="AC454" s="416"/>
      <c r="AD454" s="416"/>
    </row>
    <row r="455" spans="1:30" ht="12.75" customHeight="1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  <c r="V455" s="416"/>
      <c r="W455" s="416"/>
      <c r="X455" s="416"/>
      <c r="Y455" s="416"/>
      <c r="Z455" s="416"/>
      <c r="AA455" s="416"/>
      <c r="AB455" s="416"/>
      <c r="AC455" s="416"/>
      <c r="AD455" s="416"/>
    </row>
    <row r="456" spans="1:30" ht="12.75" customHeight="1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  <c r="V456" s="416"/>
      <c r="W456" s="416"/>
      <c r="X456" s="416"/>
      <c r="Y456" s="416"/>
      <c r="Z456" s="416"/>
      <c r="AA456" s="416"/>
      <c r="AB456" s="416"/>
      <c r="AC456" s="416"/>
      <c r="AD456" s="416"/>
    </row>
    <row r="457" spans="1:30" ht="12.75" customHeight="1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  <c r="V457" s="416"/>
      <c r="W457" s="416"/>
      <c r="X457" s="416"/>
      <c r="Y457" s="416"/>
      <c r="Z457" s="416"/>
      <c r="AA457" s="416"/>
      <c r="AB457" s="416"/>
      <c r="AC457" s="416"/>
      <c r="AD457" s="416"/>
    </row>
    <row r="458" spans="1:30" ht="12.75" customHeight="1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  <c r="V458" s="416"/>
      <c r="W458" s="416"/>
      <c r="X458" s="416"/>
      <c r="Y458" s="416"/>
      <c r="Z458" s="416"/>
      <c r="AA458" s="416"/>
      <c r="AB458" s="416"/>
      <c r="AC458" s="416"/>
      <c r="AD458" s="416"/>
    </row>
    <row r="459" spans="1:30" ht="12.75" customHeight="1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  <c r="AA459" s="416"/>
      <c r="AB459" s="416"/>
      <c r="AC459" s="416"/>
      <c r="AD459" s="416"/>
    </row>
    <row r="460" spans="1:30" ht="12.75" customHeight="1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  <c r="AA460" s="416"/>
      <c r="AB460" s="416"/>
      <c r="AC460" s="416"/>
      <c r="AD460" s="416"/>
    </row>
    <row r="461" spans="1:30" ht="12.75" customHeight="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  <c r="V461" s="416"/>
      <c r="W461" s="416"/>
      <c r="X461" s="416"/>
      <c r="Y461" s="416"/>
      <c r="Z461" s="416"/>
      <c r="AA461" s="416"/>
      <c r="AB461" s="416"/>
      <c r="AC461" s="416"/>
      <c r="AD461" s="416"/>
    </row>
    <row r="462" spans="1:30" ht="12.75" customHeight="1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  <c r="V462" s="416"/>
      <c r="W462" s="416"/>
      <c r="X462" s="416"/>
      <c r="Y462" s="416"/>
      <c r="Z462" s="416"/>
      <c r="AA462" s="416"/>
      <c r="AB462" s="416"/>
      <c r="AC462" s="416"/>
      <c r="AD462" s="416"/>
    </row>
    <row r="463" spans="1:30" ht="12.75" customHeight="1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  <c r="V463" s="416"/>
      <c r="W463" s="416"/>
      <c r="X463" s="416"/>
      <c r="Y463" s="416"/>
      <c r="Z463" s="416"/>
      <c r="AA463" s="416"/>
      <c r="AB463" s="416"/>
      <c r="AC463" s="416"/>
      <c r="AD463" s="416"/>
    </row>
    <row r="464" spans="1:30" ht="12.75" customHeight="1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  <c r="V464" s="416"/>
      <c r="W464" s="416"/>
      <c r="X464" s="416"/>
      <c r="Y464" s="416"/>
      <c r="Z464" s="416"/>
      <c r="AA464" s="416"/>
      <c r="AB464" s="416"/>
      <c r="AC464" s="416"/>
      <c r="AD464" s="416"/>
    </row>
    <row r="465" spans="1:30" ht="12.75" customHeight="1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  <c r="V465" s="416"/>
      <c r="W465" s="416"/>
      <c r="X465" s="416"/>
      <c r="Y465" s="416"/>
      <c r="Z465" s="416"/>
      <c r="AA465" s="416"/>
      <c r="AB465" s="416"/>
      <c r="AC465" s="416"/>
      <c r="AD465" s="416"/>
    </row>
    <row r="466" spans="1:30" ht="12.75" customHeight="1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  <c r="V466" s="416"/>
      <c r="W466" s="416"/>
      <c r="X466" s="416"/>
      <c r="Y466" s="416"/>
      <c r="Z466" s="416"/>
      <c r="AA466" s="416"/>
      <c r="AB466" s="416"/>
      <c r="AC466" s="416"/>
      <c r="AD466" s="416"/>
    </row>
    <row r="467" spans="1:30" ht="12.75" customHeight="1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  <c r="V467" s="416"/>
      <c r="W467" s="416"/>
      <c r="X467" s="416"/>
      <c r="Y467" s="416"/>
      <c r="Z467" s="416"/>
      <c r="AA467" s="416"/>
      <c r="AB467" s="416"/>
      <c r="AC467" s="416"/>
      <c r="AD467" s="416"/>
    </row>
    <row r="468" spans="1:30" ht="12.75" customHeight="1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  <c r="V468" s="416"/>
      <c r="W468" s="416"/>
      <c r="X468" s="416"/>
      <c r="Y468" s="416"/>
      <c r="Z468" s="416"/>
      <c r="AA468" s="416"/>
      <c r="AB468" s="416"/>
      <c r="AC468" s="416"/>
      <c r="AD468" s="416"/>
    </row>
    <row r="469" spans="1:30" ht="12.75" customHeight="1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  <c r="V469" s="416"/>
      <c r="W469" s="416"/>
      <c r="X469" s="416"/>
      <c r="Y469" s="416"/>
      <c r="Z469" s="416"/>
      <c r="AA469" s="416"/>
      <c r="AB469" s="416"/>
      <c r="AC469" s="416"/>
      <c r="AD469" s="416"/>
    </row>
    <row r="470" spans="1:30" ht="12.75" customHeight="1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  <c r="V470" s="416"/>
      <c r="W470" s="416"/>
      <c r="X470" s="416"/>
      <c r="Y470" s="416"/>
      <c r="Z470" s="416"/>
      <c r="AA470" s="416"/>
      <c r="AB470" s="416"/>
      <c r="AC470" s="416"/>
      <c r="AD470" s="416"/>
    </row>
    <row r="471" spans="1:30" ht="12.75" customHeight="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  <c r="V471" s="416"/>
      <c r="W471" s="416"/>
      <c r="X471" s="416"/>
      <c r="Y471" s="416"/>
      <c r="Z471" s="416"/>
      <c r="AA471" s="416"/>
      <c r="AB471" s="416"/>
      <c r="AC471" s="416"/>
      <c r="AD471" s="416"/>
    </row>
    <row r="472" spans="1:30" ht="12.75" customHeight="1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  <c r="V472" s="416"/>
      <c r="W472" s="416"/>
      <c r="X472" s="416"/>
      <c r="Y472" s="416"/>
      <c r="Z472" s="416"/>
      <c r="AA472" s="416"/>
      <c r="AB472" s="416"/>
      <c r="AC472" s="416"/>
      <c r="AD472" s="416"/>
    </row>
    <row r="473" spans="1:30" ht="12.75" customHeight="1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  <c r="V473" s="416"/>
      <c r="W473" s="416"/>
      <c r="X473" s="416"/>
      <c r="Y473" s="416"/>
      <c r="Z473" s="416"/>
      <c r="AA473" s="416"/>
      <c r="AB473" s="416"/>
      <c r="AC473" s="416"/>
      <c r="AD473" s="416"/>
    </row>
    <row r="474" spans="1:30" ht="12.75" customHeight="1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  <c r="V474" s="416"/>
      <c r="W474" s="416"/>
      <c r="X474" s="416"/>
      <c r="Y474" s="416"/>
      <c r="Z474" s="416"/>
      <c r="AA474" s="416"/>
      <c r="AB474" s="416"/>
      <c r="AC474" s="416"/>
      <c r="AD474" s="416"/>
    </row>
    <row r="475" spans="1:30" ht="12.75" customHeight="1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  <c r="V475" s="416"/>
      <c r="W475" s="416"/>
      <c r="X475" s="416"/>
      <c r="Y475" s="416"/>
      <c r="Z475" s="416"/>
      <c r="AA475" s="416"/>
      <c r="AB475" s="416"/>
      <c r="AC475" s="416"/>
      <c r="AD475" s="416"/>
    </row>
    <row r="476" spans="1:30" ht="12.75" customHeight="1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  <c r="Z476" s="416"/>
      <c r="AA476" s="416"/>
      <c r="AB476" s="416"/>
      <c r="AC476" s="416"/>
      <c r="AD476" s="416"/>
    </row>
    <row r="477" spans="1:30" ht="12.75" customHeight="1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  <c r="V477" s="416"/>
      <c r="W477" s="416"/>
      <c r="X477" s="416"/>
      <c r="Y477" s="416"/>
      <c r="Z477" s="416"/>
      <c r="AA477" s="416"/>
      <c r="AB477" s="416"/>
      <c r="AC477" s="416"/>
      <c r="AD477" s="416"/>
    </row>
    <row r="478" spans="1:30" ht="12.75" customHeight="1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  <c r="V478" s="416"/>
      <c r="W478" s="416"/>
      <c r="X478" s="416"/>
      <c r="Y478" s="416"/>
      <c r="Z478" s="416"/>
      <c r="AA478" s="416"/>
      <c r="AB478" s="416"/>
      <c r="AC478" s="416"/>
      <c r="AD478" s="416"/>
    </row>
    <row r="479" spans="1:30" ht="12.75" customHeight="1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  <c r="V479" s="416"/>
      <c r="W479" s="416"/>
      <c r="X479" s="416"/>
      <c r="Y479" s="416"/>
      <c r="Z479" s="416"/>
      <c r="AA479" s="416"/>
      <c r="AB479" s="416"/>
      <c r="AC479" s="416"/>
      <c r="AD479" s="416"/>
    </row>
    <row r="480" spans="1:30" ht="12.75" customHeight="1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  <c r="V480" s="416"/>
      <c r="W480" s="416"/>
      <c r="X480" s="416"/>
      <c r="Y480" s="416"/>
      <c r="Z480" s="416"/>
      <c r="AA480" s="416"/>
      <c r="AB480" s="416"/>
      <c r="AC480" s="416"/>
      <c r="AD480" s="416"/>
    </row>
    <row r="481" spans="1:30" ht="12.75" customHeight="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  <c r="V481" s="416"/>
      <c r="W481" s="416"/>
      <c r="X481" s="416"/>
      <c r="Y481" s="416"/>
      <c r="Z481" s="416"/>
      <c r="AA481" s="416"/>
      <c r="AB481" s="416"/>
      <c r="AC481" s="416"/>
      <c r="AD481" s="416"/>
    </row>
    <row r="482" spans="1:30" ht="12.75" customHeight="1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  <c r="V482" s="416"/>
      <c r="W482" s="416"/>
      <c r="X482" s="416"/>
      <c r="Y482" s="416"/>
      <c r="Z482" s="416"/>
      <c r="AA482" s="416"/>
      <c r="AB482" s="416"/>
      <c r="AC482" s="416"/>
      <c r="AD482" s="416"/>
    </row>
    <row r="483" spans="1:30" ht="12.75" customHeight="1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  <c r="V483" s="416"/>
      <c r="W483" s="416"/>
      <c r="X483" s="416"/>
      <c r="Y483" s="416"/>
      <c r="Z483" s="416"/>
      <c r="AA483" s="416"/>
      <c r="AB483" s="416"/>
      <c r="AC483" s="416"/>
      <c r="AD483" s="416"/>
    </row>
    <row r="484" spans="1:30" ht="12.75" customHeight="1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  <c r="V484" s="416"/>
      <c r="W484" s="416"/>
      <c r="X484" s="416"/>
      <c r="Y484" s="416"/>
      <c r="Z484" s="416"/>
      <c r="AA484" s="416"/>
      <c r="AB484" s="416"/>
      <c r="AC484" s="416"/>
      <c r="AD484" s="416"/>
    </row>
    <row r="485" spans="1:30" ht="12.75" customHeight="1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  <c r="V485" s="416"/>
      <c r="W485" s="416"/>
      <c r="X485" s="416"/>
      <c r="Y485" s="416"/>
      <c r="Z485" s="416"/>
      <c r="AA485" s="416"/>
      <c r="AB485" s="416"/>
      <c r="AC485" s="416"/>
      <c r="AD485" s="416"/>
    </row>
    <row r="486" spans="1:30" ht="12.75" customHeight="1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  <c r="V486" s="416"/>
      <c r="W486" s="416"/>
      <c r="X486" s="416"/>
      <c r="Y486" s="416"/>
      <c r="Z486" s="416"/>
      <c r="AA486" s="416"/>
      <c r="AB486" s="416"/>
      <c r="AC486" s="416"/>
      <c r="AD486" s="416"/>
    </row>
    <row r="487" spans="1:30" ht="12.75" customHeight="1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  <c r="V487" s="416"/>
      <c r="W487" s="416"/>
      <c r="X487" s="416"/>
      <c r="Y487" s="416"/>
      <c r="Z487" s="416"/>
      <c r="AA487" s="416"/>
      <c r="AB487" s="416"/>
      <c r="AC487" s="416"/>
      <c r="AD487" s="416"/>
    </row>
    <row r="488" spans="1:30" ht="12.75" customHeight="1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  <c r="V488" s="416"/>
      <c r="W488" s="416"/>
      <c r="X488" s="416"/>
      <c r="Y488" s="416"/>
      <c r="Z488" s="416"/>
      <c r="AA488" s="416"/>
      <c r="AB488" s="416"/>
      <c r="AC488" s="416"/>
      <c r="AD488" s="416"/>
    </row>
    <row r="489" spans="1:30" ht="12.75" customHeight="1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  <c r="V489" s="416"/>
      <c r="W489" s="416"/>
      <c r="X489" s="416"/>
      <c r="Y489" s="416"/>
      <c r="Z489" s="416"/>
      <c r="AA489" s="416"/>
      <c r="AB489" s="416"/>
      <c r="AC489" s="416"/>
      <c r="AD489" s="416"/>
    </row>
    <row r="490" spans="1:30" ht="12.75" customHeight="1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  <c r="V490" s="416"/>
      <c r="W490" s="416"/>
      <c r="X490" s="416"/>
      <c r="Y490" s="416"/>
      <c r="Z490" s="416"/>
      <c r="AA490" s="416"/>
      <c r="AB490" s="416"/>
      <c r="AC490" s="416"/>
      <c r="AD490" s="416"/>
    </row>
    <row r="491" spans="1:30" ht="12.75" customHeight="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  <c r="V491" s="416"/>
      <c r="W491" s="416"/>
      <c r="X491" s="416"/>
      <c r="Y491" s="416"/>
      <c r="Z491" s="416"/>
      <c r="AA491" s="416"/>
      <c r="AB491" s="416"/>
      <c r="AC491" s="416"/>
      <c r="AD491" s="416"/>
    </row>
    <row r="492" spans="1:30" ht="12.75" customHeight="1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  <c r="V492" s="416"/>
      <c r="W492" s="416"/>
      <c r="X492" s="416"/>
      <c r="Y492" s="416"/>
      <c r="Z492" s="416"/>
      <c r="AA492" s="416"/>
      <c r="AB492" s="416"/>
      <c r="AC492" s="416"/>
      <c r="AD492" s="416"/>
    </row>
    <row r="493" spans="1:30" ht="12.75" customHeight="1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  <c r="AA493" s="416"/>
      <c r="AB493" s="416"/>
      <c r="AC493" s="416"/>
      <c r="AD493" s="416"/>
    </row>
    <row r="494" spans="1:30" ht="12.75" customHeight="1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  <c r="AA494" s="416"/>
      <c r="AB494" s="416"/>
      <c r="AC494" s="416"/>
      <c r="AD494" s="416"/>
    </row>
    <row r="495" spans="1:30" ht="12.75" customHeight="1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  <c r="V495" s="416"/>
      <c r="W495" s="416"/>
      <c r="X495" s="416"/>
      <c r="Y495" s="416"/>
      <c r="Z495" s="416"/>
      <c r="AA495" s="416"/>
      <c r="AB495" s="416"/>
      <c r="AC495" s="416"/>
      <c r="AD495" s="416"/>
    </row>
    <row r="496" spans="1:30" ht="12.75" customHeight="1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  <c r="Z496" s="416"/>
      <c r="AA496" s="416"/>
      <c r="AB496" s="416"/>
      <c r="AC496" s="416"/>
      <c r="AD496" s="416"/>
    </row>
    <row r="497" spans="1:30" ht="12.75" customHeight="1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  <c r="V497" s="416"/>
      <c r="W497" s="416"/>
      <c r="X497" s="416"/>
      <c r="Y497" s="416"/>
      <c r="Z497" s="416"/>
      <c r="AA497" s="416"/>
      <c r="AB497" s="416"/>
      <c r="AC497" s="416"/>
      <c r="AD497" s="416"/>
    </row>
    <row r="498" spans="1:30" ht="12.75" customHeight="1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  <c r="V498" s="416"/>
      <c r="W498" s="416"/>
      <c r="X498" s="416"/>
      <c r="Y498" s="416"/>
      <c r="Z498" s="416"/>
      <c r="AA498" s="416"/>
      <c r="AB498" s="416"/>
      <c r="AC498" s="416"/>
      <c r="AD498" s="416"/>
    </row>
    <row r="499" spans="1:30" ht="12.75" customHeight="1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  <c r="V499" s="416"/>
      <c r="W499" s="416"/>
      <c r="X499" s="416"/>
      <c r="Y499" s="416"/>
      <c r="Z499" s="416"/>
      <c r="AA499" s="416"/>
      <c r="AB499" s="416"/>
      <c r="AC499" s="416"/>
      <c r="AD499" s="416"/>
    </row>
    <row r="500" spans="1:30" ht="12.75" customHeight="1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  <c r="V500" s="416"/>
      <c r="W500" s="416"/>
      <c r="X500" s="416"/>
      <c r="Y500" s="416"/>
      <c r="Z500" s="416"/>
      <c r="AA500" s="416"/>
      <c r="AB500" s="416"/>
      <c r="AC500" s="416"/>
      <c r="AD500" s="416"/>
    </row>
    <row r="501" spans="1:30" ht="12.75" customHeight="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  <c r="V501" s="416"/>
      <c r="W501" s="416"/>
      <c r="X501" s="416"/>
      <c r="Y501" s="416"/>
      <c r="Z501" s="416"/>
      <c r="AA501" s="416"/>
      <c r="AB501" s="416"/>
      <c r="AC501" s="416"/>
      <c r="AD501" s="416"/>
    </row>
    <row r="502" spans="1:30" ht="12.75" customHeight="1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  <c r="V502" s="416"/>
      <c r="W502" s="416"/>
      <c r="X502" s="416"/>
      <c r="Y502" s="416"/>
      <c r="Z502" s="416"/>
      <c r="AA502" s="416"/>
      <c r="AB502" s="416"/>
      <c r="AC502" s="416"/>
      <c r="AD502" s="416"/>
    </row>
    <row r="503" spans="1:30" ht="12.75" customHeight="1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  <c r="V503" s="416"/>
      <c r="W503" s="416"/>
      <c r="X503" s="416"/>
      <c r="Y503" s="416"/>
      <c r="Z503" s="416"/>
      <c r="AA503" s="416"/>
      <c r="AB503" s="416"/>
      <c r="AC503" s="416"/>
      <c r="AD503" s="416"/>
    </row>
    <row r="504" spans="1:30" ht="12.75" customHeight="1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  <c r="V504" s="416"/>
      <c r="W504" s="416"/>
      <c r="X504" s="416"/>
      <c r="Y504" s="416"/>
      <c r="Z504" s="416"/>
      <c r="AA504" s="416"/>
      <c r="AB504" s="416"/>
      <c r="AC504" s="416"/>
      <c r="AD504" s="416"/>
    </row>
    <row r="505" spans="1:30" ht="12.75" customHeight="1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  <c r="V505" s="416"/>
      <c r="W505" s="416"/>
      <c r="X505" s="416"/>
      <c r="Y505" s="416"/>
      <c r="Z505" s="416"/>
      <c r="AA505" s="416"/>
      <c r="AB505" s="416"/>
      <c r="AC505" s="416"/>
      <c r="AD505" s="416"/>
    </row>
    <row r="506" spans="1:30" ht="12.75" customHeight="1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  <c r="V506" s="416"/>
      <c r="W506" s="416"/>
      <c r="X506" s="416"/>
      <c r="Y506" s="416"/>
      <c r="Z506" s="416"/>
      <c r="AA506" s="416"/>
      <c r="AB506" s="416"/>
      <c r="AC506" s="416"/>
      <c r="AD506" s="416"/>
    </row>
    <row r="507" spans="1:30" ht="12.75" customHeight="1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  <c r="V507" s="416"/>
      <c r="W507" s="416"/>
      <c r="X507" s="416"/>
      <c r="Y507" s="416"/>
      <c r="Z507" s="416"/>
      <c r="AA507" s="416"/>
      <c r="AB507" s="416"/>
      <c r="AC507" s="416"/>
      <c r="AD507" s="416"/>
    </row>
    <row r="508" spans="1:30" ht="12.75" customHeight="1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  <c r="V508" s="416"/>
      <c r="W508" s="416"/>
      <c r="X508" s="416"/>
      <c r="Y508" s="416"/>
      <c r="Z508" s="416"/>
      <c r="AA508" s="416"/>
      <c r="AB508" s="416"/>
      <c r="AC508" s="416"/>
      <c r="AD508" s="416"/>
    </row>
    <row r="509" spans="1:30" ht="12.75" customHeight="1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  <c r="V509" s="416"/>
      <c r="W509" s="416"/>
      <c r="X509" s="416"/>
      <c r="Y509" s="416"/>
      <c r="Z509" s="416"/>
      <c r="AA509" s="416"/>
      <c r="AB509" s="416"/>
      <c r="AC509" s="416"/>
      <c r="AD509" s="416"/>
    </row>
    <row r="510" spans="1:30" ht="12.75" customHeight="1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  <c r="V510" s="416"/>
      <c r="W510" s="416"/>
      <c r="X510" s="416"/>
      <c r="Y510" s="416"/>
      <c r="Z510" s="416"/>
      <c r="AA510" s="416"/>
      <c r="AB510" s="416"/>
      <c r="AC510" s="416"/>
      <c r="AD510" s="416"/>
    </row>
    <row r="511" spans="1:30" ht="12.75" customHeight="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  <c r="V511" s="416"/>
      <c r="W511" s="416"/>
      <c r="X511" s="416"/>
      <c r="Y511" s="416"/>
      <c r="Z511" s="416"/>
      <c r="AA511" s="416"/>
      <c r="AB511" s="416"/>
      <c r="AC511" s="416"/>
      <c r="AD511" s="416"/>
    </row>
    <row r="512" spans="1:30" ht="12.75" customHeight="1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  <c r="V512" s="416"/>
      <c r="W512" s="416"/>
      <c r="X512" s="416"/>
      <c r="Y512" s="416"/>
      <c r="Z512" s="416"/>
      <c r="AA512" s="416"/>
      <c r="AB512" s="416"/>
      <c r="AC512" s="416"/>
      <c r="AD512" s="416"/>
    </row>
    <row r="513" spans="1:30" ht="12.75" customHeight="1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  <c r="V513" s="416"/>
      <c r="W513" s="416"/>
      <c r="X513" s="416"/>
      <c r="Y513" s="416"/>
      <c r="Z513" s="416"/>
      <c r="AA513" s="416"/>
      <c r="AB513" s="416"/>
      <c r="AC513" s="416"/>
      <c r="AD513" s="416"/>
    </row>
    <row r="514" spans="1:30" ht="12.75" customHeight="1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  <c r="V514" s="416"/>
      <c r="W514" s="416"/>
      <c r="X514" s="416"/>
      <c r="Y514" s="416"/>
      <c r="Z514" s="416"/>
      <c r="AA514" s="416"/>
      <c r="AB514" s="416"/>
      <c r="AC514" s="416"/>
      <c r="AD514" s="416"/>
    </row>
    <row r="515" spans="1:30" ht="12.75" customHeight="1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  <c r="V515" s="416"/>
      <c r="W515" s="416"/>
      <c r="X515" s="416"/>
      <c r="Y515" s="416"/>
      <c r="Z515" s="416"/>
      <c r="AA515" s="416"/>
      <c r="AB515" s="416"/>
      <c r="AC515" s="416"/>
      <c r="AD515" s="416"/>
    </row>
    <row r="516" spans="1:30" ht="12.75" customHeight="1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  <c r="V516" s="416"/>
      <c r="W516" s="416"/>
      <c r="X516" s="416"/>
      <c r="Y516" s="416"/>
      <c r="Z516" s="416"/>
      <c r="AA516" s="416"/>
      <c r="AB516" s="416"/>
      <c r="AC516" s="416"/>
      <c r="AD516" s="416"/>
    </row>
    <row r="517" spans="1:30" ht="12.75" customHeight="1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  <c r="V517" s="416"/>
      <c r="W517" s="416"/>
      <c r="X517" s="416"/>
      <c r="Y517" s="416"/>
      <c r="Z517" s="416"/>
      <c r="AA517" s="416"/>
      <c r="AB517" s="416"/>
      <c r="AC517" s="416"/>
      <c r="AD517" s="416"/>
    </row>
    <row r="518" spans="1:30" ht="12.75" customHeight="1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  <c r="V518" s="416"/>
      <c r="W518" s="416"/>
      <c r="X518" s="416"/>
      <c r="Y518" s="416"/>
      <c r="Z518" s="416"/>
      <c r="AA518" s="416"/>
      <c r="AB518" s="416"/>
      <c r="AC518" s="416"/>
      <c r="AD518" s="416"/>
    </row>
    <row r="519" spans="1:30" ht="12.75" customHeight="1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6"/>
      <c r="X519" s="416"/>
      <c r="Y519" s="416"/>
      <c r="Z519" s="416"/>
      <c r="AA519" s="416"/>
      <c r="AB519" s="416"/>
      <c r="AC519" s="416"/>
      <c r="AD519" s="416"/>
    </row>
    <row r="520" spans="1:30" ht="12.75" customHeight="1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  <c r="V520" s="416"/>
      <c r="W520" s="416"/>
      <c r="X520" s="416"/>
      <c r="Y520" s="416"/>
      <c r="Z520" s="416"/>
      <c r="AA520" s="416"/>
      <c r="AB520" s="416"/>
      <c r="AC520" s="416"/>
      <c r="AD520" s="416"/>
    </row>
    <row r="521" spans="1:30" ht="12.75" customHeight="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  <c r="V521" s="416"/>
      <c r="W521" s="416"/>
      <c r="X521" s="416"/>
      <c r="Y521" s="416"/>
      <c r="Z521" s="416"/>
      <c r="AA521" s="416"/>
      <c r="AB521" s="416"/>
      <c r="AC521" s="416"/>
      <c r="AD521" s="416"/>
    </row>
    <row r="522" spans="1:30" ht="12.75" customHeight="1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  <c r="V522" s="416"/>
      <c r="W522" s="416"/>
      <c r="X522" s="416"/>
      <c r="Y522" s="416"/>
      <c r="Z522" s="416"/>
      <c r="AA522" s="416"/>
      <c r="AB522" s="416"/>
      <c r="AC522" s="416"/>
      <c r="AD522" s="416"/>
    </row>
    <row r="523" spans="1:30" ht="12.75" customHeight="1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  <c r="V523" s="416"/>
      <c r="W523" s="416"/>
      <c r="X523" s="416"/>
      <c r="Y523" s="416"/>
      <c r="Z523" s="416"/>
      <c r="AA523" s="416"/>
      <c r="AB523" s="416"/>
      <c r="AC523" s="416"/>
      <c r="AD523" s="416"/>
    </row>
    <row r="524" spans="1:30" ht="12.75" customHeight="1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  <c r="V524" s="416"/>
      <c r="W524" s="416"/>
      <c r="X524" s="416"/>
      <c r="Y524" s="416"/>
      <c r="Z524" s="416"/>
      <c r="AA524" s="416"/>
      <c r="AB524" s="416"/>
      <c r="AC524" s="416"/>
      <c r="AD524" s="416"/>
    </row>
    <row r="525" spans="1:30" ht="12.75" customHeight="1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  <c r="V525" s="416"/>
      <c r="W525" s="416"/>
      <c r="X525" s="416"/>
      <c r="Y525" s="416"/>
      <c r="Z525" s="416"/>
      <c r="AA525" s="416"/>
      <c r="AB525" s="416"/>
      <c r="AC525" s="416"/>
      <c r="AD525" s="416"/>
    </row>
    <row r="526" spans="1:30" ht="12.75" customHeight="1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  <c r="V526" s="416"/>
      <c r="W526" s="416"/>
      <c r="X526" s="416"/>
      <c r="Y526" s="416"/>
      <c r="Z526" s="416"/>
      <c r="AA526" s="416"/>
      <c r="AB526" s="416"/>
      <c r="AC526" s="416"/>
      <c r="AD526" s="416"/>
    </row>
    <row r="527" spans="1:30" ht="12.75" customHeight="1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  <c r="V527" s="416"/>
      <c r="W527" s="416"/>
      <c r="X527" s="416"/>
      <c r="Y527" s="416"/>
      <c r="Z527" s="416"/>
      <c r="AA527" s="416"/>
      <c r="AB527" s="416"/>
      <c r="AC527" s="416"/>
      <c r="AD527" s="416"/>
    </row>
    <row r="528" spans="1:30" ht="12.75" customHeight="1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  <c r="V528" s="416"/>
      <c r="W528" s="416"/>
      <c r="X528" s="416"/>
      <c r="Y528" s="416"/>
      <c r="Z528" s="416"/>
      <c r="AA528" s="416"/>
      <c r="AB528" s="416"/>
      <c r="AC528" s="416"/>
      <c r="AD528" s="416"/>
    </row>
    <row r="529" spans="1:30" ht="12.75" customHeight="1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  <c r="V529" s="416"/>
      <c r="W529" s="416"/>
      <c r="X529" s="416"/>
      <c r="Y529" s="416"/>
      <c r="Z529" s="416"/>
      <c r="AA529" s="416"/>
      <c r="AB529" s="416"/>
      <c r="AC529" s="416"/>
      <c r="AD529" s="416"/>
    </row>
    <row r="530" spans="1:30" ht="12.75" customHeight="1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  <c r="V530" s="416"/>
      <c r="W530" s="416"/>
      <c r="X530" s="416"/>
      <c r="Y530" s="416"/>
      <c r="Z530" s="416"/>
      <c r="AA530" s="416"/>
      <c r="AB530" s="416"/>
      <c r="AC530" s="416"/>
      <c r="AD530" s="416"/>
    </row>
    <row r="531" spans="1:30" ht="12.75" customHeight="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  <c r="V531" s="416"/>
      <c r="W531" s="416"/>
      <c r="X531" s="416"/>
      <c r="Y531" s="416"/>
      <c r="Z531" s="416"/>
      <c r="AA531" s="416"/>
      <c r="AB531" s="416"/>
      <c r="AC531" s="416"/>
      <c r="AD531" s="416"/>
    </row>
    <row r="532" spans="1:30" ht="12.75" customHeight="1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  <c r="V532" s="416"/>
      <c r="W532" s="416"/>
      <c r="X532" s="416"/>
      <c r="Y532" s="416"/>
      <c r="Z532" s="416"/>
      <c r="AA532" s="416"/>
      <c r="AB532" s="416"/>
      <c r="AC532" s="416"/>
      <c r="AD532" s="416"/>
    </row>
    <row r="533" spans="1:30" ht="12.75" customHeight="1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  <c r="V533" s="416"/>
      <c r="W533" s="416"/>
      <c r="X533" s="416"/>
      <c r="Y533" s="416"/>
      <c r="Z533" s="416"/>
      <c r="AA533" s="416"/>
      <c r="AB533" s="416"/>
      <c r="AC533" s="416"/>
      <c r="AD533" s="416"/>
    </row>
    <row r="534" spans="1:30" ht="12.75" customHeight="1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  <c r="V534" s="416"/>
      <c r="W534" s="416"/>
      <c r="X534" s="416"/>
      <c r="Y534" s="416"/>
      <c r="Z534" s="416"/>
      <c r="AA534" s="416"/>
      <c r="AB534" s="416"/>
      <c r="AC534" s="416"/>
      <c r="AD534" s="416"/>
    </row>
    <row r="535" spans="1:30" ht="12.75" customHeight="1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  <c r="V535" s="416"/>
      <c r="W535" s="416"/>
      <c r="X535" s="416"/>
      <c r="Y535" s="416"/>
      <c r="Z535" s="416"/>
      <c r="AA535" s="416"/>
      <c r="AB535" s="416"/>
      <c r="AC535" s="416"/>
      <c r="AD535" s="416"/>
    </row>
    <row r="536" spans="1:30" ht="12.75" customHeight="1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  <c r="V536" s="416"/>
      <c r="W536" s="416"/>
      <c r="X536" s="416"/>
      <c r="Y536" s="416"/>
      <c r="Z536" s="416"/>
      <c r="AA536" s="416"/>
      <c r="AB536" s="416"/>
      <c r="AC536" s="416"/>
      <c r="AD536" s="416"/>
    </row>
    <row r="537" spans="1:30" ht="12.75" customHeight="1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  <c r="V537" s="416"/>
      <c r="W537" s="416"/>
      <c r="X537" s="416"/>
      <c r="Y537" s="416"/>
      <c r="Z537" s="416"/>
      <c r="AA537" s="416"/>
      <c r="AB537" s="416"/>
      <c r="AC537" s="416"/>
      <c r="AD537" s="416"/>
    </row>
    <row r="538" spans="1:30" ht="12.75" customHeight="1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  <c r="V538" s="416"/>
      <c r="W538" s="416"/>
      <c r="X538" s="416"/>
      <c r="Y538" s="416"/>
      <c r="Z538" s="416"/>
      <c r="AA538" s="416"/>
      <c r="AB538" s="416"/>
      <c r="AC538" s="416"/>
      <c r="AD538" s="416"/>
    </row>
    <row r="539" spans="1:30" ht="12.75" customHeight="1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  <c r="V539" s="416"/>
      <c r="W539" s="416"/>
      <c r="X539" s="416"/>
      <c r="Y539" s="416"/>
      <c r="Z539" s="416"/>
      <c r="AA539" s="416"/>
      <c r="AB539" s="416"/>
      <c r="AC539" s="416"/>
      <c r="AD539" s="416"/>
    </row>
    <row r="540" spans="1:30" ht="12.75" customHeight="1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  <c r="V540" s="416"/>
      <c r="W540" s="416"/>
      <c r="X540" s="416"/>
      <c r="Y540" s="416"/>
      <c r="Z540" s="416"/>
      <c r="AA540" s="416"/>
      <c r="AB540" s="416"/>
      <c r="AC540" s="416"/>
      <c r="AD540" s="416"/>
    </row>
    <row r="541" spans="1:30" ht="12.75" customHeight="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  <c r="V541" s="416"/>
      <c r="W541" s="416"/>
      <c r="X541" s="416"/>
      <c r="Y541" s="416"/>
      <c r="Z541" s="416"/>
      <c r="AA541" s="416"/>
      <c r="AB541" s="416"/>
      <c r="AC541" s="416"/>
      <c r="AD541" s="416"/>
    </row>
    <row r="542" spans="1:30" ht="12.75" customHeight="1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  <c r="V542" s="416"/>
      <c r="W542" s="416"/>
      <c r="X542" s="416"/>
      <c r="Y542" s="416"/>
      <c r="Z542" s="416"/>
      <c r="AA542" s="416"/>
      <c r="AB542" s="416"/>
      <c r="AC542" s="416"/>
      <c r="AD542" s="416"/>
    </row>
    <row r="543" spans="1:30" ht="12.75" customHeight="1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  <c r="V543" s="416"/>
      <c r="W543" s="416"/>
      <c r="X543" s="416"/>
      <c r="Y543" s="416"/>
      <c r="Z543" s="416"/>
      <c r="AA543" s="416"/>
      <c r="AB543" s="416"/>
      <c r="AC543" s="416"/>
      <c r="AD543" s="416"/>
    </row>
    <row r="544" spans="1:30" ht="12.75" customHeight="1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  <c r="V544" s="416"/>
      <c r="W544" s="416"/>
      <c r="X544" s="416"/>
      <c r="Y544" s="416"/>
      <c r="Z544" s="416"/>
      <c r="AA544" s="416"/>
      <c r="AB544" s="416"/>
      <c r="AC544" s="416"/>
      <c r="AD544" s="416"/>
    </row>
    <row r="545" spans="1:30" ht="12.75" customHeight="1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  <c r="V545" s="416"/>
      <c r="W545" s="416"/>
      <c r="X545" s="416"/>
      <c r="Y545" s="416"/>
      <c r="Z545" s="416"/>
      <c r="AA545" s="416"/>
      <c r="AB545" s="416"/>
      <c r="AC545" s="416"/>
      <c r="AD545" s="416"/>
    </row>
    <row r="546" spans="1:30" ht="12.75" customHeight="1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  <c r="V546" s="416"/>
      <c r="W546" s="416"/>
      <c r="X546" s="416"/>
      <c r="Y546" s="416"/>
      <c r="Z546" s="416"/>
      <c r="AA546" s="416"/>
      <c r="AB546" s="416"/>
      <c r="AC546" s="416"/>
      <c r="AD546" s="416"/>
    </row>
    <row r="547" spans="1:30" ht="12.75" customHeight="1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  <c r="V547" s="416"/>
      <c r="W547" s="416"/>
      <c r="X547" s="416"/>
      <c r="Y547" s="416"/>
      <c r="Z547" s="416"/>
      <c r="AA547" s="416"/>
      <c r="AB547" s="416"/>
      <c r="AC547" s="416"/>
      <c r="AD547" s="416"/>
    </row>
    <row r="548" spans="1:30" ht="12.75" customHeight="1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  <c r="V548" s="416"/>
      <c r="W548" s="416"/>
      <c r="X548" s="416"/>
      <c r="Y548" s="416"/>
      <c r="Z548" s="416"/>
      <c r="AA548" s="416"/>
      <c r="AB548" s="416"/>
      <c r="AC548" s="416"/>
      <c r="AD548" s="416"/>
    </row>
    <row r="549" spans="1:30" ht="12.75" customHeight="1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  <c r="V549" s="416"/>
      <c r="W549" s="416"/>
      <c r="X549" s="416"/>
      <c r="Y549" s="416"/>
      <c r="Z549" s="416"/>
      <c r="AA549" s="416"/>
      <c r="AB549" s="416"/>
      <c r="AC549" s="416"/>
      <c r="AD549" s="416"/>
    </row>
    <row r="550" spans="1:30" ht="12.75" customHeight="1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  <c r="V550" s="416"/>
      <c r="W550" s="416"/>
      <c r="X550" s="416"/>
      <c r="Y550" s="416"/>
      <c r="Z550" s="416"/>
      <c r="AA550" s="416"/>
      <c r="AB550" s="416"/>
      <c r="AC550" s="416"/>
      <c r="AD550" s="416"/>
    </row>
    <row r="551" spans="1:30" ht="12.75" customHeight="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  <c r="V551" s="416"/>
      <c r="W551" s="416"/>
      <c r="X551" s="416"/>
      <c r="Y551" s="416"/>
      <c r="Z551" s="416"/>
      <c r="AA551" s="416"/>
      <c r="AB551" s="416"/>
      <c r="AC551" s="416"/>
      <c r="AD551" s="416"/>
    </row>
    <row r="552" spans="1:30" ht="12.75" customHeight="1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  <c r="V552" s="416"/>
      <c r="W552" s="416"/>
      <c r="X552" s="416"/>
      <c r="Y552" s="416"/>
      <c r="Z552" s="416"/>
      <c r="AA552" s="416"/>
      <c r="AB552" s="416"/>
      <c r="AC552" s="416"/>
      <c r="AD552" s="416"/>
    </row>
    <row r="553" spans="1:30" ht="12.75" customHeight="1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  <c r="V553" s="416"/>
      <c r="W553" s="416"/>
      <c r="X553" s="416"/>
      <c r="Y553" s="416"/>
      <c r="Z553" s="416"/>
      <c r="AA553" s="416"/>
      <c r="AB553" s="416"/>
      <c r="AC553" s="416"/>
      <c r="AD553" s="416"/>
    </row>
    <row r="554" spans="1:30" ht="12.75" customHeight="1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  <c r="V554" s="416"/>
      <c r="W554" s="416"/>
      <c r="X554" s="416"/>
      <c r="Y554" s="416"/>
      <c r="Z554" s="416"/>
      <c r="AA554" s="416"/>
      <c r="AB554" s="416"/>
      <c r="AC554" s="416"/>
      <c r="AD554" s="416"/>
    </row>
    <row r="555" spans="1:30" ht="12.75" customHeight="1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  <c r="V555" s="416"/>
      <c r="W555" s="416"/>
      <c r="X555" s="416"/>
      <c r="Y555" s="416"/>
      <c r="Z555" s="416"/>
      <c r="AA555" s="416"/>
      <c r="AB555" s="416"/>
      <c r="AC555" s="416"/>
      <c r="AD555" s="416"/>
    </row>
    <row r="556" spans="1:30" ht="12.75" customHeight="1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  <c r="V556" s="416"/>
      <c r="W556" s="416"/>
      <c r="X556" s="416"/>
      <c r="Y556" s="416"/>
      <c r="Z556" s="416"/>
      <c r="AA556" s="416"/>
      <c r="AB556" s="416"/>
      <c r="AC556" s="416"/>
      <c r="AD556" s="416"/>
    </row>
    <row r="557" spans="1:30" ht="12.75" customHeight="1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  <c r="V557" s="416"/>
      <c r="W557" s="416"/>
      <c r="X557" s="416"/>
      <c r="Y557" s="416"/>
      <c r="Z557" s="416"/>
      <c r="AA557" s="416"/>
      <c r="AB557" s="416"/>
      <c r="AC557" s="416"/>
      <c r="AD557" s="416"/>
    </row>
    <row r="558" spans="1:30" ht="12.75" customHeight="1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  <c r="V558" s="416"/>
      <c r="W558" s="416"/>
      <c r="X558" s="416"/>
      <c r="Y558" s="416"/>
      <c r="Z558" s="416"/>
      <c r="AA558" s="416"/>
      <c r="AB558" s="416"/>
      <c r="AC558" s="416"/>
      <c r="AD558" s="416"/>
    </row>
    <row r="559" spans="1:30" ht="12.75" customHeight="1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  <c r="V559" s="416"/>
      <c r="W559" s="416"/>
      <c r="X559" s="416"/>
      <c r="Y559" s="416"/>
      <c r="Z559" s="416"/>
      <c r="AA559" s="416"/>
      <c r="AB559" s="416"/>
      <c r="AC559" s="416"/>
      <c r="AD559" s="416"/>
    </row>
    <row r="560" spans="1:30" ht="12.75" customHeight="1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  <c r="V560" s="416"/>
      <c r="W560" s="416"/>
      <c r="X560" s="416"/>
      <c r="Y560" s="416"/>
      <c r="Z560" s="416"/>
      <c r="AA560" s="416"/>
      <c r="AB560" s="416"/>
      <c r="AC560" s="416"/>
      <c r="AD560" s="416"/>
    </row>
    <row r="561" spans="1:30" ht="12.75" customHeight="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  <c r="V561" s="416"/>
      <c r="W561" s="416"/>
      <c r="X561" s="416"/>
      <c r="Y561" s="416"/>
      <c r="Z561" s="416"/>
      <c r="AA561" s="416"/>
      <c r="AB561" s="416"/>
      <c r="AC561" s="416"/>
      <c r="AD561" s="416"/>
    </row>
    <row r="562" spans="1:30" ht="12.75" customHeight="1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  <c r="V562" s="416"/>
      <c r="W562" s="416"/>
      <c r="X562" s="416"/>
      <c r="Y562" s="416"/>
      <c r="Z562" s="416"/>
      <c r="AA562" s="416"/>
      <c r="AB562" s="416"/>
      <c r="AC562" s="416"/>
      <c r="AD562" s="416"/>
    </row>
    <row r="563" spans="1:30" ht="12.75" customHeight="1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  <c r="V563" s="416"/>
      <c r="W563" s="416"/>
      <c r="X563" s="416"/>
      <c r="Y563" s="416"/>
      <c r="Z563" s="416"/>
      <c r="AA563" s="416"/>
      <c r="AB563" s="416"/>
      <c r="AC563" s="416"/>
      <c r="AD563" s="416"/>
    </row>
    <row r="564" spans="1:30" ht="12.75" customHeight="1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  <c r="V564" s="416"/>
      <c r="W564" s="416"/>
      <c r="X564" s="416"/>
      <c r="Y564" s="416"/>
      <c r="Z564" s="416"/>
      <c r="AA564" s="416"/>
      <c r="AB564" s="416"/>
      <c r="AC564" s="416"/>
      <c r="AD564" s="416"/>
    </row>
    <row r="565" spans="1:30" ht="12.75" customHeight="1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  <c r="V565" s="416"/>
      <c r="W565" s="416"/>
      <c r="X565" s="416"/>
      <c r="Y565" s="416"/>
      <c r="Z565" s="416"/>
      <c r="AA565" s="416"/>
      <c r="AB565" s="416"/>
      <c r="AC565" s="416"/>
      <c r="AD565" s="416"/>
    </row>
    <row r="566" spans="1:30" ht="12.75" customHeight="1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  <c r="V566" s="416"/>
      <c r="W566" s="416"/>
      <c r="X566" s="416"/>
      <c r="Y566" s="416"/>
      <c r="Z566" s="416"/>
      <c r="AA566" s="416"/>
      <c r="AB566" s="416"/>
      <c r="AC566" s="416"/>
      <c r="AD566" s="416"/>
    </row>
    <row r="567" spans="1:30" ht="12.75" customHeight="1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  <c r="V567" s="416"/>
      <c r="W567" s="416"/>
      <c r="X567" s="416"/>
      <c r="Y567" s="416"/>
      <c r="Z567" s="416"/>
      <c r="AA567" s="416"/>
      <c r="AB567" s="416"/>
      <c r="AC567" s="416"/>
      <c r="AD567" s="416"/>
    </row>
    <row r="568" spans="1:30" ht="12.75" customHeight="1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  <c r="V568" s="416"/>
      <c r="W568" s="416"/>
      <c r="X568" s="416"/>
      <c r="Y568" s="416"/>
      <c r="Z568" s="416"/>
      <c r="AA568" s="416"/>
      <c r="AB568" s="416"/>
      <c r="AC568" s="416"/>
      <c r="AD568" s="416"/>
    </row>
    <row r="569" spans="1:30" ht="12.75" customHeight="1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  <c r="V569" s="416"/>
      <c r="W569" s="416"/>
      <c r="X569" s="416"/>
      <c r="Y569" s="416"/>
      <c r="Z569" s="416"/>
      <c r="AA569" s="416"/>
      <c r="AB569" s="416"/>
      <c r="AC569" s="416"/>
      <c r="AD569" s="416"/>
    </row>
    <row r="570" spans="1:30" ht="12.75" customHeight="1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  <c r="V570" s="416"/>
      <c r="W570" s="416"/>
      <c r="X570" s="416"/>
      <c r="Y570" s="416"/>
      <c r="Z570" s="416"/>
      <c r="AA570" s="416"/>
      <c r="AB570" s="416"/>
      <c r="AC570" s="416"/>
      <c r="AD570" s="416"/>
    </row>
    <row r="571" spans="1:30" ht="12.75" customHeight="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  <c r="V571" s="416"/>
      <c r="W571" s="416"/>
      <c r="X571" s="416"/>
      <c r="Y571" s="416"/>
      <c r="Z571" s="416"/>
      <c r="AA571" s="416"/>
      <c r="AB571" s="416"/>
      <c r="AC571" s="416"/>
      <c r="AD571" s="416"/>
    </row>
    <row r="572" spans="1:30" ht="12.75" customHeight="1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  <c r="V572" s="416"/>
      <c r="W572" s="416"/>
      <c r="X572" s="416"/>
      <c r="Y572" s="416"/>
      <c r="Z572" s="416"/>
      <c r="AA572" s="416"/>
      <c r="AB572" s="416"/>
      <c r="AC572" s="416"/>
      <c r="AD572" s="416"/>
    </row>
    <row r="573" spans="1:30" ht="12.75" customHeight="1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  <c r="V573" s="416"/>
      <c r="W573" s="416"/>
      <c r="X573" s="416"/>
      <c r="Y573" s="416"/>
      <c r="Z573" s="416"/>
      <c r="AA573" s="416"/>
      <c r="AB573" s="416"/>
      <c r="AC573" s="416"/>
      <c r="AD573" s="416"/>
    </row>
    <row r="574" spans="1:30" ht="12.75" customHeight="1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  <c r="V574" s="416"/>
      <c r="W574" s="416"/>
      <c r="X574" s="416"/>
      <c r="Y574" s="416"/>
      <c r="Z574" s="416"/>
      <c r="AA574" s="416"/>
      <c r="AB574" s="416"/>
      <c r="AC574" s="416"/>
      <c r="AD574" s="416"/>
    </row>
    <row r="575" spans="1:30" ht="12.75" customHeight="1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  <c r="V575" s="416"/>
      <c r="W575" s="416"/>
      <c r="X575" s="416"/>
      <c r="Y575" s="416"/>
      <c r="Z575" s="416"/>
      <c r="AA575" s="416"/>
      <c r="AB575" s="416"/>
      <c r="AC575" s="416"/>
      <c r="AD575" s="416"/>
    </row>
    <row r="576" spans="1:30" ht="12.75" customHeight="1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  <c r="V576" s="416"/>
      <c r="W576" s="416"/>
      <c r="X576" s="416"/>
      <c r="Y576" s="416"/>
      <c r="Z576" s="416"/>
      <c r="AA576" s="416"/>
      <c r="AB576" s="416"/>
      <c r="AC576" s="416"/>
      <c r="AD576" s="416"/>
    </row>
    <row r="577" spans="1:30" ht="12.75" customHeight="1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  <c r="V577" s="416"/>
      <c r="W577" s="416"/>
      <c r="X577" s="416"/>
      <c r="Y577" s="416"/>
      <c r="Z577" s="416"/>
      <c r="AA577" s="416"/>
      <c r="AB577" s="416"/>
      <c r="AC577" s="416"/>
      <c r="AD577" s="416"/>
    </row>
    <row r="578" spans="1:30" ht="12.75" customHeight="1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  <c r="V578" s="416"/>
      <c r="W578" s="416"/>
      <c r="X578" s="416"/>
      <c r="Y578" s="416"/>
      <c r="Z578" s="416"/>
      <c r="AA578" s="416"/>
      <c r="AB578" s="416"/>
      <c r="AC578" s="416"/>
      <c r="AD578" s="416"/>
    </row>
    <row r="579" spans="1:30" ht="12.75" customHeight="1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  <c r="V579" s="416"/>
      <c r="W579" s="416"/>
      <c r="X579" s="416"/>
      <c r="Y579" s="416"/>
      <c r="Z579" s="416"/>
      <c r="AA579" s="416"/>
      <c r="AB579" s="416"/>
      <c r="AC579" s="416"/>
      <c r="AD579" s="416"/>
    </row>
    <row r="580" spans="1:30" ht="12.75" customHeight="1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  <c r="V580" s="416"/>
      <c r="W580" s="416"/>
      <c r="X580" s="416"/>
      <c r="Y580" s="416"/>
      <c r="Z580" s="416"/>
      <c r="AA580" s="416"/>
      <c r="AB580" s="416"/>
      <c r="AC580" s="416"/>
      <c r="AD580" s="416"/>
    </row>
    <row r="581" spans="1:30" ht="12.75" customHeight="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  <c r="V581" s="416"/>
      <c r="W581" s="416"/>
      <c r="X581" s="416"/>
      <c r="Y581" s="416"/>
      <c r="Z581" s="416"/>
      <c r="AA581" s="416"/>
      <c r="AB581" s="416"/>
      <c r="AC581" s="416"/>
      <c r="AD581" s="416"/>
    </row>
    <row r="582" spans="1:30" ht="12.75" customHeight="1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  <c r="V582" s="416"/>
      <c r="W582" s="416"/>
      <c r="X582" s="416"/>
      <c r="Y582" s="416"/>
      <c r="Z582" s="416"/>
      <c r="AA582" s="416"/>
      <c r="AB582" s="416"/>
      <c r="AC582" s="416"/>
      <c r="AD582" s="416"/>
    </row>
    <row r="583" spans="1:30" ht="12.75" customHeight="1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  <c r="V583" s="416"/>
      <c r="W583" s="416"/>
      <c r="X583" s="416"/>
      <c r="Y583" s="416"/>
      <c r="Z583" s="416"/>
      <c r="AA583" s="416"/>
      <c r="AB583" s="416"/>
      <c r="AC583" s="416"/>
      <c r="AD583" s="416"/>
    </row>
    <row r="584" spans="1:30" ht="12.75" customHeight="1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  <c r="V584" s="416"/>
      <c r="W584" s="416"/>
      <c r="X584" s="416"/>
      <c r="Y584" s="416"/>
      <c r="Z584" s="416"/>
      <c r="AA584" s="416"/>
      <c r="AB584" s="416"/>
      <c r="AC584" s="416"/>
      <c r="AD584" s="416"/>
    </row>
    <row r="585" spans="1:30" ht="12.75" customHeight="1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  <c r="V585" s="416"/>
      <c r="W585" s="416"/>
      <c r="X585" s="416"/>
      <c r="Y585" s="416"/>
      <c r="Z585" s="416"/>
      <c r="AA585" s="416"/>
      <c r="AB585" s="416"/>
      <c r="AC585" s="416"/>
      <c r="AD585" s="416"/>
    </row>
    <row r="586" spans="1:30" ht="12.75" customHeight="1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  <c r="V586" s="416"/>
      <c r="W586" s="416"/>
      <c r="X586" s="416"/>
      <c r="Y586" s="416"/>
      <c r="Z586" s="416"/>
      <c r="AA586" s="416"/>
      <c r="AB586" s="416"/>
      <c r="AC586" s="416"/>
      <c r="AD586" s="416"/>
    </row>
    <row r="587" spans="1:30" ht="12.75" customHeight="1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  <c r="V587" s="416"/>
      <c r="W587" s="416"/>
      <c r="X587" s="416"/>
      <c r="Y587" s="416"/>
      <c r="Z587" s="416"/>
      <c r="AA587" s="416"/>
      <c r="AB587" s="416"/>
      <c r="AC587" s="416"/>
      <c r="AD587" s="416"/>
    </row>
    <row r="588" spans="1:30" ht="12.75" customHeight="1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  <c r="V588" s="416"/>
      <c r="W588" s="416"/>
      <c r="X588" s="416"/>
      <c r="Y588" s="416"/>
      <c r="Z588" s="416"/>
      <c r="AA588" s="416"/>
      <c r="AB588" s="416"/>
      <c r="AC588" s="416"/>
      <c r="AD588" s="416"/>
    </row>
    <row r="589" spans="1:30" ht="12.75" customHeight="1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  <c r="V589" s="416"/>
      <c r="W589" s="416"/>
      <c r="X589" s="416"/>
      <c r="Y589" s="416"/>
      <c r="Z589" s="416"/>
      <c r="AA589" s="416"/>
      <c r="AB589" s="416"/>
      <c r="AC589" s="416"/>
      <c r="AD589" s="416"/>
    </row>
    <row r="590" spans="1:30" ht="12.75" customHeight="1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  <c r="V590" s="416"/>
      <c r="W590" s="416"/>
      <c r="X590" s="416"/>
      <c r="Y590" s="416"/>
      <c r="Z590" s="416"/>
      <c r="AA590" s="416"/>
      <c r="AB590" s="416"/>
      <c r="AC590" s="416"/>
      <c r="AD590" s="416"/>
    </row>
    <row r="591" spans="1:30" ht="12.75" customHeight="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  <c r="V591" s="416"/>
      <c r="W591" s="416"/>
      <c r="X591" s="416"/>
      <c r="Y591" s="416"/>
      <c r="Z591" s="416"/>
      <c r="AA591" s="416"/>
      <c r="AB591" s="416"/>
      <c r="AC591" s="416"/>
      <c r="AD591" s="416"/>
    </row>
    <row r="592" spans="1:30" ht="12.75" customHeight="1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  <c r="V592" s="416"/>
      <c r="W592" s="416"/>
      <c r="X592" s="416"/>
      <c r="Y592" s="416"/>
      <c r="Z592" s="416"/>
      <c r="AA592" s="416"/>
      <c r="AB592" s="416"/>
      <c r="AC592" s="416"/>
      <c r="AD592" s="416"/>
    </row>
    <row r="593" spans="1:30" ht="12.75" customHeight="1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  <c r="V593" s="416"/>
      <c r="W593" s="416"/>
      <c r="X593" s="416"/>
      <c r="Y593" s="416"/>
      <c r="Z593" s="416"/>
      <c r="AA593" s="416"/>
      <c r="AB593" s="416"/>
      <c r="AC593" s="416"/>
      <c r="AD593" s="416"/>
    </row>
    <row r="594" spans="1:30" ht="12.75" customHeight="1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  <c r="V594" s="416"/>
      <c r="W594" s="416"/>
      <c r="X594" s="416"/>
      <c r="Y594" s="416"/>
      <c r="Z594" s="416"/>
      <c r="AA594" s="416"/>
      <c r="AB594" s="416"/>
      <c r="AC594" s="416"/>
      <c r="AD594" s="416"/>
    </row>
    <row r="595" spans="1:30" ht="12.75" customHeight="1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  <c r="V595" s="416"/>
      <c r="W595" s="416"/>
      <c r="X595" s="416"/>
      <c r="Y595" s="416"/>
      <c r="Z595" s="416"/>
      <c r="AA595" s="416"/>
      <c r="AB595" s="416"/>
      <c r="AC595" s="416"/>
      <c r="AD595" s="416"/>
    </row>
    <row r="596" spans="1:30" ht="12.75" customHeight="1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  <c r="V596" s="416"/>
      <c r="W596" s="416"/>
      <c r="X596" s="416"/>
      <c r="Y596" s="416"/>
      <c r="Z596" s="416"/>
      <c r="AA596" s="416"/>
      <c r="AB596" s="416"/>
      <c r="AC596" s="416"/>
      <c r="AD596" s="416"/>
    </row>
    <row r="597" spans="1:30" ht="12.75" customHeight="1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  <c r="V597" s="416"/>
      <c r="W597" s="416"/>
      <c r="X597" s="416"/>
      <c r="Y597" s="416"/>
      <c r="Z597" s="416"/>
      <c r="AA597" s="416"/>
      <c r="AB597" s="416"/>
      <c r="AC597" s="416"/>
      <c r="AD597" s="416"/>
    </row>
    <row r="598" spans="1:30" ht="12.75" customHeight="1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  <c r="V598" s="416"/>
      <c r="W598" s="416"/>
      <c r="X598" s="416"/>
      <c r="Y598" s="416"/>
      <c r="Z598" s="416"/>
      <c r="AA598" s="416"/>
      <c r="AB598" s="416"/>
      <c r="AC598" s="416"/>
      <c r="AD598" s="416"/>
    </row>
    <row r="599" spans="1:30" ht="12.75" customHeight="1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  <c r="V599" s="416"/>
      <c r="W599" s="416"/>
      <c r="X599" s="416"/>
      <c r="Y599" s="416"/>
      <c r="Z599" s="416"/>
      <c r="AA599" s="416"/>
      <c r="AB599" s="416"/>
      <c r="AC599" s="416"/>
      <c r="AD599" s="416"/>
    </row>
    <row r="600" spans="1:30" ht="12.75" customHeight="1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  <c r="V600" s="416"/>
      <c r="W600" s="416"/>
      <c r="X600" s="416"/>
      <c r="Y600" s="416"/>
      <c r="Z600" s="416"/>
      <c r="AA600" s="416"/>
      <c r="AB600" s="416"/>
      <c r="AC600" s="416"/>
      <c r="AD600" s="416"/>
    </row>
    <row r="601" spans="1:30" ht="12.75" customHeight="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  <c r="V601" s="416"/>
      <c r="W601" s="416"/>
      <c r="X601" s="416"/>
      <c r="Y601" s="416"/>
      <c r="Z601" s="416"/>
      <c r="AA601" s="416"/>
      <c r="AB601" s="416"/>
      <c r="AC601" s="416"/>
      <c r="AD601" s="416"/>
    </row>
    <row r="602" spans="1:30" ht="12.75" customHeight="1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  <c r="V602" s="416"/>
      <c r="W602" s="416"/>
      <c r="X602" s="416"/>
      <c r="Y602" s="416"/>
      <c r="Z602" s="416"/>
      <c r="AA602" s="416"/>
      <c r="AB602" s="416"/>
      <c r="AC602" s="416"/>
      <c r="AD602" s="416"/>
    </row>
    <row r="603" spans="1:30" ht="12.75" customHeight="1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  <c r="V603" s="416"/>
      <c r="W603" s="416"/>
      <c r="X603" s="416"/>
      <c r="Y603" s="416"/>
      <c r="Z603" s="416"/>
      <c r="AA603" s="416"/>
      <c r="AB603" s="416"/>
      <c r="AC603" s="416"/>
      <c r="AD603" s="416"/>
    </row>
    <row r="604" spans="1:30" ht="12.75" customHeight="1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  <c r="V604" s="416"/>
      <c r="W604" s="416"/>
      <c r="X604" s="416"/>
      <c r="Y604" s="416"/>
      <c r="Z604" s="416"/>
      <c r="AA604" s="416"/>
      <c r="AB604" s="416"/>
      <c r="AC604" s="416"/>
      <c r="AD604" s="416"/>
    </row>
    <row r="605" spans="1:30" ht="12.75" customHeight="1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  <c r="V605" s="416"/>
      <c r="W605" s="416"/>
      <c r="X605" s="416"/>
      <c r="Y605" s="416"/>
      <c r="Z605" s="416"/>
      <c r="AA605" s="416"/>
      <c r="AB605" s="416"/>
      <c r="AC605" s="416"/>
      <c r="AD605" s="416"/>
    </row>
    <row r="606" spans="1:30" ht="12.75" customHeight="1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  <c r="V606" s="416"/>
      <c r="W606" s="416"/>
      <c r="X606" s="416"/>
      <c r="Y606" s="416"/>
      <c r="Z606" s="416"/>
      <c r="AA606" s="416"/>
      <c r="AB606" s="416"/>
      <c r="AC606" s="416"/>
      <c r="AD606" s="416"/>
    </row>
    <row r="607" spans="1:30" ht="12.75" customHeight="1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  <c r="V607" s="416"/>
      <c r="W607" s="416"/>
      <c r="X607" s="416"/>
      <c r="Y607" s="416"/>
      <c r="Z607" s="416"/>
      <c r="AA607" s="416"/>
      <c r="AB607" s="416"/>
      <c r="AC607" s="416"/>
      <c r="AD607" s="416"/>
    </row>
    <row r="608" spans="1:30" ht="12.75" customHeight="1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  <c r="V608" s="416"/>
      <c r="W608" s="416"/>
      <c r="X608" s="416"/>
      <c r="Y608" s="416"/>
      <c r="Z608" s="416"/>
      <c r="AA608" s="416"/>
      <c r="AB608" s="416"/>
      <c r="AC608" s="416"/>
      <c r="AD608" s="416"/>
    </row>
    <row r="609" spans="1:30" ht="12.75" customHeight="1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  <c r="V609" s="416"/>
      <c r="W609" s="416"/>
      <c r="X609" s="416"/>
      <c r="Y609" s="416"/>
      <c r="Z609" s="416"/>
      <c r="AA609" s="416"/>
      <c r="AB609" s="416"/>
      <c r="AC609" s="416"/>
      <c r="AD609" s="416"/>
    </row>
    <row r="610" spans="1:30" ht="12.75" customHeight="1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  <c r="V610" s="416"/>
      <c r="W610" s="416"/>
      <c r="X610" s="416"/>
      <c r="Y610" s="416"/>
      <c r="Z610" s="416"/>
      <c r="AA610" s="416"/>
      <c r="AB610" s="416"/>
      <c r="AC610" s="416"/>
      <c r="AD610" s="416"/>
    </row>
    <row r="611" spans="1:30" ht="12.75" customHeight="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  <c r="V611" s="416"/>
      <c r="W611" s="416"/>
      <c r="X611" s="416"/>
      <c r="Y611" s="416"/>
      <c r="Z611" s="416"/>
      <c r="AA611" s="416"/>
      <c r="AB611" s="416"/>
      <c r="AC611" s="416"/>
      <c r="AD611" s="416"/>
    </row>
    <row r="612" spans="1:30" ht="12.75" customHeight="1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  <c r="V612" s="416"/>
      <c r="W612" s="416"/>
      <c r="X612" s="416"/>
      <c r="Y612" s="416"/>
      <c r="Z612" s="416"/>
      <c r="AA612" s="416"/>
      <c r="AB612" s="416"/>
      <c r="AC612" s="416"/>
      <c r="AD612" s="416"/>
    </row>
    <row r="613" spans="1:30" ht="12.75" customHeight="1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  <c r="V613" s="416"/>
      <c r="W613" s="416"/>
      <c r="X613" s="416"/>
      <c r="Y613" s="416"/>
      <c r="Z613" s="416"/>
      <c r="AA613" s="416"/>
      <c r="AB613" s="416"/>
      <c r="AC613" s="416"/>
      <c r="AD613" s="416"/>
    </row>
    <row r="614" spans="1:30" ht="12.75" customHeight="1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  <c r="V614" s="416"/>
      <c r="W614" s="416"/>
      <c r="X614" s="416"/>
      <c r="Y614" s="416"/>
      <c r="Z614" s="416"/>
      <c r="AA614" s="416"/>
      <c r="AB614" s="416"/>
      <c r="AC614" s="416"/>
      <c r="AD614" s="416"/>
    </row>
    <row r="615" spans="1:30" ht="12.75" customHeight="1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  <c r="V615" s="416"/>
      <c r="W615" s="416"/>
      <c r="X615" s="416"/>
      <c r="Y615" s="416"/>
      <c r="Z615" s="416"/>
      <c r="AA615" s="416"/>
      <c r="AB615" s="416"/>
      <c r="AC615" s="416"/>
      <c r="AD615" s="416"/>
    </row>
    <row r="616" spans="1:30" ht="12.75" customHeight="1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  <c r="V616" s="416"/>
      <c r="W616" s="416"/>
      <c r="X616" s="416"/>
      <c r="Y616" s="416"/>
      <c r="Z616" s="416"/>
      <c r="AA616" s="416"/>
      <c r="AB616" s="416"/>
      <c r="AC616" s="416"/>
      <c r="AD616" s="416"/>
    </row>
    <row r="617" spans="1:30" ht="12.75" customHeight="1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  <c r="V617" s="416"/>
      <c r="W617" s="416"/>
      <c r="X617" s="416"/>
      <c r="Y617" s="416"/>
      <c r="Z617" s="416"/>
      <c r="AA617" s="416"/>
      <c r="AB617" s="416"/>
      <c r="AC617" s="416"/>
      <c r="AD617" s="416"/>
    </row>
    <row r="618" spans="1:30" ht="12.75" customHeight="1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  <c r="V618" s="416"/>
      <c r="W618" s="416"/>
      <c r="X618" s="416"/>
      <c r="Y618" s="416"/>
      <c r="Z618" s="416"/>
      <c r="AA618" s="416"/>
      <c r="AB618" s="416"/>
      <c r="AC618" s="416"/>
      <c r="AD618" s="416"/>
    </row>
    <row r="619" spans="1:30" ht="12.75" customHeight="1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  <c r="V619" s="416"/>
      <c r="W619" s="416"/>
      <c r="X619" s="416"/>
      <c r="Y619" s="416"/>
      <c r="Z619" s="416"/>
      <c r="AA619" s="416"/>
      <c r="AB619" s="416"/>
      <c r="AC619" s="416"/>
      <c r="AD619" s="416"/>
    </row>
    <row r="620" spans="1:30" ht="12.75" customHeight="1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  <c r="V620" s="416"/>
      <c r="W620" s="416"/>
      <c r="X620" s="416"/>
      <c r="Y620" s="416"/>
      <c r="Z620" s="416"/>
      <c r="AA620" s="416"/>
      <c r="AB620" s="416"/>
      <c r="AC620" s="416"/>
      <c r="AD620" s="416"/>
    </row>
    <row r="621" spans="1:30" ht="12.75" customHeight="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  <c r="V621" s="416"/>
      <c r="W621" s="416"/>
      <c r="X621" s="416"/>
      <c r="Y621" s="416"/>
      <c r="Z621" s="416"/>
      <c r="AA621" s="416"/>
      <c r="AB621" s="416"/>
      <c r="AC621" s="416"/>
      <c r="AD621" s="416"/>
    </row>
    <row r="622" spans="1:30" ht="12.75" customHeight="1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  <c r="V622" s="416"/>
      <c r="W622" s="416"/>
      <c r="X622" s="416"/>
      <c r="Y622" s="416"/>
      <c r="Z622" s="416"/>
      <c r="AA622" s="416"/>
      <c r="AB622" s="416"/>
      <c r="AC622" s="416"/>
      <c r="AD622" s="416"/>
    </row>
    <row r="623" spans="1:30" ht="12.75" customHeight="1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  <c r="V623" s="416"/>
      <c r="W623" s="416"/>
      <c r="X623" s="416"/>
      <c r="Y623" s="416"/>
      <c r="Z623" s="416"/>
      <c r="AA623" s="416"/>
      <c r="AB623" s="416"/>
      <c r="AC623" s="416"/>
      <c r="AD623" s="416"/>
    </row>
    <row r="624" spans="1:30" ht="12.75" customHeight="1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  <c r="V624" s="416"/>
      <c r="W624" s="416"/>
      <c r="X624" s="416"/>
      <c r="Y624" s="416"/>
      <c r="Z624" s="416"/>
      <c r="AA624" s="416"/>
      <c r="AB624" s="416"/>
      <c r="AC624" s="416"/>
      <c r="AD624" s="416"/>
    </row>
    <row r="625" spans="1:30" ht="12.75" customHeight="1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  <c r="V625" s="416"/>
      <c r="W625" s="416"/>
      <c r="X625" s="416"/>
      <c r="Y625" s="416"/>
      <c r="Z625" s="416"/>
      <c r="AA625" s="416"/>
      <c r="AB625" s="416"/>
      <c r="AC625" s="416"/>
      <c r="AD625" s="416"/>
    </row>
    <row r="626" spans="1:30" ht="12.75" customHeight="1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  <c r="V626" s="416"/>
      <c r="W626" s="416"/>
      <c r="X626" s="416"/>
      <c r="Y626" s="416"/>
      <c r="Z626" s="416"/>
      <c r="AA626" s="416"/>
      <c r="AB626" s="416"/>
      <c r="AC626" s="416"/>
      <c r="AD626" s="416"/>
    </row>
    <row r="627" spans="1:30" ht="12.75" customHeight="1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  <c r="V627" s="416"/>
      <c r="W627" s="416"/>
      <c r="X627" s="416"/>
      <c r="Y627" s="416"/>
      <c r="Z627" s="416"/>
      <c r="AA627" s="416"/>
      <c r="AB627" s="416"/>
      <c r="AC627" s="416"/>
      <c r="AD627" s="416"/>
    </row>
    <row r="628" spans="1:30" ht="12.75" customHeight="1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  <c r="V628" s="416"/>
      <c r="W628" s="416"/>
      <c r="X628" s="416"/>
      <c r="Y628" s="416"/>
      <c r="Z628" s="416"/>
      <c r="AA628" s="416"/>
      <c r="AB628" s="416"/>
      <c r="AC628" s="416"/>
      <c r="AD628" s="416"/>
    </row>
    <row r="629" spans="1:30" ht="12.75" customHeight="1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  <c r="V629" s="416"/>
      <c r="W629" s="416"/>
      <c r="X629" s="416"/>
      <c r="Y629" s="416"/>
      <c r="Z629" s="416"/>
      <c r="AA629" s="416"/>
      <c r="AB629" s="416"/>
      <c r="AC629" s="416"/>
      <c r="AD629" s="416"/>
    </row>
    <row r="630" spans="1:30" ht="12.75" customHeight="1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  <c r="AA630" s="416"/>
      <c r="AB630" s="416"/>
      <c r="AC630" s="416"/>
      <c r="AD630" s="416"/>
    </row>
    <row r="631" spans="1:30" ht="12.75" customHeight="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  <c r="V631" s="416"/>
      <c r="W631" s="416"/>
      <c r="X631" s="416"/>
      <c r="Y631" s="416"/>
      <c r="Z631" s="416"/>
      <c r="AA631" s="416"/>
      <c r="AB631" s="416"/>
      <c r="AC631" s="416"/>
      <c r="AD631" s="416"/>
    </row>
    <row r="632" spans="1:30" ht="12.75" customHeight="1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  <c r="V632" s="416"/>
      <c r="W632" s="416"/>
      <c r="X632" s="416"/>
      <c r="Y632" s="416"/>
      <c r="Z632" s="416"/>
      <c r="AA632" s="416"/>
      <c r="AB632" s="416"/>
      <c r="AC632" s="416"/>
      <c r="AD632" s="416"/>
    </row>
    <row r="633" spans="1:30" ht="12.75" customHeight="1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  <c r="V633" s="416"/>
      <c r="W633" s="416"/>
      <c r="X633" s="416"/>
      <c r="Y633" s="416"/>
      <c r="Z633" s="416"/>
      <c r="AA633" s="416"/>
      <c r="AB633" s="416"/>
      <c r="AC633" s="416"/>
      <c r="AD633" s="416"/>
    </row>
    <row r="634" spans="1:30" ht="12.75" customHeight="1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  <c r="V634" s="416"/>
      <c r="W634" s="416"/>
      <c r="X634" s="416"/>
      <c r="Y634" s="416"/>
      <c r="Z634" s="416"/>
      <c r="AA634" s="416"/>
      <c r="AB634" s="416"/>
      <c r="AC634" s="416"/>
      <c r="AD634" s="416"/>
    </row>
    <row r="635" spans="1:30" ht="12.75" customHeight="1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  <c r="V635" s="416"/>
      <c r="W635" s="416"/>
      <c r="X635" s="416"/>
      <c r="Y635" s="416"/>
      <c r="Z635" s="416"/>
      <c r="AA635" s="416"/>
      <c r="AB635" s="416"/>
      <c r="AC635" s="416"/>
      <c r="AD635" s="416"/>
    </row>
    <row r="636" spans="1:30" ht="12.75" customHeight="1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  <c r="V636" s="416"/>
      <c r="W636" s="416"/>
      <c r="X636" s="416"/>
      <c r="Y636" s="416"/>
      <c r="Z636" s="416"/>
      <c r="AA636" s="416"/>
      <c r="AB636" s="416"/>
      <c r="AC636" s="416"/>
      <c r="AD636" s="416"/>
    </row>
    <row r="637" spans="1:30" ht="12.75" customHeight="1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  <c r="V637" s="416"/>
      <c r="W637" s="416"/>
      <c r="X637" s="416"/>
      <c r="Y637" s="416"/>
      <c r="Z637" s="416"/>
      <c r="AA637" s="416"/>
      <c r="AB637" s="416"/>
      <c r="AC637" s="416"/>
      <c r="AD637" s="416"/>
    </row>
    <row r="638" spans="1:30" ht="12.75" customHeight="1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  <c r="V638" s="416"/>
      <c r="W638" s="416"/>
      <c r="X638" s="416"/>
      <c r="Y638" s="416"/>
      <c r="Z638" s="416"/>
      <c r="AA638" s="416"/>
      <c r="AB638" s="416"/>
      <c r="AC638" s="416"/>
      <c r="AD638" s="416"/>
    </row>
    <row r="639" spans="1:30" ht="12.75" customHeight="1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  <c r="V639" s="416"/>
      <c r="W639" s="416"/>
      <c r="X639" s="416"/>
      <c r="Y639" s="416"/>
      <c r="Z639" s="416"/>
      <c r="AA639" s="416"/>
      <c r="AB639" s="416"/>
      <c r="AC639" s="416"/>
      <c r="AD639" s="416"/>
    </row>
    <row r="640" spans="1:30" ht="12.75" customHeight="1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  <c r="V640" s="416"/>
      <c r="W640" s="416"/>
      <c r="X640" s="416"/>
      <c r="Y640" s="416"/>
      <c r="Z640" s="416"/>
      <c r="AA640" s="416"/>
      <c r="AB640" s="416"/>
      <c r="AC640" s="416"/>
      <c r="AD640" s="416"/>
    </row>
    <row r="641" spans="1:30" ht="12.75" customHeight="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  <c r="V641" s="416"/>
      <c r="W641" s="416"/>
      <c r="X641" s="416"/>
      <c r="Y641" s="416"/>
      <c r="Z641" s="416"/>
      <c r="AA641" s="416"/>
      <c r="AB641" s="416"/>
      <c r="AC641" s="416"/>
      <c r="AD641" s="416"/>
    </row>
    <row r="642" spans="1:30" ht="12.75" customHeight="1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  <c r="V642" s="416"/>
      <c r="W642" s="416"/>
      <c r="X642" s="416"/>
      <c r="Y642" s="416"/>
      <c r="Z642" s="416"/>
      <c r="AA642" s="416"/>
      <c r="AB642" s="416"/>
      <c r="AC642" s="416"/>
      <c r="AD642" s="416"/>
    </row>
    <row r="643" spans="1:30" ht="12.75" customHeight="1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  <c r="V643" s="416"/>
      <c r="W643" s="416"/>
      <c r="X643" s="416"/>
      <c r="Y643" s="416"/>
      <c r="Z643" s="416"/>
      <c r="AA643" s="416"/>
      <c r="AB643" s="416"/>
      <c r="AC643" s="416"/>
      <c r="AD643" s="416"/>
    </row>
    <row r="644" spans="1:30" ht="12.75" customHeight="1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  <c r="V644" s="416"/>
      <c r="W644" s="416"/>
      <c r="X644" s="416"/>
      <c r="Y644" s="416"/>
      <c r="Z644" s="416"/>
      <c r="AA644" s="416"/>
      <c r="AB644" s="416"/>
      <c r="AC644" s="416"/>
      <c r="AD644" s="416"/>
    </row>
    <row r="645" spans="1:30" ht="12.75" customHeight="1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  <c r="V645" s="416"/>
      <c r="W645" s="416"/>
      <c r="X645" s="416"/>
      <c r="Y645" s="416"/>
      <c r="Z645" s="416"/>
      <c r="AA645" s="416"/>
      <c r="AB645" s="416"/>
      <c r="AC645" s="416"/>
      <c r="AD645" s="416"/>
    </row>
    <row r="646" spans="1:30" ht="12.75" customHeight="1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  <c r="V646" s="416"/>
      <c r="W646" s="416"/>
      <c r="X646" s="416"/>
      <c r="Y646" s="416"/>
      <c r="Z646" s="416"/>
      <c r="AA646" s="416"/>
      <c r="AB646" s="416"/>
      <c r="AC646" s="416"/>
      <c r="AD646" s="416"/>
    </row>
    <row r="647" spans="1:30" ht="12.75" customHeight="1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6"/>
      <c r="Y647" s="416"/>
      <c r="Z647" s="416"/>
      <c r="AA647" s="416"/>
      <c r="AB647" s="416"/>
      <c r="AC647" s="416"/>
      <c r="AD647" s="416"/>
    </row>
    <row r="648" spans="1:30" ht="12.75" customHeight="1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6"/>
      <c r="Y648" s="416"/>
      <c r="Z648" s="416"/>
      <c r="AA648" s="416"/>
      <c r="AB648" s="416"/>
      <c r="AC648" s="416"/>
      <c r="AD648" s="416"/>
    </row>
    <row r="649" spans="1:30" ht="12.75" customHeight="1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6"/>
      <c r="Y649" s="416"/>
      <c r="Z649" s="416"/>
      <c r="AA649" s="416"/>
      <c r="AB649" s="416"/>
      <c r="AC649" s="416"/>
      <c r="AD649" s="416"/>
    </row>
    <row r="650" spans="1:30" ht="12.75" customHeight="1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6"/>
      <c r="Y650" s="416"/>
      <c r="Z650" s="416"/>
      <c r="AA650" s="416"/>
      <c r="AB650" s="416"/>
      <c r="AC650" s="416"/>
      <c r="AD650" s="416"/>
    </row>
    <row r="651" spans="1:30" ht="12.75" customHeight="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6"/>
      <c r="Y651" s="416"/>
      <c r="Z651" s="416"/>
      <c r="AA651" s="416"/>
      <c r="AB651" s="416"/>
      <c r="AC651" s="416"/>
      <c r="AD651" s="416"/>
    </row>
    <row r="652" spans="1:30" ht="12.75" customHeight="1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6"/>
      <c r="Y652" s="416"/>
      <c r="Z652" s="416"/>
      <c r="AA652" s="416"/>
      <c r="AB652" s="416"/>
      <c r="AC652" s="416"/>
      <c r="AD652" s="416"/>
    </row>
    <row r="653" spans="1:30" ht="12.75" customHeight="1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  <c r="V653" s="416"/>
      <c r="W653" s="416"/>
      <c r="X653" s="416"/>
      <c r="Y653" s="416"/>
      <c r="Z653" s="416"/>
      <c r="AA653" s="416"/>
      <c r="AB653" s="416"/>
      <c r="AC653" s="416"/>
      <c r="AD653" s="416"/>
    </row>
    <row r="654" spans="1:30" ht="12.75" customHeight="1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  <c r="V654" s="416"/>
      <c r="W654" s="416"/>
      <c r="X654" s="416"/>
      <c r="Y654" s="416"/>
      <c r="Z654" s="416"/>
      <c r="AA654" s="416"/>
      <c r="AB654" s="416"/>
      <c r="AC654" s="416"/>
      <c r="AD654" s="416"/>
    </row>
    <row r="655" spans="1:30" ht="12.75" customHeight="1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  <c r="V655" s="416"/>
      <c r="W655" s="416"/>
      <c r="X655" s="416"/>
      <c r="Y655" s="416"/>
      <c r="Z655" s="416"/>
      <c r="AA655" s="416"/>
      <c r="AB655" s="416"/>
      <c r="AC655" s="416"/>
      <c r="AD655" s="416"/>
    </row>
    <row r="656" spans="1:30" ht="12.75" customHeight="1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  <c r="V656" s="416"/>
      <c r="W656" s="416"/>
      <c r="X656" s="416"/>
      <c r="Y656" s="416"/>
      <c r="Z656" s="416"/>
      <c r="AA656" s="416"/>
      <c r="AB656" s="416"/>
      <c r="AC656" s="416"/>
      <c r="AD656" s="416"/>
    </row>
    <row r="657" spans="1:30" ht="12.75" customHeight="1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  <c r="V657" s="416"/>
      <c r="W657" s="416"/>
      <c r="X657" s="416"/>
      <c r="Y657" s="416"/>
      <c r="Z657" s="416"/>
      <c r="AA657" s="416"/>
      <c r="AB657" s="416"/>
      <c r="AC657" s="416"/>
      <c r="AD657" s="416"/>
    </row>
    <row r="658" spans="1:30" ht="12.75" customHeight="1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  <c r="V658" s="416"/>
      <c r="W658" s="416"/>
      <c r="X658" s="416"/>
      <c r="Y658" s="416"/>
      <c r="Z658" s="416"/>
      <c r="AA658" s="416"/>
      <c r="AB658" s="416"/>
      <c r="AC658" s="416"/>
      <c r="AD658" s="416"/>
    </row>
    <row r="659" spans="1:30" ht="12.75" customHeight="1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  <c r="V659" s="416"/>
      <c r="W659" s="416"/>
      <c r="X659" s="416"/>
      <c r="Y659" s="416"/>
      <c r="Z659" s="416"/>
      <c r="AA659" s="416"/>
      <c r="AB659" s="416"/>
      <c r="AC659" s="416"/>
      <c r="AD659" s="416"/>
    </row>
    <row r="660" spans="1:30" ht="12.75" customHeight="1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  <c r="V660" s="416"/>
      <c r="W660" s="416"/>
      <c r="X660" s="416"/>
      <c r="Y660" s="416"/>
      <c r="Z660" s="416"/>
      <c r="AA660" s="416"/>
      <c r="AB660" s="416"/>
      <c r="AC660" s="416"/>
      <c r="AD660" s="416"/>
    </row>
    <row r="661" spans="1:30" ht="12.75" customHeight="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  <c r="V661" s="416"/>
      <c r="W661" s="416"/>
      <c r="X661" s="416"/>
      <c r="Y661" s="416"/>
      <c r="Z661" s="416"/>
      <c r="AA661" s="416"/>
      <c r="AB661" s="416"/>
      <c r="AC661" s="416"/>
      <c r="AD661" s="416"/>
    </row>
    <row r="662" spans="1:30" ht="12.75" customHeight="1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  <c r="V662" s="416"/>
      <c r="W662" s="416"/>
      <c r="X662" s="416"/>
      <c r="Y662" s="416"/>
      <c r="Z662" s="416"/>
      <c r="AA662" s="416"/>
      <c r="AB662" s="416"/>
      <c r="AC662" s="416"/>
      <c r="AD662" s="416"/>
    </row>
    <row r="663" spans="1:30" ht="12.75" customHeight="1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  <c r="V663" s="416"/>
      <c r="W663" s="416"/>
      <c r="X663" s="416"/>
      <c r="Y663" s="416"/>
      <c r="Z663" s="416"/>
      <c r="AA663" s="416"/>
      <c r="AB663" s="416"/>
      <c r="AC663" s="416"/>
      <c r="AD663" s="416"/>
    </row>
    <row r="664" spans="1:30" ht="12.75" customHeight="1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  <c r="V664" s="416"/>
      <c r="W664" s="416"/>
      <c r="X664" s="416"/>
      <c r="Y664" s="416"/>
      <c r="Z664" s="416"/>
      <c r="AA664" s="416"/>
      <c r="AB664" s="416"/>
      <c r="AC664" s="416"/>
      <c r="AD664" s="416"/>
    </row>
    <row r="665" spans="1:30" ht="12.75" customHeight="1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  <c r="V665" s="416"/>
      <c r="W665" s="416"/>
      <c r="X665" s="416"/>
      <c r="Y665" s="416"/>
      <c r="Z665" s="416"/>
      <c r="AA665" s="416"/>
      <c r="AB665" s="416"/>
      <c r="AC665" s="416"/>
      <c r="AD665" s="416"/>
    </row>
    <row r="666" spans="1:30" ht="12.75" customHeight="1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  <c r="V666" s="416"/>
      <c r="W666" s="416"/>
      <c r="X666" s="416"/>
      <c r="Y666" s="416"/>
      <c r="Z666" s="416"/>
      <c r="AA666" s="416"/>
      <c r="AB666" s="416"/>
      <c r="AC666" s="416"/>
      <c r="AD666" s="416"/>
    </row>
    <row r="667" spans="1:30" ht="12.75" customHeight="1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  <c r="V667" s="416"/>
      <c r="W667" s="416"/>
      <c r="X667" s="416"/>
      <c r="Y667" s="416"/>
      <c r="Z667" s="416"/>
      <c r="AA667" s="416"/>
      <c r="AB667" s="416"/>
      <c r="AC667" s="416"/>
      <c r="AD667" s="416"/>
    </row>
    <row r="668" spans="1:30" ht="12.75" customHeight="1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  <c r="V668" s="416"/>
      <c r="W668" s="416"/>
      <c r="X668" s="416"/>
      <c r="Y668" s="416"/>
      <c r="Z668" s="416"/>
      <c r="AA668" s="416"/>
      <c r="AB668" s="416"/>
      <c r="AC668" s="416"/>
      <c r="AD668" s="416"/>
    </row>
    <row r="669" spans="1:30" ht="12.75" customHeight="1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  <c r="V669" s="416"/>
      <c r="W669" s="416"/>
      <c r="X669" s="416"/>
      <c r="Y669" s="416"/>
      <c r="Z669" s="416"/>
      <c r="AA669" s="416"/>
      <c r="AB669" s="416"/>
      <c r="AC669" s="416"/>
      <c r="AD669" s="416"/>
    </row>
    <row r="670" spans="1:30" ht="12.75" customHeight="1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  <c r="V670" s="416"/>
      <c r="W670" s="416"/>
      <c r="X670" s="416"/>
      <c r="Y670" s="416"/>
      <c r="Z670" s="416"/>
      <c r="AA670" s="416"/>
      <c r="AB670" s="416"/>
      <c r="AC670" s="416"/>
      <c r="AD670" s="416"/>
    </row>
    <row r="671" spans="1:30" ht="12.75" customHeight="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  <c r="V671" s="416"/>
      <c r="W671" s="416"/>
      <c r="X671" s="416"/>
      <c r="Y671" s="416"/>
      <c r="Z671" s="416"/>
      <c r="AA671" s="416"/>
      <c r="AB671" s="416"/>
      <c r="AC671" s="416"/>
      <c r="AD671" s="416"/>
    </row>
    <row r="672" spans="1:30" ht="12.75" customHeight="1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  <c r="V672" s="416"/>
      <c r="W672" s="416"/>
      <c r="X672" s="416"/>
      <c r="Y672" s="416"/>
      <c r="Z672" s="416"/>
      <c r="AA672" s="416"/>
      <c r="AB672" s="416"/>
      <c r="AC672" s="416"/>
      <c r="AD672" s="416"/>
    </row>
    <row r="673" spans="1:30" ht="12.75" customHeight="1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  <c r="V673" s="416"/>
      <c r="W673" s="416"/>
      <c r="X673" s="416"/>
      <c r="Y673" s="416"/>
      <c r="Z673" s="416"/>
      <c r="AA673" s="416"/>
      <c r="AB673" s="416"/>
      <c r="AC673" s="416"/>
      <c r="AD673" s="416"/>
    </row>
    <row r="674" spans="1:30" ht="12.75" customHeight="1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  <c r="V674" s="416"/>
      <c r="W674" s="416"/>
      <c r="X674" s="416"/>
      <c r="Y674" s="416"/>
      <c r="Z674" s="416"/>
      <c r="AA674" s="416"/>
      <c r="AB674" s="416"/>
      <c r="AC674" s="416"/>
      <c r="AD674" s="416"/>
    </row>
    <row r="675" spans="1:30" ht="12.75" customHeight="1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  <c r="V675" s="416"/>
      <c r="W675" s="416"/>
      <c r="X675" s="416"/>
      <c r="Y675" s="416"/>
      <c r="Z675" s="416"/>
      <c r="AA675" s="416"/>
      <c r="AB675" s="416"/>
      <c r="AC675" s="416"/>
      <c r="AD675" s="416"/>
    </row>
    <row r="676" spans="1:30" ht="12.75" customHeight="1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  <c r="V676" s="416"/>
      <c r="W676" s="416"/>
      <c r="X676" s="416"/>
      <c r="Y676" s="416"/>
      <c r="Z676" s="416"/>
      <c r="AA676" s="416"/>
      <c r="AB676" s="416"/>
      <c r="AC676" s="416"/>
      <c r="AD676" s="416"/>
    </row>
    <row r="677" spans="1:30" ht="12.75" customHeight="1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  <c r="V677" s="416"/>
      <c r="W677" s="416"/>
      <c r="X677" s="416"/>
      <c r="Y677" s="416"/>
      <c r="Z677" s="416"/>
      <c r="AA677" s="416"/>
      <c r="AB677" s="416"/>
      <c r="AC677" s="416"/>
      <c r="AD677" s="416"/>
    </row>
    <row r="678" spans="1:30" ht="12.75" customHeight="1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  <c r="V678" s="416"/>
      <c r="W678" s="416"/>
      <c r="X678" s="416"/>
      <c r="Y678" s="416"/>
      <c r="Z678" s="416"/>
      <c r="AA678" s="416"/>
      <c r="AB678" s="416"/>
      <c r="AC678" s="416"/>
      <c r="AD678" s="416"/>
    </row>
    <row r="679" spans="1:30" ht="12.75" customHeight="1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  <c r="V679" s="416"/>
      <c r="W679" s="416"/>
      <c r="X679" s="416"/>
      <c r="Y679" s="416"/>
      <c r="Z679" s="416"/>
      <c r="AA679" s="416"/>
      <c r="AB679" s="416"/>
      <c r="AC679" s="416"/>
      <c r="AD679" s="416"/>
    </row>
    <row r="680" spans="1:30" ht="12.75" customHeight="1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  <c r="V680" s="416"/>
      <c r="W680" s="416"/>
      <c r="X680" s="416"/>
      <c r="Y680" s="416"/>
      <c r="Z680" s="416"/>
      <c r="AA680" s="416"/>
      <c r="AB680" s="416"/>
      <c r="AC680" s="416"/>
      <c r="AD680" s="416"/>
    </row>
    <row r="681" spans="1:30" ht="12.75" customHeight="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  <c r="V681" s="416"/>
      <c r="W681" s="416"/>
      <c r="X681" s="416"/>
      <c r="Y681" s="416"/>
      <c r="Z681" s="416"/>
      <c r="AA681" s="416"/>
      <c r="AB681" s="416"/>
      <c r="AC681" s="416"/>
      <c r="AD681" s="416"/>
    </row>
    <row r="682" spans="1:30" ht="12.75" customHeight="1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  <c r="V682" s="416"/>
      <c r="W682" s="416"/>
      <c r="X682" s="416"/>
      <c r="Y682" s="416"/>
      <c r="Z682" s="416"/>
      <c r="AA682" s="416"/>
      <c r="AB682" s="416"/>
      <c r="AC682" s="416"/>
      <c r="AD682" s="416"/>
    </row>
    <row r="683" spans="1:30" ht="12.75" customHeight="1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  <c r="V683" s="416"/>
      <c r="W683" s="416"/>
      <c r="X683" s="416"/>
      <c r="Y683" s="416"/>
      <c r="Z683" s="416"/>
      <c r="AA683" s="416"/>
      <c r="AB683" s="416"/>
      <c r="AC683" s="416"/>
      <c r="AD683" s="416"/>
    </row>
    <row r="684" spans="1:30" ht="12.75" customHeight="1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  <c r="V684" s="416"/>
      <c r="W684" s="416"/>
      <c r="X684" s="416"/>
      <c r="Y684" s="416"/>
      <c r="Z684" s="416"/>
      <c r="AA684" s="416"/>
      <c r="AB684" s="416"/>
      <c r="AC684" s="416"/>
      <c r="AD684" s="416"/>
    </row>
    <row r="685" spans="1:30" ht="12.75" customHeight="1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  <c r="V685" s="416"/>
      <c r="W685" s="416"/>
      <c r="X685" s="416"/>
      <c r="Y685" s="416"/>
      <c r="Z685" s="416"/>
      <c r="AA685" s="416"/>
      <c r="AB685" s="416"/>
      <c r="AC685" s="416"/>
      <c r="AD685" s="416"/>
    </row>
    <row r="686" spans="1:30" ht="12.75" customHeight="1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  <c r="V686" s="416"/>
      <c r="W686" s="416"/>
      <c r="X686" s="416"/>
      <c r="Y686" s="416"/>
      <c r="Z686" s="416"/>
      <c r="AA686" s="416"/>
      <c r="AB686" s="416"/>
      <c r="AC686" s="416"/>
      <c r="AD686" s="416"/>
    </row>
    <row r="687" spans="1:30" ht="12.75" customHeight="1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  <c r="V687" s="416"/>
      <c r="W687" s="416"/>
      <c r="X687" s="416"/>
      <c r="Y687" s="416"/>
      <c r="Z687" s="416"/>
      <c r="AA687" s="416"/>
      <c r="AB687" s="416"/>
      <c r="AC687" s="416"/>
      <c r="AD687" s="416"/>
    </row>
    <row r="688" spans="1:30" ht="12.75" customHeight="1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  <c r="V688" s="416"/>
      <c r="W688" s="416"/>
      <c r="X688" s="416"/>
      <c r="Y688" s="416"/>
      <c r="Z688" s="416"/>
      <c r="AA688" s="416"/>
      <c r="AB688" s="416"/>
      <c r="AC688" s="416"/>
      <c r="AD688" s="416"/>
    </row>
    <row r="689" spans="1:30" ht="12.75" customHeight="1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  <c r="V689" s="416"/>
      <c r="W689" s="416"/>
      <c r="X689" s="416"/>
      <c r="Y689" s="416"/>
      <c r="Z689" s="416"/>
      <c r="AA689" s="416"/>
      <c r="AB689" s="416"/>
      <c r="AC689" s="416"/>
      <c r="AD689" s="416"/>
    </row>
    <row r="690" spans="1:30" ht="12.75" customHeight="1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  <c r="V690" s="416"/>
      <c r="W690" s="416"/>
      <c r="X690" s="416"/>
      <c r="Y690" s="416"/>
      <c r="Z690" s="416"/>
      <c r="AA690" s="416"/>
      <c r="AB690" s="416"/>
      <c r="AC690" s="416"/>
      <c r="AD690" s="416"/>
    </row>
    <row r="691" spans="1:30" ht="12.75" customHeight="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  <c r="V691" s="416"/>
      <c r="W691" s="416"/>
      <c r="X691" s="416"/>
      <c r="Y691" s="416"/>
      <c r="Z691" s="416"/>
      <c r="AA691" s="416"/>
      <c r="AB691" s="416"/>
      <c r="AC691" s="416"/>
      <c r="AD691" s="416"/>
    </row>
    <row r="692" spans="1:30" ht="12.75" customHeight="1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  <c r="V692" s="416"/>
      <c r="W692" s="416"/>
      <c r="X692" s="416"/>
      <c r="Y692" s="416"/>
      <c r="Z692" s="416"/>
      <c r="AA692" s="416"/>
      <c r="AB692" s="416"/>
      <c r="AC692" s="416"/>
      <c r="AD692" s="416"/>
    </row>
    <row r="693" spans="1:30" ht="12.75" customHeight="1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  <c r="V693" s="416"/>
      <c r="W693" s="416"/>
      <c r="X693" s="416"/>
      <c r="Y693" s="416"/>
      <c r="Z693" s="416"/>
      <c r="AA693" s="416"/>
      <c r="AB693" s="416"/>
      <c r="AC693" s="416"/>
      <c r="AD693" s="416"/>
    </row>
    <row r="694" spans="1:30" ht="12.75" customHeight="1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  <c r="V694" s="416"/>
      <c r="W694" s="416"/>
      <c r="X694" s="416"/>
      <c r="Y694" s="416"/>
      <c r="Z694" s="416"/>
      <c r="AA694" s="416"/>
      <c r="AB694" s="416"/>
      <c r="AC694" s="416"/>
      <c r="AD694" s="416"/>
    </row>
    <row r="695" spans="1:30" ht="12.75" customHeight="1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  <c r="V695" s="416"/>
      <c r="W695" s="416"/>
      <c r="X695" s="416"/>
      <c r="Y695" s="416"/>
      <c r="Z695" s="416"/>
      <c r="AA695" s="416"/>
      <c r="AB695" s="416"/>
      <c r="AC695" s="416"/>
      <c r="AD695" s="416"/>
    </row>
    <row r="696" spans="1:30" ht="12.75" customHeight="1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  <c r="V696" s="416"/>
      <c r="W696" s="416"/>
      <c r="X696" s="416"/>
      <c r="Y696" s="416"/>
      <c r="Z696" s="416"/>
      <c r="AA696" s="416"/>
      <c r="AB696" s="416"/>
      <c r="AC696" s="416"/>
      <c r="AD696" s="416"/>
    </row>
    <row r="697" spans="1:30" ht="12.75" customHeight="1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  <c r="V697" s="416"/>
      <c r="W697" s="416"/>
      <c r="X697" s="416"/>
      <c r="Y697" s="416"/>
      <c r="Z697" s="416"/>
      <c r="AA697" s="416"/>
      <c r="AB697" s="416"/>
      <c r="AC697" s="416"/>
      <c r="AD697" s="416"/>
    </row>
    <row r="698" spans="1:30" ht="12.75" customHeight="1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  <c r="V698" s="416"/>
      <c r="W698" s="416"/>
      <c r="X698" s="416"/>
      <c r="Y698" s="416"/>
      <c r="Z698" s="416"/>
      <c r="AA698" s="416"/>
      <c r="AB698" s="416"/>
      <c r="AC698" s="416"/>
      <c r="AD698" s="416"/>
    </row>
    <row r="699" spans="1:30" ht="12.75" customHeight="1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  <c r="V699" s="416"/>
      <c r="W699" s="416"/>
      <c r="X699" s="416"/>
      <c r="Y699" s="416"/>
      <c r="Z699" s="416"/>
      <c r="AA699" s="416"/>
      <c r="AB699" s="416"/>
      <c r="AC699" s="416"/>
      <c r="AD699" s="416"/>
    </row>
    <row r="700" spans="1:30" ht="12.75" customHeight="1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  <c r="V700" s="416"/>
      <c r="W700" s="416"/>
      <c r="X700" s="416"/>
      <c r="Y700" s="416"/>
      <c r="Z700" s="416"/>
      <c r="AA700" s="416"/>
      <c r="AB700" s="416"/>
      <c r="AC700" s="416"/>
      <c r="AD700" s="416"/>
    </row>
    <row r="701" spans="1:30" ht="12.75" customHeight="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  <c r="V701" s="416"/>
      <c r="W701" s="416"/>
      <c r="X701" s="416"/>
      <c r="Y701" s="416"/>
      <c r="Z701" s="416"/>
      <c r="AA701" s="416"/>
      <c r="AB701" s="416"/>
      <c r="AC701" s="416"/>
      <c r="AD701" s="416"/>
    </row>
    <row r="702" spans="1:30" ht="12.75" customHeight="1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  <c r="V702" s="416"/>
      <c r="W702" s="416"/>
      <c r="X702" s="416"/>
      <c r="Y702" s="416"/>
      <c r="Z702" s="416"/>
      <c r="AA702" s="416"/>
      <c r="AB702" s="416"/>
      <c r="AC702" s="416"/>
      <c r="AD702" s="416"/>
    </row>
    <row r="703" spans="1:30" ht="12.75" customHeight="1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  <c r="V703" s="416"/>
      <c r="W703" s="416"/>
      <c r="X703" s="416"/>
      <c r="Y703" s="416"/>
      <c r="Z703" s="416"/>
      <c r="AA703" s="416"/>
      <c r="AB703" s="416"/>
      <c r="AC703" s="416"/>
      <c r="AD703" s="416"/>
    </row>
    <row r="704" spans="1:30" ht="12.75" customHeight="1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  <c r="V704" s="416"/>
      <c r="W704" s="416"/>
      <c r="X704" s="416"/>
      <c r="Y704" s="416"/>
      <c r="Z704" s="416"/>
      <c r="AA704" s="416"/>
      <c r="AB704" s="416"/>
      <c r="AC704" s="416"/>
      <c r="AD704" s="416"/>
    </row>
    <row r="705" spans="1:30" ht="12.75" customHeight="1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  <c r="V705" s="416"/>
      <c r="W705" s="416"/>
      <c r="X705" s="416"/>
      <c r="Y705" s="416"/>
      <c r="Z705" s="416"/>
      <c r="AA705" s="416"/>
      <c r="AB705" s="416"/>
      <c r="AC705" s="416"/>
      <c r="AD705" s="416"/>
    </row>
    <row r="706" spans="1:30" ht="12.75" customHeight="1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  <c r="V706" s="416"/>
      <c r="W706" s="416"/>
      <c r="X706" s="416"/>
      <c r="Y706" s="416"/>
      <c r="Z706" s="416"/>
      <c r="AA706" s="416"/>
      <c r="AB706" s="416"/>
      <c r="AC706" s="416"/>
      <c r="AD706" s="416"/>
    </row>
    <row r="707" spans="1:30" ht="12.75" customHeight="1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  <c r="V707" s="416"/>
      <c r="W707" s="416"/>
      <c r="X707" s="416"/>
      <c r="Y707" s="416"/>
      <c r="Z707" s="416"/>
      <c r="AA707" s="416"/>
      <c r="AB707" s="416"/>
      <c r="AC707" s="416"/>
      <c r="AD707" s="416"/>
    </row>
    <row r="708" spans="1:30" ht="12.75" customHeight="1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  <c r="V708" s="416"/>
      <c r="W708" s="416"/>
      <c r="X708" s="416"/>
      <c r="Y708" s="416"/>
      <c r="Z708" s="416"/>
      <c r="AA708" s="416"/>
      <c r="AB708" s="416"/>
      <c r="AC708" s="416"/>
      <c r="AD708" s="416"/>
    </row>
    <row r="709" spans="1:30" ht="12.75" customHeight="1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  <c r="V709" s="416"/>
      <c r="W709" s="416"/>
      <c r="X709" s="416"/>
      <c r="Y709" s="416"/>
      <c r="Z709" s="416"/>
      <c r="AA709" s="416"/>
      <c r="AB709" s="416"/>
      <c r="AC709" s="416"/>
      <c r="AD709" s="416"/>
    </row>
    <row r="710" spans="1:30" ht="12.75" customHeight="1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  <c r="V710" s="416"/>
      <c r="W710" s="416"/>
      <c r="X710" s="416"/>
      <c r="Y710" s="416"/>
      <c r="Z710" s="416"/>
      <c r="AA710" s="416"/>
      <c r="AB710" s="416"/>
      <c r="AC710" s="416"/>
      <c r="AD710" s="416"/>
    </row>
    <row r="711" spans="1:30" ht="12.75" customHeight="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  <c r="V711" s="416"/>
      <c r="W711" s="416"/>
      <c r="X711" s="416"/>
      <c r="Y711" s="416"/>
      <c r="Z711" s="416"/>
      <c r="AA711" s="416"/>
      <c r="AB711" s="416"/>
      <c r="AC711" s="416"/>
      <c r="AD711" s="416"/>
    </row>
    <row r="712" spans="1:30" ht="12.75" customHeight="1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  <c r="V712" s="416"/>
      <c r="W712" s="416"/>
      <c r="X712" s="416"/>
      <c r="Y712" s="416"/>
      <c r="Z712" s="416"/>
      <c r="AA712" s="416"/>
      <c r="AB712" s="416"/>
      <c r="AC712" s="416"/>
      <c r="AD712" s="416"/>
    </row>
    <row r="713" spans="1:30" ht="12.75" customHeight="1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  <c r="V713" s="416"/>
      <c r="W713" s="416"/>
      <c r="X713" s="416"/>
      <c r="Y713" s="416"/>
      <c r="Z713" s="416"/>
      <c r="AA713" s="416"/>
      <c r="AB713" s="416"/>
      <c r="AC713" s="416"/>
      <c r="AD713" s="416"/>
    </row>
    <row r="714" spans="1:30" ht="12.75" customHeight="1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  <c r="V714" s="416"/>
      <c r="W714" s="416"/>
      <c r="X714" s="416"/>
      <c r="Y714" s="416"/>
      <c r="Z714" s="416"/>
      <c r="AA714" s="416"/>
      <c r="AB714" s="416"/>
      <c r="AC714" s="416"/>
      <c r="AD714" s="416"/>
    </row>
    <row r="715" spans="1:30" ht="12.75" customHeight="1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  <c r="V715" s="416"/>
      <c r="W715" s="416"/>
      <c r="X715" s="416"/>
      <c r="Y715" s="416"/>
      <c r="Z715" s="416"/>
      <c r="AA715" s="416"/>
      <c r="AB715" s="416"/>
      <c r="AC715" s="416"/>
      <c r="AD715" s="416"/>
    </row>
    <row r="716" spans="1:30" ht="12.75" customHeight="1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  <c r="V716" s="416"/>
      <c r="W716" s="416"/>
      <c r="X716" s="416"/>
      <c r="Y716" s="416"/>
      <c r="Z716" s="416"/>
      <c r="AA716" s="416"/>
      <c r="AB716" s="416"/>
      <c r="AC716" s="416"/>
      <c r="AD716" s="416"/>
    </row>
    <row r="717" spans="1:30" ht="12.75" customHeight="1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  <c r="V717" s="416"/>
      <c r="W717" s="416"/>
      <c r="X717" s="416"/>
      <c r="Y717" s="416"/>
      <c r="Z717" s="416"/>
      <c r="AA717" s="416"/>
      <c r="AB717" s="416"/>
      <c r="AC717" s="416"/>
      <c r="AD717" s="416"/>
    </row>
    <row r="718" spans="1:30" ht="12.75" customHeight="1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  <c r="V718" s="416"/>
      <c r="W718" s="416"/>
      <c r="X718" s="416"/>
      <c r="Y718" s="416"/>
      <c r="Z718" s="416"/>
      <c r="AA718" s="416"/>
      <c r="AB718" s="416"/>
      <c r="AC718" s="416"/>
      <c r="AD718" s="416"/>
    </row>
    <row r="719" spans="1:30" ht="12.75" customHeight="1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  <c r="V719" s="416"/>
      <c r="W719" s="416"/>
      <c r="X719" s="416"/>
      <c r="Y719" s="416"/>
      <c r="Z719" s="416"/>
      <c r="AA719" s="416"/>
      <c r="AB719" s="416"/>
      <c r="AC719" s="416"/>
      <c r="AD719" s="416"/>
    </row>
    <row r="720" spans="1:30" ht="12.75" customHeight="1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  <c r="V720" s="416"/>
      <c r="W720" s="416"/>
      <c r="X720" s="416"/>
      <c r="Y720" s="416"/>
      <c r="Z720" s="416"/>
      <c r="AA720" s="416"/>
      <c r="AB720" s="416"/>
      <c r="AC720" s="416"/>
      <c r="AD720" s="416"/>
    </row>
    <row r="721" spans="1:30" ht="12.75" customHeight="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  <c r="V721" s="416"/>
      <c r="W721" s="416"/>
      <c r="X721" s="416"/>
      <c r="Y721" s="416"/>
      <c r="Z721" s="416"/>
      <c r="AA721" s="416"/>
      <c r="AB721" s="416"/>
      <c r="AC721" s="416"/>
      <c r="AD721" s="416"/>
    </row>
    <row r="722" spans="1:30" ht="12.75" customHeight="1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  <c r="V722" s="416"/>
      <c r="W722" s="416"/>
      <c r="X722" s="416"/>
      <c r="Y722" s="416"/>
      <c r="Z722" s="416"/>
      <c r="AA722" s="416"/>
      <c r="AB722" s="416"/>
      <c r="AC722" s="416"/>
      <c r="AD722" s="416"/>
    </row>
    <row r="723" spans="1:30" ht="12.75" customHeight="1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  <c r="V723" s="416"/>
      <c r="W723" s="416"/>
      <c r="X723" s="416"/>
      <c r="Y723" s="416"/>
      <c r="Z723" s="416"/>
      <c r="AA723" s="416"/>
      <c r="AB723" s="416"/>
      <c r="AC723" s="416"/>
      <c r="AD723" s="416"/>
    </row>
    <row r="724" spans="1:30" ht="12.75" customHeight="1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  <c r="V724" s="416"/>
      <c r="W724" s="416"/>
      <c r="X724" s="416"/>
      <c r="Y724" s="416"/>
      <c r="Z724" s="416"/>
      <c r="AA724" s="416"/>
      <c r="AB724" s="416"/>
      <c r="AC724" s="416"/>
      <c r="AD724" s="416"/>
    </row>
    <row r="725" spans="1:30" ht="12.75" customHeight="1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  <c r="V725" s="416"/>
      <c r="W725" s="416"/>
      <c r="X725" s="416"/>
      <c r="Y725" s="416"/>
      <c r="Z725" s="416"/>
      <c r="AA725" s="416"/>
      <c r="AB725" s="416"/>
      <c r="AC725" s="416"/>
      <c r="AD725" s="416"/>
    </row>
    <row r="726" spans="1:30" ht="12.75" customHeight="1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  <c r="V726" s="416"/>
      <c r="W726" s="416"/>
      <c r="X726" s="416"/>
      <c r="Y726" s="416"/>
      <c r="Z726" s="416"/>
      <c r="AA726" s="416"/>
      <c r="AB726" s="416"/>
      <c r="AC726" s="416"/>
      <c r="AD726" s="416"/>
    </row>
    <row r="727" spans="1:30" ht="12.75" customHeight="1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  <c r="V727" s="416"/>
      <c r="W727" s="416"/>
      <c r="X727" s="416"/>
      <c r="Y727" s="416"/>
      <c r="Z727" s="416"/>
      <c r="AA727" s="416"/>
      <c r="AB727" s="416"/>
      <c r="AC727" s="416"/>
      <c r="AD727" s="416"/>
    </row>
    <row r="728" spans="1:30" ht="12.75" customHeight="1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  <c r="V728" s="416"/>
      <c r="W728" s="416"/>
      <c r="X728" s="416"/>
      <c r="Y728" s="416"/>
      <c r="Z728" s="416"/>
      <c r="AA728" s="416"/>
      <c r="AB728" s="416"/>
      <c r="AC728" s="416"/>
      <c r="AD728" s="416"/>
    </row>
    <row r="729" spans="1:30" ht="12.75" customHeight="1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  <c r="V729" s="416"/>
      <c r="W729" s="416"/>
      <c r="X729" s="416"/>
      <c r="Y729" s="416"/>
      <c r="Z729" s="416"/>
      <c r="AA729" s="416"/>
      <c r="AB729" s="416"/>
      <c r="AC729" s="416"/>
      <c r="AD729" s="416"/>
    </row>
    <row r="730" spans="1:30" ht="12.75" customHeight="1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  <c r="V730" s="416"/>
      <c r="W730" s="416"/>
      <c r="X730" s="416"/>
      <c r="Y730" s="416"/>
      <c r="Z730" s="416"/>
      <c r="AA730" s="416"/>
      <c r="AB730" s="416"/>
      <c r="AC730" s="416"/>
      <c r="AD730" s="416"/>
    </row>
    <row r="731" spans="1:30" ht="12.75" customHeight="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  <c r="V731" s="416"/>
      <c r="W731" s="416"/>
      <c r="X731" s="416"/>
      <c r="Y731" s="416"/>
      <c r="Z731" s="416"/>
      <c r="AA731" s="416"/>
      <c r="AB731" s="416"/>
      <c r="AC731" s="416"/>
      <c r="AD731" s="416"/>
    </row>
    <row r="732" spans="1:30" ht="12.75" customHeight="1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  <c r="V732" s="416"/>
      <c r="W732" s="416"/>
      <c r="X732" s="416"/>
      <c r="Y732" s="416"/>
      <c r="Z732" s="416"/>
      <c r="AA732" s="416"/>
      <c r="AB732" s="416"/>
      <c r="AC732" s="416"/>
      <c r="AD732" s="416"/>
    </row>
    <row r="733" spans="1:30" ht="12.75" customHeight="1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  <c r="V733" s="416"/>
      <c r="W733" s="416"/>
      <c r="X733" s="416"/>
      <c r="Y733" s="416"/>
      <c r="Z733" s="416"/>
      <c r="AA733" s="416"/>
      <c r="AB733" s="416"/>
      <c r="AC733" s="416"/>
      <c r="AD733" s="416"/>
    </row>
    <row r="734" spans="1:30" ht="12.75" customHeight="1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  <c r="V734" s="416"/>
      <c r="W734" s="416"/>
      <c r="X734" s="416"/>
      <c r="Y734" s="416"/>
      <c r="Z734" s="416"/>
      <c r="AA734" s="416"/>
      <c r="AB734" s="416"/>
      <c r="AC734" s="416"/>
      <c r="AD734" s="416"/>
    </row>
    <row r="735" spans="1:30" ht="12.75" customHeight="1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  <c r="V735" s="416"/>
      <c r="W735" s="416"/>
      <c r="X735" s="416"/>
      <c r="Y735" s="416"/>
      <c r="Z735" s="416"/>
      <c r="AA735" s="416"/>
      <c r="AB735" s="416"/>
      <c r="AC735" s="416"/>
      <c r="AD735" s="416"/>
    </row>
    <row r="736" spans="1:30" ht="12.75" customHeight="1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  <c r="V736" s="416"/>
      <c r="W736" s="416"/>
      <c r="X736" s="416"/>
      <c r="Y736" s="416"/>
      <c r="Z736" s="416"/>
      <c r="AA736" s="416"/>
      <c r="AB736" s="416"/>
      <c r="AC736" s="416"/>
      <c r="AD736" s="416"/>
    </row>
    <row r="737" spans="1:30" ht="12.75" customHeight="1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  <c r="V737" s="416"/>
      <c r="W737" s="416"/>
      <c r="X737" s="416"/>
      <c r="Y737" s="416"/>
      <c r="Z737" s="416"/>
      <c r="AA737" s="416"/>
      <c r="AB737" s="416"/>
      <c r="AC737" s="416"/>
      <c r="AD737" s="416"/>
    </row>
  </sheetData>
  <mergeCells count="6">
    <mergeCell ref="B192:O192"/>
    <mergeCell ref="Q48:S48"/>
    <mergeCell ref="Q55:S55"/>
    <mergeCell ref="C72:O72"/>
    <mergeCell ref="B157:O157"/>
    <mergeCell ref="B190:N190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CBC8-3A2E-4886-A115-5F060C74EB6F}">
  <dimension ref="A1:AD721"/>
  <sheetViews>
    <sheetView showGridLines="0" workbookViewId="0">
      <pane xSplit="2" ySplit="4" topLeftCell="C78" activePane="bottomRight" state="frozen"/>
      <selection pane="topRight" activeCell="C1" sqref="C1"/>
      <selection pane="bottomLeft" activeCell="A5" sqref="A5"/>
      <selection pane="bottomRight" activeCell="Q34" sqref="Q34"/>
    </sheetView>
  </sheetViews>
  <sheetFormatPr defaultColWidth="14.42578125" defaultRowHeight="15" customHeight="1"/>
  <cols>
    <col min="1" max="1" width="2" customWidth="1"/>
    <col min="2" max="2" width="39.7109375" customWidth="1"/>
    <col min="3" max="14" width="12.7109375" customWidth="1"/>
    <col min="15" max="15" width="17.85546875" customWidth="1"/>
    <col min="16" max="16" width="11.5703125" customWidth="1"/>
    <col min="17" max="17" width="17" customWidth="1"/>
    <col min="18" max="18" width="17.5703125" customWidth="1"/>
    <col min="19" max="19" width="13.7109375" customWidth="1"/>
    <col min="20" max="30" width="11.5703125" customWidth="1"/>
  </cols>
  <sheetData>
    <row r="1" spans="1:30" ht="12.7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2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ht="12.7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ht="15.75" customHeight="1">
      <c r="A4" s="36"/>
      <c r="B4" s="36"/>
      <c r="C4" s="37">
        <v>46023</v>
      </c>
      <c r="D4" s="37">
        <v>46024</v>
      </c>
      <c r="E4" s="37">
        <v>46025</v>
      </c>
      <c r="F4" s="38">
        <v>46026</v>
      </c>
      <c r="G4" s="38">
        <v>46027</v>
      </c>
      <c r="H4" s="38">
        <v>46028</v>
      </c>
      <c r="I4" s="39">
        <v>46029</v>
      </c>
      <c r="J4" s="39">
        <v>46030</v>
      </c>
      <c r="K4" s="39">
        <v>46031</v>
      </c>
      <c r="L4" s="40">
        <v>46032</v>
      </c>
      <c r="M4" s="40">
        <v>46033</v>
      </c>
      <c r="N4" s="40">
        <v>46034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 ht="12.75" customHeight="1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 ht="12.75" customHeight="1">
      <c r="A6" s="36"/>
      <c r="B6" s="36" t="s">
        <v>37</v>
      </c>
      <c r="C6" s="36">
        <v>30</v>
      </c>
      <c r="D6" s="36">
        <v>30</v>
      </c>
      <c r="E6" s="36">
        <v>30</v>
      </c>
      <c r="F6" s="36">
        <v>30</v>
      </c>
      <c r="G6" s="36">
        <v>30</v>
      </c>
      <c r="H6" s="36">
        <v>30</v>
      </c>
      <c r="I6" s="36">
        <v>30</v>
      </c>
      <c r="J6" s="36">
        <v>30</v>
      </c>
      <c r="K6" s="36">
        <v>30</v>
      </c>
      <c r="L6" s="36">
        <v>30</v>
      </c>
      <c r="M6" s="36">
        <v>30</v>
      </c>
      <c r="N6" s="36">
        <v>30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 ht="12.75" customHeight="1">
      <c r="A7" s="36"/>
      <c r="B7" s="36" t="s">
        <v>38</v>
      </c>
      <c r="C7" s="36">
        <v>31</v>
      </c>
      <c r="D7" s="36">
        <v>28</v>
      </c>
      <c r="E7" s="36">
        <v>31</v>
      </c>
      <c r="F7" s="36">
        <v>30</v>
      </c>
      <c r="G7" s="36">
        <v>31</v>
      </c>
      <c r="H7" s="36">
        <v>30</v>
      </c>
      <c r="I7" s="36">
        <v>31</v>
      </c>
      <c r="J7" s="36">
        <v>31</v>
      </c>
      <c r="K7" s="36">
        <v>30</v>
      </c>
      <c r="L7" s="36">
        <v>31</v>
      </c>
      <c r="M7" s="36">
        <v>30</v>
      </c>
      <c r="N7" s="36">
        <v>31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 ht="12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 ht="12.75" customHeight="1">
      <c r="A9" s="36"/>
      <c r="B9" s="36" t="s">
        <v>39</v>
      </c>
      <c r="C9" s="36">
        <f t="shared" ref="C9:N9" si="0">+C6*C7</f>
        <v>930</v>
      </c>
      <c r="D9" s="36">
        <f t="shared" si="0"/>
        <v>840</v>
      </c>
      <c r="E9" s="36">
        <f t="shared" si="0"/>
        <v>930</v>
      </c>
      <c r="F9" s="36">
        <f t="shared" si="0"/>
        <v>900</v>
      </c>
      <c r="G9" s="36">
        <f t="shared" si="0"/>
        <v>930</v>
      </c>
      <c r="H9" s="36">
        <f t="shared" si="0"/>
        <v>900</v>
      </c>
      <c r="I9" s="36">
        <f t="shared" si="0"/>
        <v>930</v>
      </c>
      <c r="J9" s="36">
        <f t="shared" si="0"/>
        <v>930</v>
      </c>
      <c r="K9" s="36">
        <f t="shared" si="0"/>
        <v>900</v>
      </c>
      <c r="L9" s="36">
        <f t="shared" si="0"/>
        <v>930</v>
      </c>
      <c r="M9" s="36">
        <f t="shared" si="0"/>
        <v>900</v>
      </c>
      <c r="N9" s="36">
        <f t="shared" si="0"/>
        <v>930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ht="12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 ht="12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 ht="30" customHeight="1">
      <c r="A12" s="36"/>
      <c r="B12" s="41" t="s">
        <v>40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 ht="12.7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 ht="12.75" customHeight="1">
      <c r="A14" s="36">
        <v>1</v>
      </c>
      <c r="B14" s="36" t="s">
        <v>41</v>
      </c>
      <c r="C14" s="36">
        <v>6</v>
      </c>
      <c r="D14" s="36">
        <v>6</v>
      </c>
      <c r="E14" s="36">
        <v>6</v>
      </c>
      <c r="F14" s="36">
        <v>6</v>
      </c>
      <c r="G14" s="36">
        <v>6</v>
      </c>
      <c r="H14" s="36">
        <v>6</v>
      </c>
      <c r="I14" s="36">
        <v>6</v>
      </c>
      <c r="J14" s="36">
        <v>6</v>
      </c>
      <c r="K14" s="36">
        <v>6</v>
      </c>
      <c r="L14" s="36">
        <v>6</v>
      </c>
      <c r="M14" s="36">
        <v>6</v>
      </c>
      <c r="N14" s="36">
        <v>6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 ht="12.75" customHeight="1">
      <c r="A15" s="36">
        <v>2</v>
      </c>
      <c r="B15" s="36" t="s">
        <v>42</v>
      </c>
      <c r="C15" s="36">
        <v>2</v>
      </c>
      <c r="D15" s="36">
        <v>2</v>
      </c>
      <c r="E15" s="36">
        <v>2</v>
      </c>
      <c r="F15" s="36">
        <v>2</v>
      </c>
      <c r="G15" s="36">
        <v>2</v>
      </c>
      <c r="H15" s="36">
        <v>2</v>
      </c>
      <c r="I15" s="36">
        <v>2</v>
      </c>
      <c r="J15" s="36">
        <v>2</v>
      </c>
      <c r="K15" s="36">
        <v>2</v>
      </c>
      <c r="L15" s="36">
        <v>2</v>
      </c>
      <c r="M15" s="36">
        <v>2</v>
      </c>
      <c r="N15" s="36">
        <v>2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 ht="12.75" customHeight="1">
      <c r="A16" s="36">
        <v>3</v>
      </c>
      <c r="B16" s="36" t="s">
        <v>43</v>
      </c>
      <c r="C16" s="36">
        <v>3</v>
      </c>
      <c r="D16" s="36">
        <v>3</v>
      </c>
      <c r="E16" s="36">
        <v>3</v>
      </c>
      <c r="F16" s="36">
        <v>3</v>
      </c>
      <c r="G16" s="36">
        <v>3</v>
      </c>
      <c r="H16" s="36">
        <v>3</v>
      </c>
      <c r="I16" s="36">
        <v>3</v>
      </c>
      <c r="J16" s="36">
        <v>3</v>
      </c>
      <c r="K16" s="36">
        <v>3</v>
      </c>
      <c r="L16" s="36">
        <v>3</v>
      </c>
      <c r="M16" s="36">
        <v>3</v>
      </c>
      <c r="N16" s="36">
        <v>3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ht="12.75" customHeight="1">
      <c r="A17" s="36">
        <v>4</v>
      </c>
      <c r="B17" s="36" t="s">
        <v>44</v>
      </c>
      <c r="C17" s="36">
        <v>8</v>
      </c>
      <c r="D17" s="36">
        <v>8</v>
      </c>
      <c r="E17" s="36">
        <v>8</v>
      </c>
      <c r="F17" s="36">
        <v>8</v>
      </c>
      <c r="G17" s="36">
        <v>8</v>
      </c>
      <c r="H17" s="36">
        <v>8</v>
      </c>
      <c r="I17" s="36">
        <v>8</v>
      </c>
      <c r="J17" s="36">
        <v>8</v>
      </c>
      <c r="K17" s="36">
        <v>8</v>
      </c>
      <c r="L17" s="36">
        <v>8</v>
      </c>
      <c r="M17" s="36">
        <v>8</v>
      </c>
      <c r="N17" s="36">
        <v>8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ht="12.75" customHeight="1">
      <c r="A18" s="36">
        <v>5</v>
      </c>
      <c r="B18" s="36" t="s">
        <v>45</v>
      </c>
      <c r="C18" s="36">
        <v>5</v>
      </c>
      <c r="D18" s="36">
        <v>5</v>
      </c>
      <c r="E18" s="36">
        <v>5</v>
      </c>
      <c r="F18" s="36">
        <v>5</v>
      </c>
      <c r="G18" s="36">
        <v>5</v>
      </c>
      <c r="H18" s="36">
        <v>5</v>
      </c>
      <c r="I18" s="36">
        <v>5</v>
      </c>
      <c r="J18" s="36">
        <v>5</v>
      </c>
      <c r="K18" s="36">
        <v>5</v>
      </c>
      <c r="L18" s="36">
        <v>5</v>
      </c>
      <c r="M18" s="36">
        <v>5</v>
      </c>
      <c r="N18" s="36">
        <v>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ht="13.5" customHeight="1" thickBot="1">
      <c r="A19" s="36">
        <v>6</v>
      </c>
      <c r="B19" s="36" t="s">
        <v>46</v>
      </c>
      <c r="C19" s="36">
        <v>6</v>
      </c>
      <c r="D19" s="36">
        <v>6</v>
      </c>
      <c r="E19" s="36">
        <v>6</v>
      </c>
      <c r="F19" s="36">
        <v>6</v>
      </c>
      <c r="G19" s="36">
        <v>6</v>
      </c>
      <c r="H19" s="36">
        <v>6</v>
      </c>
      <c r="I19" s="36">
        <v>6</v>
      </c>
      <c r="J19" s="36">
        <v>6</v>
      </c>
      <c r="K19" s="36">
        <v>6</v>
      </c>
      <c r="L19" s="36">
        <v>6</v>
      </c>
      <c r="M19" s="36">
        <v>6</v>
      </c>
      <c r="N19" s="36">
        <v>6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ht="13.5" customHeight="1" thickBot="1">
      <c r="A20" s="36"/>
      <c r="B20" s="42" t="s">
        <v>47</v>
      </c>
      <c r="C20" s="43">
        <f t="shared" ref="C20:N20" si="1">SUM(C14:C19)</f>
        <v>30</v>
      </c>
      <c r="D20" s="43">
        <f t="shared" si="1"/>
        <v>30</v>
      </c>
      <c r="E20" s="43">
        <f t="shared" si="1"/>
        <v>30</v>
      </c>
      <c r="F20" s="43">
        <f t="shared" si="1"/>
        <v>30</v>
      </c>
      <c r="G20" s="43">
        <f t="shared" si="1"/>
        <v>30</v>
      </c>
      <c r="H20" s="43">
        <f t="shared" si="1"/>
        <v>30</v>
      </c>
      <c r="I20" s="43">
        <f t="shared" si="1"/>
        <v>30</v>
      </c>
      <c r="J20" s="43">
        <f t="shared" si="1"/>
        <v>30</v>
      </c>
      <c r="K20" s="43">
        <f t="shared" si="1"/>
        <v>30</v>
      </c>
      <c r="L20" s="43">
        <f t="shared" si="1"/>
        <v>30</v>
      </c>
      <c r="M20" s="43">
        <f t="shared" si="1"/>
        <v>30</v>
      </c>
      <c r="N20" s="44">
        <f t="shared" si="1"/>
        <v>30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ht="12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ht="12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spans="1:30" ht="30" customHeight="1">
      <c r="A23" s="36"/>
      <c r="B23" s="41" t="s">
        <v>48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2.75" customHeight="1" thickBo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 ht="12.75" customHeight="1">
      <c r="A25" s="36">
        <v>1</v>
      </c>
      <c r="B25" s="36" t="s">
        <v>41</v>
      </c>
      <c r="C25" s="36">
        <f t="shared" ref="C25:N30" si="2">+C14*C$7</f>
        <v>186</v>
      </c>
      <c r="D25" s="36">
        <f t="shared" si="2"/>
        <v>168</v>
      </c>
      <c r="E25" s="36">
        <f t="shared" si="2"/>
        <v>186</v>
      </c>
      <c r="F25" s="36">
        <f t="shared" si="2"/>
        <v>180</v>
      </c>
      <c r="G25" s="36">
        <f t="shared" si="2"/>
        <v>186</v>
      </c>
      <c r="H25" s="36">
        <f t="shared" si="2"/>
        <v>180</v>
      </c>
      <c r="I25" s="36">
        <f t="shared" si="2"/>
        <v>186</v>
      </c>
      <c r="J25" s="36">
        <f t="shared" si="2"/>
        <v>186</v>
      </c>
      <c r="K25" s="36">
        <f t="shared" si="2"/>
        <v>180</v>
      </c>
      <c r="L25" s="36">
        <f t="shared" si="2"/>
        <v>186</v>
      </c>
      <c r="M25" s="36">
        <f t="shared" si="2"/>
        <v>180</v>
      </c>
      <c r="N25" s="208">
        <f t="shared" si="2"/>
        <v>186</v>
      </c>
      <c r="O25" s="214">
        <f t="shared" ref="O25:O30" si="3">SUM(C25:N25)</f>
        <v>2190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ht="12.75" customHeight="1">
      <c r="A26" s="36">
        <v>2</v>
      </c>
      <c r="B26" s="36" t="s">
        <v>42</v>
      </c>
      <c r="C26" s="36">
        <f t="shared" si="2"/>
        <v>62</v>
      </c>
      <c r="D26" s="36">
        <f t="shared" si="2"/>
        <v>56</v>
      </c>
      <c r="E26" s="36">
        <f t="shared" si="2"/>
        <v>62</v>
      </c>
      <c r="F26" s="36">
        <f t="shared" si="2"/>
        <v>60</v>
      </c>
      <c r="G26" s="36">
        <f t="shared" si="2"/>
        <v>62</v>
      </c>
      <c r="H26" s="36">
        <f t="shared" si="2"/>
        <v>60</v>
      </c>
      <c r="I26" s="36">
        <f t="shared" si="2"/>
        <v>62</v>
      </c>
      <c r="J26" s="36">
        <f t="shared" si="2"/>
        <v>62</v>
      </c>
      <c r="K26" s="36">
        <f t="shared" si="2"/>
        <v>60</v>
      </c>
      <c r="L26" s="36">
        <f t="shared" si="2"/>
        <v>62</v>
      </c>
      <c r="M26" s="36">
        <f t="shared" si="2"/>
        <v>60</v>
      </c>
      <c r="N26" s="208">
        <f t="shared" si="2"/>
        <v>62</v>
      </c>
      <c r="O26" s="215">
        <f t="shared" si="3"/>
        <v>730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 ht="12.75" customHeight="1">
      <c r="A27" s="36">
        <v>3</v>
      </c>
      <c r="B27" s="36" t="s">
        <v>43</v>
      </c>
      <c r="C27" s="36">
        <f t="shared" si="2"/>
        <v>93</v>
      </c>
      <c r="D27" s="36">
        <f t="shared" si="2"/>
        <v>84</v>
      </c>
      <c r="E27" s="36">
        <f t="shared" si="2"/>
        <v>93</v>
      </c>
      <c r="F27" s="36">
        <f t="shared" si="2"/>
        <v>90</v>
      </c>
      <c r="G27" s="36">
        <f t="shared" si="2"/>
        <v>93</v>
      </c>
      <c r="H27" s="36">
        <f t="shared" si="2"/>
        <v>90</v>
      </c>
      <c r="I27" s="36">
        <f t="shared" si="2"/>
        <v>93</v>
      </c>
      <c r="J27" s="36">
        <f t="shared" si="2"/>
        <v>93</v>
      </c>
      <c r="K27" s="36">
        <f t="shared" si="2"/>
        <v>90</v>
      </c>
      <c r="L27" s="36">
        <f t="shared" si="2"/>
        <v>93</v>
      </c>
      <c r="M27" s="36">
        <f t="shared" si="2"/>
        <v>90</v>
      </c>
      <c r="N27" s="208">
        <f t="shared" si="2"/>
        <v>93</v>
      </c>
      <c r="O27" s="215">
        <f t="shared" si="3"/>
        <v>1095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 ht="12.75" customHeight="1">
      <c r="A28" s="36">
        <v>4</v>
      </c>
      <c r="B28" s="36" t="s">
        <v>44</v>
      </c>
      <c r="C28" s="36">
        <f t="shared" si="2"/>
        <v>248</v>
      </c>
      <c r="D28" s="36">
        <f t="shared" si="2"/>
        <v>224</v>
      </c>
      <c r="E28" s="36">
        <f t="shared" si="2"/>
        <v>248</v>
      </c>
      <c r="F28" s="36">
        <f t="shared" si="2"/>
        <v>240</v>
      </c>
      <c r="G28" s="36">
        <f t="shared" si="2"/>
        <v>248</v>
      </c>
      <c r="H28" s="36">
        <f t="shared" si="2"/>
        <v>240</v>
      </c>
      <c r="I28" s="36">
        <f t="shared" si="2"/>
        <v>248</v>
      </c>
      <c r="J28" s="36">
        <f t="shared" si="2"/>
        <v>248</v>
      </c>
      <c r="K28" s="36">
        <f t="shared" si="2"/>
        <v>240</v>
      </c>
      <c r="L28" s="36">
        <f t="shared" si="2"/>
        <v>248</v>
      </c>
      <c r="M28" s="36">
        <f t="shared" si="2"/>
        <v>240</v>
      </c>
      <c r="N28" s="208">
        <f t="shared" si="2"/>
        <v>248</v>
      </c>
      <c r="O28" s="215">
        <f t="shared" si="3"/>
        <v>2920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 ht="12.75" customHeight="1">
      <c r="A29" s="36">
        <v>5</v>
      </c>
      <c r="B29" s="36" t="s">
        <v>45</v>
      </c>
      <c r="C29" s="36">
        <f t="shared" si="2"/>
        <v>155</v>
      </c>
      <c r="D29" s="36">
        <f t="shared" si="2"/>
        <v>140</v>
      </c>
      <c r="E29" s="36">
        <f t="shared" si="2"/>
        <v>155</v>
      </c>
      <c r="F29" s="36">
        <f t="shared" si="2"/>
        <v>150</v>
      </c>
      <c r="G29" s="36">
        <f t="shared" si="2"/>
        <v>155</v>
      </c>
      <c r="H29" s="36">
        <f t="shared" si="2"/>
        <v>150</v>
      </c>
      <c r="I29" s="36">
        <f t="shared" si="2"/>
        <v>155</v>
      </c>
      <c r="J29" s="36">
        <f t="shared" si="2"/>
        <v>155</v>
      </c>
      <c r="K29" s="36">
        <f t="shared" si="2"/>
        <v>150</v>
      </c>
      <c r="L29" s="36">
        <f t="shared" si="2"/>
        <v>155</v>
      </c>
      <c r="M29" s="36">
        <f t="shared" si="2"/>
        <v>150</v>
      </c>
      <c r="N29" s="208">
        <f t="shared" si="2"/>
        <v>155</v>
      </c>
      <c r="O29" s="215">
        <f t="shared" si="3"/>
        <v>1825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 ht="12.75" customHeight="1">
      <c r="A30" s="36">
        <v>6</v>
      </c>
      <c r="B30" s="36" t="s">
        <v>46</v>
      </c>
      <c r="C30" s="36">
        <f t="shared" si="2"/>
        <v>186</v>
      </c>
      <c r="D30" s="36">
        <f t="shared" si="2"/>
        <v>168</v>
      </c>
      <c r="E30" s="36">
        <f t="shared" si="2"/>
        <v>186</v>
      </c>
      <c r="F30" s="36">
        <f t="shared" si="2"/>
        <v>180</v>
      </c>
      <c r="G30" s="36">
        <f t="shared" si="2"/>
        <v>186</v>
      </c>
      <c r="H30" s="36">
        <f t="shared" si="2"/>
        <v>180</v>
      </c>
      <c r="I30" s="36">
        <f t="shared" si="2"/>
        <v>186</v>
      </c>
      <c r="J30" s="36">
        <f t="shared" si="2"/>
        <v>186</v>
      </c>
      <c r="K30" s="36">
        <f t="shared" si="2"/>
        <v>180</v>
      </c>
      <c r="L30" s="36">
        <f t="shared" si="2"/>
        <v>186</v>
      </c>
      <c r="M30" s="36">
        <f t="shared" si="2"/>
        <v>180</v>
      </c>
      <c r="N30" s="208">
        <f t="shared" si="2"/>
        <v>186</v>
      </c>
      <c r="O30" s="215">
        <f t="shared" si="3"/>
        <v>2190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 ht="13.5" customHeight="1" thickBo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208"/>
      <c r="O31" s="21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 ht="13.5" customHeight="1" thickBot="1">
      <c r="A32" s="36"/>
      <c r="B32" s="45" t="s">
        <v>47</v>
      </c>
      <c r="C32" s="46">
        <f t="shared" ref="C32:O32" si="4">SUM(C25:C31)</f>
        <v>930</v>
      </c>
      <c r="D32" s="46">
        <f t="shared" si="4"/>
        <v>840</v>
      </c>
      <c r="E32" s="46">
        <f t="shared" si="4"/>
        <v>930</v>
      </c>
      <c r="F32" s="46">
        <f t="shared" si="4"/>
        <v>900</v>
      </c>
      <c r="G32" s="46">
        <f t="shared" si="4"/>
        <v>930</v>
      </c>
      <c r="H32" s="46">
        <f t="shared" si="4"/>
        <v>900</v>
      </c>
      <c r="I32" s="46">
        <f t="shared" si="4"/>
        <v>930</v>
      </c>
      <c r="J32" s="46">
        <f t="shared" si="4"/>
        <v>930</v>
      </c>
      <c r="K32" s="46">
        <f t="shared" si="4"/>
        <v>900</v>
      </c>
      <c r="L32" s="46">
        <f t="shared" si="4"/>
        <v>930</v>
      </c>
      <c r="M32" s="46">
        <f t="shared" si="4"/>
        <v>900</v>
      </c>
      <c r="N32" s="213">
        <f t="shared" si="4"/>
        <v>930</v>
      </c>
      <c r="O32" s="216">
        <f t="shared" si="4"/>
        <v>10950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 spans="1:30" ht="12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 ht="12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 spans="1:30" ht="30" customHeight="1">
      <c r="A35" s="36"/>
      <c r="B35" s="41" t="s">
        <v>49</v>
      </c>
      <c r="C35" s="36"/>
      <c r="D35" s="36"/>
      <c r="E35" s="36"/>
      <c r="F35" s="36"/>
      <c r="G35" s="200" t="s">
        <v>180</v>
      </c>
      <c r="H35" s="36"/>
      <c r="I35" s="36"/>
      <c r="J35" s="36"/>
      <c r="K35" s="36"/>
      <c r="L35" s="36"/>
      <c r="M35" s="36"/>
      <c r="N35" s="36"/>
      <c r="O35" s="36"/>
      <c r="P35" s="36"/>
      <c r="Q35" s="208"/>
      <c r="R35" s="209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</row>
    <row r="36" spans="1:30" ht="12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</row>
    <row r="37" spans="1:30" ht="18.75" customHeight="1">
      <c r="A37" s="36"/>
      <c r="B37" s="48" t="s">
        <v>50</v>
      </c>
      <c r="C37" s="49" t="s">
        <v>13</v>
      </c>
      <c r="D37" s="49" t="s">
        <v>14</v>
      </c>
      <c r="E37" s="49" t="s">
        <v>15</v>
      </c>
      <c r="F37" s="49" t="s">
        <v>16</v>
      </c>
      <c r="G37" s="49" t="s">
        <v>51</v>
      </c>
      <c r="H37" s="49" t="s">
        <v>18</v>
      </c>
      <c r="I37" s="49" t="s">
        <v>19</v>
      </c>
      <c r="J37" s="49" t="s">
        <v>20</v>
      </c>
      <c r="K37" s="49" t="s">
        <v>21</v>
      </c>
      <c r="L37" s="49" t="s">
        <v>22</v>
      </c>
      <c r="M37" s="49" t="s">
        <v>23</v>
      </c>
      <c r="N37" s="49" t="s">
        <v>24</v>
      </c>
      <c r="O37" s="36"/>
      <c r="P37" s="36"/>
      <c r="Q37" s="208"/>
      <c r="R37" s="210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</row>
    <row r="38" spans="1:30" ht="12.75" customHeight="1">
      <c r="A38" s="36">
        <v>1</v>
      </c>
      <c r="B38" s="50" t="s">
        <v>41</v>
      </c>
      <c r="C38" s="199">
        <f t="shared" ref="C38:E38" si="5">708.75/1.1</f>
        <v>644.31818181818176</v>
      </c>
      <c r="D38" s="199">
        <f t="shared" si="5"/>
        <v>644.31818181818176</v>
      </c>
      <c r="E38" s="199">
        <f t="shared" si="5"/>
        <v>644.31818181818176</v>
      </c>
      <c r="F38" s="199">
        <f>681.75/1.1</f>
        <v>619.77272727272725</v>
      </c>
      <c r="G38" s="199">
        <f>614.25/1.1</f>
        <v>558.40909090909088</v>
      </c>
      <c r="H38" s="199">
        <f t="shared" ref="H38:J38" si="6">594/1.1</f>
        <v>540</v>
      </c>
      <c r="I38" s="199">
        <f t="shared" si="6"/>
        <v>540</v>
      </c>
      <c r="J38" s="199">
        <f t="shared" si="6"/>
        <v>540</v>
      </c>
      <c r="K38" s="199">
        <f>546.75/1.1</f>
        <v>497.0454545454545</v>
      </c>
      <c r="L38" s="199">
        <f>533.25/1.1</f>
        <v>484.77272727272725</v>
      </c>
      <c r="M38" s="199">
        <f>560.25/1.1</f>
        <v>509.31818181818176</v>
      </c>
      <c r="N38" s="199">
        <f>776.25/1.1</f>
        <v>705.68181818181813</v>
      </c>
      <c r="O38" s="36"/>
      <c r="P38" s="36"/>
      <c r="Q38" s="208"/>
      <c r="R38" s="208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</row>
    <row r="39" spans="1:30" ht="12.75" customHeight="1">
      <c r="A39" s="36">
        <v>2</v>
      </c>
      <c r="B39" s="50" t="s">
        <v>42</v>
      </c>
      <c r="C39" s="199">
        <f t="shared" ref="C39:E39" si="7">654.75/1.1</f>
        <v>595.22727272727263</v>
      </c>
      <c r="D39" s="199">
        <f t="shared" si="7"/>
        <v>595.22727272727263</v>
      </c>
      <c r="E39" s="199">
        <f t="shared" si="7"/>
        <v>595.22727272727263</v>
      </c>
      <c r="F39" s="199">
        <f>621/1.1</f>
        <v>564.5454545454545</v>
      </c>
      <c r="G39" s="199">
        <f>587.25/1.1</f>
        <v>533.86363636363637</v>
      </c>
      <c r="H39" s="199">
        <f t="shared" ref="H39:J39" si="8">567/1.1</f>
        <v>515.45454545454538</v>
      </c>
      <c r="I39" s="199">
        <f t="shared" si="8"/>
        <v>515.45454545454538</v>
      </c>
      <c r="J39" s="199">
        <f t="shared" si="8"/>
        <v>515.45454545454538</v>
      </c>
      <c r="K39" s="199">
        <f>533.25/1.1</f>
        <v>484.77272727272725</v>
      </c>
      <c r="L39" s="199">
        <f>506.25/1.1</f>
        <v>460.22727272727269</v>
      </c>
      <c r="M39" s="199">
        <f>594/1.1</f>
        <v>540</v>
      </c>
      <c r="N39" s="199">
        <f>702/1.1</f>
        <v>638.18181818181813</v>
      </c>
      <c r="O39" s="36"/>
      <c r="P39" s="36"/>
      <c r="Q39" s="208"/>
      <c r="R39" s="208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</row>
    <row r="40" spans="1:30" ht="12.75" customHeight="1">
      <c r="A40" s="36">
        <v>3</v>
      </c>
      <c r="B40" s="50" t="s">
        <v>43</v>
      </c>
      <c r="C40" s="199">
        <f t="shared" ref="C40:E40" si="9">600.75/1.1</f>
        <v>546.13636363636363</v>
      </c>
      <c r="D40" s="199">
        <f t="shared" si="9"/>
        <v>546.13636363636363</v>
      </c>
      <c r="E40" s="199">
        <f t="shared" si="9"/>
        <v>546.13636363636363</v>
      </c>
      <c r="F40" s="199">
        <f>560.25/1.1</f>
        <v>509.31818181818176</v>
      </c>
      <c r="G40" s="199">
        <f>533.25/1.1</f>
        <v>484.77272727272725</v>
      </c>
      <c r="H40" s="199">
        <f t="shared" ref="H40:J40" si="10">506.25/1.1</f>
        <v>460.22727272727269</v>
      </c>
      <c r="I40" s="199">
        <f t="shared" si="10"/>
        <v>460.22727272727269</v>
      </c>
      <c r="J40" s="199">
        <f t="shared" si="10"/>
        <v>460.22727272727269</v>
      </c>
      <c r="K40" s="199">
        <f>479.25/1.1</f>
        <v>435.68181818181813</v>
      </c>
      <c r="L40" s="199">
        <f>445.5/1.1</f>
        <v>404.99999999999994</v>
      </c>
      <c r="M40" s="199">
        <f>486/1.1</f>
        <v>441.81818181818176</v>
      </c>
      <c r="N40" s="199">
        <f>654.75/1.1</f>
        <v>595.22727272727263</v>
      </c>
      <c r="O40" s="36"/>
      <c r="P40" s="36"/>
      <c r="Q40" s="208"/>
      <c r="R40" s="208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</row>
    <row r="41" spans="1:30" ht="12.75" customHeight="1">
      <c r="A41" s="36">
        <v>4</v>
      </c>
      <c r="B41" s="50" t="s">
        <v>44</v>
      </c>
      <c r="C41" s="199">
        <f t="shared" ref="C41:E41" si="11">533.25/1.1</f>
        <v>484.77272727272725</v>
      </c>
      <c r="D41" s="199">
        <f t="shared" si="11"/>
        <v>484.77272727272725</v>
      </c>
      <c r="E41" s="199">
        <f t="shared" si="11"/>
        <v>484.77272727272725</v>
      </c>
      <c r="F41" s="199">
        <f>486/1.1</f>
        <v>441.81818181818176</v>
      </c>
      <c r="G41" s="199">
        <f>445.5/1.1</f>
        <v>404.99999999999994</v>
      </c>
      <c r="H41" s="199">
        <f t="shared" ref="H41:J41" si="12">425.25/1.1</f>
        <v>386.59090909090907</v>
      </c>
      <c r="I41" s="199">
        <f t="shared" si="12"/>
        <v>386.59090909090907</v>
      </c>
      <c r="J41" s="199">
        <f t="shared" si="12"/>
        <v>386.59090909090907</v>
      </c>
      <c r="K41" s="199">
        <f>391.5/1.1</f>
        <v>355.90909090909088</v>
      </c>
      <c r="L41" s="199">
        <f>371.25/1.1</f>
        <v>337.5</v>
      </c>
      <c r="M41" s="199">
        <f>398.25/1.1</f>
        <v>362.0454545454545</v>
      </c>
      <c r="N41" s="199">
        <f>553.5/1.1</f>
        <v>503.18181818181813</v>
      </c>
      <c r="O41" s="36"/>
      <c r="P41" s="36"/>
      <c r="Q41" s="208"/>
      <c r="R41" s="208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</row>
    <row r="42" spans="1:30" ht="12.75" customHeight="1">
      <c r="A42" s="36">
        <v>5</v>
      </c>
      <c r="B42" s="50" t="s">
        <v>45</v>
      </c>
      <c r="C42" s="199">
        <f t="shared" ref="C42:E42" si="13">1073.25/1.1</f>
        <v>975.68181818181813</v>
      </c>
      <c r="D42" s="199">
        <f t="shared" si="13"/>
        <v>975.68181818181813</v>
      </c>
      <c r="E42" s="199">
        <f t="shared" si="13"/>
        <v>975.68181818181813</v>
      </c>
      <c r="F42" s="199">
        <f>978.75/1.1</f>
        <v>889.77272727272725</v>
      </c>
      <c r="G42" s="199">
        <f>884.25/1.1</f>
        <v>803.86363636363626</v>
      </c>
      <c r="H42" s="199">
        <f t="shared" ref="H42:J42" si="14">837/1.1</f>
        <v>760.90909090909088</v>
      </c>
      <c r="I42" s="199">
        <f t="shared" si="14"/>
        <v>760.90909090909088</v>
      </c>
      <c r="J42" s="199">
        <f t="shared" si="14"/>
        <v>760.90909090909088</v>
      </c>
      <c r="K42" s="199">
        <f>789.75/1.1</f>
        <v>717.95454545454538</v>
      </c>
      <c r="L42" s="199">
        <f>715.5/1.1</f>
        <v>650.45454545454538</v>
      </c>
      <c r="M42" s="199">
        <f>816.75/1.1</f>
        <v>742.49999999999989</v>
      </c>
      <c r="N42" s="199">
        <f>1059.75/1.1</f>
        <v>963.40909090909088</v>
      </c>
      <c r="O42" s="36"/>
      <c r="P42" s="36"/>
      <c r="Q42" s="208"/>
      <c r="R42" s="208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</row>
    <row r="43" spans="1:30" ht="12.75" customHeight="1">
      <c r="A43" s="36">
        <v>6</v>
      </c>
      <c r="B43" s="50" t="s">
        <v>46</v>
      </c>
      <c r="C43" s="199">
        <f t="shared" ref="C43:E43" si="15">1208.25/1.1</f>
        <v>1098.4090909090908</v>
      </c>
      <c r="D43" s="199">
        <f t="shared" si="15"/>
        <v>1098.4090909090908</v>
      </c>
      <c r="E43" s="199">
        <f t="shared" si="15"/>
        <v>1098.4090909090908</v>
      </c>
      <c r="F43" s="199">
        <f>1120.5/1.1</f>
        <v>1018.6363636363635</v>
      </c>
      <c r="G43" s="199">
        <f>999/1.1</f>
        <v>908.18181818181813</v>
      </c>
      <c r="H43" s="199">
        <f t="shared" ref="H43:J43" si="16">924.75/1.1</f>
        <v>840.68181818181813</v>
      </c>
      <c r="I43" s="199">
        <f t="shared" si="16"/>
        <v>840.68181818181813</v>
      </c>
      <c r="J43" s="199">
        <f t="shared" si="16"/>
        <v>840.68181818181813</v>
      </c>
      <c r="K43" s="199">
        <f>850.5/1.1</f>
        <v>773.18181818181813</v>
      </c>
      <c r="L43" s="199">
        <f>816.75/1.1</f>
        <v>742.49999999999989</v>
      </c>
      <c r="M43" s="199">
        <f>924.75/1.1</f>
        <v>840.68181818181813</v>
      </c>
      <c r="N43" s="199">
        <f>1307.45/1.1</f>
        <v>1188.590909090909</v>
      </c>
      <c r="O43" s="36"/>
      <c r="P43" s="36"/>
      <c r="Q43" s="208"/>
      <c r="R43" s="208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</row>
    <row r="44" spans="1:30" ht="12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</row>
    <row r="45" spans="1:30" ht="12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</row>
    <row r="46" spans="1:30" ht="12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</row>
    <row r="47" spans="1:30" ht="12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</row>
    <row r="48" spans="1:30" ht="30" customHeight="1">
      <c r="A48" s="36"/>
      <c r="B48" s="41" t="s">
        <v>52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530"/>
      <c r="R48" s="531"/>
      <c r="S48" s="531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</row>
    <row r="49" spans="1:30" ht="15.75" customHeight="1">
      <c r="A49" s="36"/>
      <c r="B49" s="36"/>
      <c r="C49" s="36" t="str">
        <f t="shared" ref="C49:M49" si="17">+C37</f>
        <v>January</v>
      </c>
      <c r="D49" s="36" t="str">
        <f t="shared" si="17"/>
        <v>February</v>
      </c>
      <c r="E49" s="36" t="str">
        <f t="shared" si="17"/>
        <v>March</v>
      </c>
      <c r="F49" s="36" t="str">
        <f t="shared" si="17"/>
        <v>April</v>
      </c>
      <c r="G49" s="36" t="str">
        <f t="shared" si="17"/>
        <v xml:space="preserve">May </v>
      </c>
      <c r="H49" s="36" t="str">
        <f t="shared" si="17"/>
        <v>June</v>
      </c>
      <c r="I49" s="36" t="str">
        <f t="shared" si="17"/>
        <v>July</v>
      </c>
      <c r="J49" s="36" t="str">
        <f t="shared" si="17"/>
        <v>August</v>
      </c>
      <c r="K49" s="36" t="str">
        <f t="shared" si="17"/>
        <v>September</v>
      </c>
      <c r="L49" s="36" t="str">
        <f t="shared" si="17"/>
        <v>October</v>
      </c>
      <c r="M49" s="36" t="str">
        <f t="shared" si="17"/>
        <v>November</v>
      </c>
      <c r="N49" s="36"/>
      <c r="O49" s="36"/>
      <c r="P49" s="36"/>
      <c r="Q49" s="52"/>
      <c r="R49" s="53"/>
      <c r="S49" s="53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ht="15" customHeight="1">
      <c r="A50" s="36"/>
      <c r="B50" s="36" t="s">
        <v>56</v>
      </c>
      <c r="C50" s="54">
        <v>0.6</v>
      </c>
      <c r="D50" s="54">
        <v>0.6</v>
      </c>
      <c r="E50" s="54">
        <v>0.6</v>
      </c>
      <c r="F50" s="54">
        <v>0.6</v>
      </c>
      <c r="G50" s="54">
        <v>0.6</v>
      </c>
      <c r="H50" s="54">
        <v>0.6</v>
      </c>
      <c r="I50" s="54">
        <v>0.6</v>
      </c>
      <c r="J50" s="54">
        <v>0.6</v>
      </c>
      <c r="K50" s="54">
        <v>0.6</v>
      </c>
      <c r="L50" s="54">
        <v>0.6</v>
      </c>
      <c r="M50" s="54">
        <v>0.6</v>
      </c>
      <c r="N50" s="54"/>
      <c r="O50" s="36"/>
      <c r="P50" s="36"/>
      <c r="Q50" s="52"/>
      <c r="R50" s="55"/>
      <c r="S50" s="55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ht="15" customHeight="1">
      <c r="A51" s="36"/>
      <c r="B51" s="36" t="s">
        <v>57</v>
      </c>
      <c r="C51" s="54">
        <v>0.05</v>
      </c>
      <c r="D51" s="54">
        <v>0.05</v>
      </c>
      <c r="E51" s="54">
        <v>0.05</v>
      </c>
      <c r="F51" s="54">
        <v>0.05</v>
      </c>
      <c r="G51" s="54">
        <v>0.05</v>
      </c>
      <c r="H51" s="54">
        <v>0.05</v>
      </c>
      <c r="I51" s="54">
        <v>0.05</v>
      </c>
      <c r="J51" s="54">
        <v>0.05</v>
      </c>
      <c r="K51" s="54">
        <v>0.05</v>
      </c>
      <c r="L51" s="54">
        <v>0.05</v>
      </c>
      <c r="M51" s="54">
        <v>0.05</v>
      </c>
      <c r="N51" s="54"/>
      <c r="O51" s="36"/>
      <c r="P51" s="36"/>
      <c r="Q51" s="52"/>
      <c r="R51" s="55"/>
      <c r="S51" s="55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ht="15" customHeight="1">
      <c r="A52" s="36"/>
      <c r="B52" s="36" t="s">
        <v>58</v>
      </c>
      <c r="C52" s="54">
        <v>0.35</v>
      </c>
      <c r="D52" s="54">
        <v>0.35</v>
      </c>
      <c r="E52" s="54">
        <v>0.35</v>
      </c>
      <c r="F52" s="54">
        <v>0.35</v>
      </c>
      <c r="G52" s="54">
        <v>0.35</v>
      </c>
      <c r="H52" s="54">
        <v>0.35</v>
      </c>
      <c r="I52" s="54">
        <v>0.35</v>
      </c>
      <c r="J52" s="54">
        <v>0.35</v>
      </c>
      <c r="K52" s="54">
        <v>0.35</v>
      </c>
      <c r="L52" s="54">
        <v>0.35</v>
      </c>
      <c r="M52" s="54">
        <v>0.35</v>
      </c>
      <c r="N52" s="54"/>
      <c r="O52" s="36"/>
      <c r="P52" s="36"/>
      <c r="Q52" s="52"/>
      <c r="R52" s="55"/>
      <c r="S52" s="55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ht="15" customHeight="1">
      <c r="A53" s="36"/>
      <c r="B53" s="201" t="s">
        <v>181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36"/>
      <c r="P53" s="36"/>
      <c r="Q53" s="52"/>
      <c r="R53" s="52"/>
      <c r="S53" s="52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ht="15" customHeight="1">
      <c r="A54" s="36"/>
      <c r="B54" s="201" t="s">
        <v>181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36"/>
      <c r="P54" s="36"/>
      <c r="Q54" s="52"/>
      <c r="R54" s="52"/>
      <c r="S54" s="52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ht="16.5" customHeight="1" thickBot="1">
      <c r="A55" s="36"/>
      <c r="B55" s="36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36"/>
      <c r="P55" s="36"/>
      <c r="Q55" s="506"/>
      <c r="R55" s="507"/>
      <c r="S55" s="507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ht="15.75" customHeight="1" thickBot="1">
      <c r="A56" s="36"/>
      <c r="B56" s="42" t="s">
        <v>47</v>
      </c>
      <c r="C56" s="56">
        <f t="shared" ref="C56:M56" si="18">SUM(C50:C55)</f>
        <v>1</v>
      </c>
      <c r="D56" s="56">
        <f t="shared" si="18"/>
        <v>1</v>
      </c>
      <c r="E56" s="56">
        <f t="shared" si="18"/>
        <v>1</v>
      </c>
      <c r="F56" s="56">
        <f t="shared" si="18"/>
        <v>1</v>
      </c>
      <c r="G56" s="56">
        <f t="shared" si="18"/>
        <v>1</v>
      </c>
      <c r="H56" s="56">
        <f t="shared" si="18"/>
        <v>1</v>
      </c>
      <c r="I56" s="56">
        <f t="shared" si="18"/>
        <v>1</v>
      </c>
      <c r="J56" s="56">
        <f t="shared" si="18"/>
        <v>1</v>
      </c>
      <c r="K56" s="56">
        <f t="shared" si="18"/>
        <v>1</v>
      </c>
      <c r="L56" s="56">
        <f t="shared" si="18"/>
        <v>1</v>
      </c>
      <c r="M56" s="56">
        <f t="shared" si="18"/>
        <v>1</v>
      </c>
      <c r="N56" s="57"/>
      <c r="O56" s="36"/>
      <c r="P56" s="36"/>
      <c r="Q56" s="52"/>
      <c r="R56" s="52"/>
      <c r="S56" s="52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52"/>
      <c r="R57" s="53"/>
      <c r="S57" s="53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ht="1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52"/>
      <c r="R58" s="55"/>
      <c r="S58" s="55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52"/>
      <c r="R59" s="55"/>
      <c r="S59" s="55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ht="30" customHeight="1">
      <c r="A60" s="36"/>
      <c r="B60" s="41" t="s">
        <v>60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52"/>
      <c r="R60" s="55"/>
      <c r="S60" s="55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ht="12.75" customHeight="1">
      <c r="A61" s="36"/>
      <c r="B61" s="36"/>
      <c r="C61" s="202" t="str">
        <f t="shared" ref="C61" si="19">+C37</f>
        <v>January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ht="12.75" customHeight="1">
      <c r="A62" s="36"/>
      <c r="B62" s="36" t="s">
        <v>56</v>
      </c>
      <c r="C62" s="217">
        <v>0.28000000000000003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ht="12.75" customHeight="1">
      <c r="A63" s="36"/>
      <c r="B63" s="36" t="s">
        <v>57</v>
      </c>
      <c r="C63" s="217">
        <v>0.2</v>
      </c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ht="12.75" customHeight="1">
      <c r="A64" s="36"/>
      <c r="B64" s="36" t="s">
        <v>58</v>
      </c>
      <c r="C64" s="217">
        <v>0</v>
      </c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ht="12.75" customHeight="1">
      <c r="A65" s="36"/>
      <c r="B65" s="201" t="s">
        <v>181</v>
      </c>
      <c r="C65" s="217">
        <v>0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ht="12.75" customHeight="1">
      <c r="A66" s="36"/>
      <c r="B66" s="201" t="s">
        <v>181</v>
      </c>
      <c r="C66" s="217">
        <v>0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ht="12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ht="12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ht="12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ht="12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ht="30" customHeight="1">
      <c r="A71" s="36"/>
      <c r="B71" s="41" t="s">
        <v>77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ht="12.75" customHeight="1">
      <c r="A72" s="36"/>
      <c r="B72" s="36" t="s">
        <v>78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 t="s">
        <v>79</v>
      </c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ht="12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ht="12.75" customHeight="1">
      <c r="A74" s="36"/>
      <c r="B74" s="36" t="s">
        <v>80</v>
      </c>
      <c r="C74" s="66">
        <v>0.65</v>
      </c>
      <c r="D74" s="66">
        <v>0.65</v>
      </c>
      <c r="E74" s="66">
        <v>0.65</v>
      </c>
      <c r="F74" s="66">
        <v>0.35</v>
      </c>
      <c r="G74" s="66">
        <v>0.35</v>
      </c>
      <c r="H74" s="66">
        <v>0.35</v>
      </c>
      <c r="I74" s="66">
        <v>0.35</v>
      </c>
      <c r="J74" s="66">
        <v>0.35</v>
      </c>
      <c r="K74" s="66">
        <v>0.35</v>
      </c>
      <c r="L74" s="66">
        <v>0</v>
      </c>
      <c r="M74" s="66">
        <v>0.45</v>
      </c>
      <c r="N74" s="66">
        <v>0.65</v>
      </c>
      <c r="O74" s="6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ht="18.75" customHeight="1">
      <c r="A75" s="36"/>
      <c r="B75" s="48" t="s">
        <v>50</v>
      </c>
      <c r="C75" s="49" t="s">
        <v>13</v>
      </c>
      <c r="D75" s="49" t="s">
        <v>14</v>
      </c>
      <c r="E75" s="49" t="s">
        <v>15</v>
      </c>
      <c r="F75" s="49" t="s">
        <v>16</v>
      </c>
      <c r="G75" s="49" t="s">
        <v>51</v>
      </c>
      <c r="H75" s="49" t="s">
        <v>18</v>
      </c>
      <c r="I75" s="49" t="s">
        <v>19</v>
      </c>
      <c r="J75" s="49" t="s">
        <v>20</v>
      </c>
      <c r="K75" s="49" t="s">
        <v>21</v>
      </c>
      <c r="L75" s="49" t="s">
        <v>22</v>
      </c>
      <c r="M75" s="49" t="s">
        <v>23</v>
      </c>
      <c r="N75" s="49" t="s">
        <v>24</v>
      </c>
      <c r="O75" s="49" t="s">
        <v>25</v>
      </c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ht="12.75" customHeight="1">
      <c r="A76" s="36"/>
      <c r="B76" s="50" t="s">
        <v>41</v>
      </c>
      <c r="C76" s="67">
        <f t="shared" ref="C76:N76" si="20">+C25*C$74</f>
        <v>120.9</v>
      </c>
      <c r="D76" s="67">
        <f t="shared" si="20"/>
        <v>109.2</v>
      </c>
      <c r="E76" s="67">
        <f t="shared" si="20"/>
        <v>120.9</v>
      </c>
      <c r="F76" s="67">
        <f t="shared" si="20"/>
        <v>62.999999999999993</v>
      </c>
      <c r="G76" s="67">
        <f t="shared" si="20"/>
        <v>65.099999999999994</v>
      </c>
      <c r="H76" s="67">
        <f t="shared" si="20"/>
        <v>62.999999999999993</v>
      </c>
      <c r="I76" s="67">
        <f t="shared" si="20"/>
        <v>65.099999999999994</v>
      </c>
      <c r="J76" s="67">
        <f t="shared" si="20"/>
        <v>65.099999999999994</v>
      </c>
      <c r="K76" s="67">
        <f t="shared" si="20"/>
        <v>62.999999999999993</v>
      </c>
      <c r="L76" s="67">
        <f t="shared" si="20"/>
        <v>0</v>
      </c>
      <c r="M76" s="67">
        <f t="shared" si="20"/>
        <v>81</v>
      </c>
      <c r="N76" s="67">
        <f t="shared" si="20"/>
        <v>120.9</v>
      </c>
      <c r="O76" s="67">
        <f t="shared" ref="O76:O82" si="21">SUM(C76:N76)</f>
        <v>937.2</v>
      </c>
      <c r="P76" s="36"/>
      <c r="Q76" s="36"/>
      <c r="R76" s="36" t="s">
        <v>81</v>
      </c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ht="12.75" customHeight="1">
      <c r="A77" s="36"/>
      <c r="B77" s="50" t="s">
        <v>42</v>
      </c>
      <c r="C77" s="67">
        <f t="shared" ref="C77:N77" si="22">+C26*C$74</f>
        <v>40.300000000000004</v>
      </c>
      <c r="D77" s="67">
        <f t="shared" si="22"/>
        <v>36.4</v>
      </c>
      <c r="E77" s="67">
        <f t="shared" si="22"/>
        <v>40.300000000000004</v>
      </c>
      <c r="F77" s="67">
        <f t="shared" si="22"/>
        <v>21</v>
      </c>
      <c r="G77" s="67">
        <f t="shared" si="22"/>
        <v>21.7</v>
      </c>
      <c r="H77" s="67">
        <f t="shared" si="22"/>
        <v>21</v>
      </c>
      <c r="I77" s="67">
        <f t="shared" si="22"/>
        <v>21.7</v>
      </c>
      <c r="J77" s="67">
        <f t="shared" si="22"/>
        <v>21.7</v>
      </c>
      <c r="K77" s="67">
        <f t="shared" si="22"/>
        <v>21</v>
      </c>
      <c r="L77" s="67">
        <f t="shared" si="22"/>
        <v>0</v>
      </c>
      <c r="M77" s="67">
        <f t="shared" si="22"/>
        <v>27</v>
      </c>
      <c r="N77" s="67">
        <f t="shared" si="22"/>
        <v>40.300000000000004</v>
      </c>
      <c r="O77" s="67">
        <f t="shared" si="21"/>
        <v>312.39999999999998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ht="12.75" customHeight="1">
      <c r="A78" s="36"/>
      <c r="B78" s="50" t="s">
        <v>43</v>
      </c>
      <c r="C78" s="67">
        <f t="shared" ref="C78:N78" si="23">+C27*C$74</f>
        <v>60.45</v>
      </c>
      <c r="D78" s="67">
        <f t="shared" si="23"/>
        <v>54.6</v>
      </c>
      <c r="E78" s="67">
        <f t="shared" si="23"/>
        <v>60.45</v>
      </c>
      <c r="F78" s="67">
        <f t="shared" si="23"/>
        <v>31.499999999999996</v>
      </c>
      <c r="G78" s="67">
        <f t="shared" si="23"/>
        <v>32.549999999999997</v>
      </c>
      <c r="H78" s="67">
        <f t="shared" si="23"/>
        <v>31.499999999999996</v>
      </c>
      <c r="I78" s="67">
        <f t="shared" si="23"/>
        <v>32.549999999999997</v>
      </c>
      <c r="J78" s="67">
        <f t="shared" si="23"/>
        <v>32.549999999999997</v>
      </c>
      <c r="K78" s="67">
        <f t="shared" si="23"/>
        <v>31.499999999999996</v>
      </c>
      <c r="L78" s="67">
        <f t="shared" si="23"/>
        <v>0</v>
      </c>
      <c r="M78" s="67">
        <f t="shared" si="23"/>
        <v>40.5</v>
      </c>
      <c r="N78" s="67">
        <f t="shared" si="23"/>
        <v>60.45</v>
      </c>
      <c r="O78" s="67">
        <f t="shared" si="21"/>
        <v>468.6</v>
      </c>
      <c r="P78" s="36"/>
      <c r="Q78" s="36"/>
      <c r="R78" s="36" t="s">
        <v>82</v>
      </c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ht="12.75" customHeight="1">
      <c r="A79" s="36"/>
      <c r="B79" s="50" t="s">
        <v>44</v>
      </c>
      <c r="C79" s="67">
        <f t="shared" ref="C79:N79" si="24">+C28*C$74</f>
        <v>161.20000000000002</v>
      </c>
      <c r="D79" s="67">
        <f t="shared" si="24"/>
        <v>145.6</v>
      </c>
      <c r="E79" s="67">
        <f t="shared" si="24"/>
        <v>161.20000000000002</v>
      </c>
      <c r="F79" s="67">
        <f t="shared" si="24"/>
        <v>84</v>
      </c>
      <c r="G79" s="67">
        <f t="shared" si="24"/>
        <v>86.8</v>
      </c>
      <c r="H79" s="67">
        <f t="shared" si="24"/>
        <v>84</v>
      </c>
      <c r="I79" s="67">
        <f t="shared" si="24"/>
        <v>86.8</v>
      </c>
      <c r="J79" s="67">
        <f t="shared" si="24"/>
        <v>86.8</v>
      </c>
      <c r="K79" s="67">
        <f t="shared" si="24"/>
        <v>84</v>
      </c>
      <c r="L79" s="67">
        <f t="shared" si="24"/>
        <v>0</v>
      </c>
      <c r="M79" s="67">
        <f t="shared" si="24"/>
        <v>108</v>
      </c>
      <c r="N79" s="67">
        <f t="shared" si="24"/>
        <v>161.20000000000002</v>
      </c>
      <c r="O79" s="67">
        <f t="shared" si="21"/>
        <v>1249.5999999999999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ht="12.75" customHeight="1">
      <c r="A80" s="36"/>
      <c r="B80" s="50" t="s">
        <v>45</v>
      </c>
      <c r="C80" s="67">
        <f t="shared" ref="C80:N80" si="25">+C29*C$74</f>
        <v>100.75</v>
      </c>
      <c r="D80" s="67">
        <f t="shared" si="25"/>
        <v>91</v>
      </c>
      <c r="E80" s="67">
        <f t="shared" si="25"/>
        <v>100.75</v>
      </c>
      <c r="F80" s="67">
        <f t="shared" si="25"/>
        <v>52.5</v>
      </c>
      <c r="G80" s="67">
        <f t="shared" si="25"/>
        <v>54.25</v>
      </c>
      <c r="H80" s="67">
        <f t="shared" si="25"/>
        <v>52.5</v>
      </c>
      <c r="I80" s="67">
        <f t="shared" si="25"/>
        <v>54.25</v>
      </c>
      <c r="J80" s="67">
        <f t="shared" si="25"/>
        <v>54.25</v>
      </c>
      <c r="K80" s="67">
        <f t="shared" si="25"/>
        <v>52.5</v>
      </c>
      <c r="L80" s="67">
        <f t="shared" si="25"/>
        <v>0</v>
      </c>
      <c r="M80" s="67">
        <f t="shared" si="25"/>
        <v>67.5</v>
      </c>
      <c r="N80" s="67">
        <f t="shared" si="25"/>
        <v>100.75</v>
      </c>
      <c r="O80" s="67">
        <f t="shared" si="21"/>
        <v>781</v>
      </c>
      <c r="P80" s="36"/>
      <c r="Q80" s="36"/>
      <c r="R80" s="36" t="s">
        <v>78</v>
      </c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ht="12.75" customHeight="1">
      <c r="A81" s="36"/>
      <c r="B81" s="50" t="s">
        <v>46</v>
      </c>
      <c r="C81" s="67">
        <f t="shared" ref="C81:N81" si="26">+C30*C$74</f>
        <v>120.9</v>
      </c>
      <c r="D81" s="67">
        <f t="shared" si="26"/>
        <v>109.2</v>
      </c>
      <c r="E81" s="67">
        <f t="shared" si="26"/>
        <v>120.9</v>
      </c>
      <c r="F81" s="67">
        <f t="shared" si="26"/>
        <v>62.999999999999993</v>
      </c>
      <c r="G81" s="67">
        <f t="shared" si="26"/>
        <v>65.099999999999994</v>
      </c>
      <c r="H81" s="67">
        <f t="shared" si="26"/>
        <v>62.999999999999993</v>
      </c>
      <c r="I81" s="67">
        <f t="shared" si="26"/>
        <v>65.099999999999994</v>
      </c>
      <c r="J81" s="67">
        <f t="shared" si="26"/>
        <v>65.099999999999994</v>
      </c>
      <c r="K81" s="67">
        <f t="shared" si="26"/>
        <v>62.999999999999993</v>
      </c>
      <c r="L81" s="67">
        <f t="shared" si="26"/>
        <v>0</v>
      </c>
      <c r="M81" s="67">
        <f t="shared" si="26"/>
        <v>81</v>
      </c>
      <c r="N81" s="67">
        <f t="shared" si="26"/>
        <v>120.9</v>
      </c>
      <c r="O81" s="67">
        <f t="shared" si="21"/>
        <v>937.2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ht="12.75" customHeight="1">
      <c r="A82" s="36"/>
      <c r="B82" s="36" t="s">
        <v>25</v>
      </c>
      <c r="C82" s="68">
        <f t="shared" ref="C82:N82" si="27">SUM(C76:C81)</f>
        <v>604.5</v>
      </c>
      <c r="D82" s="68">
        <f t="shared" si="27"/>
        <v>546</v>
      </c>
      <c r="E82" s="68">
        <f t="shared" si="27"/>
        <v>604.5</v>
      </c>
      <c r="F82" s="68">
        <f t="shared" si="27"/>
        <v>315</v>
      </c>
      <c r="G82" s="68">
        <f t="shared" si="27"/>
        <v>325.5</v>
      </c>
      <c r="H82" s="68">
        <f t="shared" si="27"/>
        <v>315</v>
      </c>
      <c r="I82" s="68">
        <f t="shared" si="27"/>
        <v>325.5</v>
      </c>
      <c r="J82" s="68">
        <f t="shared" si="27"/>
        <v>325.5</v>
      </c>
      <c r="K82" s="68">
        <f t="shared" si="27"/>
        <v>315</v>
      </c>
      <c r="L82" s="68">
        <f t="shared" si="27"/>
        <v>0</v>
      </c>
      <c r="M82" s="68">
        <f t="shared" si="27"/>
        <v>405</v>
      </c>
      <c r="N82" s="68">
        <f t="shared" si="27"/>
        <v>604.5</v>
      </c>
      <c r="O82" s="68">
        <f t="shared" si="21"/>
        <v>4686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ht="20.25" customHeight="1">
      <c r="A83" s="36"/>
      <c r="B83" s="36"/>
      <c r="C83" s="16">
        <f t="shared" ref="C83:O83" si="28">+C82/C32</f>
        <v>0.65</v>
      </c>
      <c r="D83" s="16">
        <f t="shared" si="28"/>
        <v>0.65</v>
      </c>
      <c r="E83" s="16">
        <f t="shared" si="28"/>
        <v>0.65</v>
      </c>
      <c r="F83" s="16">
        <f t="shared" si="28"/>
        <v>0.35</v>
      </c>
      <c r="G83" s="16">
        <f t="shared" si="28"/>
        <v>0.35</v>
      </c>
      <c r="H83" s="16">
        <f t="shared" si="28"/>
        <v>0.35</v>
      </c>
      <c r="I83" s="16">
        <f t="shared" si="28"/>
        <v>0.35</v>
      </c>
      <c r="J83" s="16">
        <f t="shared" si="28"/>
        <v>0.35</v>
      </c>
      <c r="K83" s="16">
        <f t="shared" si="28"/>
        <v>0.35</v>
      </c>
      <c r="L83" s="16">
        <f t="shared" si="28"/>
        <v>0</v>
      </c>
      <c r="M83" s="16">
        <f t="shared" si="28"/>
        <v>0.45</v>
      </c>
      <c r="N83" s="16">
        <f t="shared" si="28"/>
        <v>0.65</v>
      </c>
      <c r="O83" s="69">
        <f t="shared" si="28"/>
        <v>0.42794520547945203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ht="12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ht="12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ht="30" customHeight="1">
      <c r="A86" s="36"/>
      <c r="B86" s="41" t="s">
        <v>83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ht="12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ht="12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ht="12.75" customHeight="1">
      <c r="A89" s="36"/>
      <c r="B89" s="36" t="s">
        <v>80</v>
      </c>
      <c r="C89" s="66">
        <f t="shared" ref="C89:N89" si="29">+C74</f>
        <v>0.65</v>
      </c>
      <c r="D89" s="66">
        <f t="shared" si="29"/>
        <v>0.65</v>
      </c>
      <c r="E89" s="66">
        <f t="shared" si="29"/>
        <v>0.65</v>
      </c>
      <c r="F89" s="66">
        <f t="shared" si="29"/>
        <v>0.35</v>
      </c>
      <c r="G89" s="66">
        <f t="shared" si="29"/>
        <v>0.35</v>
      </c>
      <c r="H89" s="66">
        <f t="shared" si="29"/>
        <v>0.35</v>
      </c>
      <c r="I89" s="66">
        <f t="shared" si="29"/>
        <v>0.35</v>
      </c>
      <c r="J89" s="66">
        <f t="shared" si="29"/>
        <v>0.35</v>
      </c>
      <c r="K89" s="66">
        <f t="shared" si="29"/>
        <v>0.35</v>
      </c>
      <c r="L89" s="66">
        <f t="shared" si="29"/>
        <v>0</v>
      </c>
      <c r="M89" s="66">
        <f t="shared" si="29"/>
        <v>0.45</v>
      </c>
      <c r="N89" s="66">
        <f t="shared" si="29"/>
        <v>0.65</v>
      </c>
      <c r="O89" s="6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ht="18.75" customHeight="1">
      <c r="A90" s="36"/>
      <c r="B90" s="48" t="s">
        <v>50</v>
      </c>
      <c r="C90" s="49" t="s">
        <v>13</v>
      </c>
      <c r="D90" s="49" t="s">
        <v>14</v>
      </c>
      <c r="E90" s="49" t="s">
        <v>15</v>
      </c>
      <c r="F90" s="49" t="s">
        <v>16</v>
      </c>
      <c r="G90" s="49" t="s">
        <v>51</v>
      </c>
      <c r="H90" s="49" t="s">
        <v>18</v>
      </c>
      <c r="I90" s="49" t="s">
        <v>19</v>
      </c>
      <c r="J90" s="49" t="s">
        <v>20</v>
      </c>
      <c r="K90" s="49" t="s">
        <v>21</v>
      </c>
      <c r="L90" s="49" t="s">
        <v>22</v>
      </c>
      <c r="M90" s="49" t="s">
        <v>23</v>
      </c>
      <c r="N90" s="49" t="s">
        <v>24</v>
      </c>
      <c r="O90" s="49" t="s">
        <v>25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ht="12.75" customHeight="1">
      <c r="A91" s="36"/>
      <c r="B91" s="50" t="s">
        <v>41</v>
      </c>
      <c r="C91" s="70">
        <f t="shared" ref="C91:N91" si="30">+C76*C38</f>
        <v>77898.068181818177</v>
      </c>
      <c r="D91" s="70">
        <f t="shared" si="30"/>
        <v>70359.545454545456</v>
      </c>
      <c r="E91" s="70">
        <f t="shared" si="30"/>
        <v>77898.068181818177</v>
      </c>
      <c r="F91" s="70">
        <f t="shared" si="30"/>
        <v>39045.681818181809</v>
      </c>
      <c r="G91" s="70">
        <f t="shared" si="30"/>
        <v>36352.431818181816</v>
      </c>
      <c r="H91" s="70">
        <f t="shared" si="30"/>
        <v>34019.999999999993</v>
      </c>
      <c r="I91" s="70">
        <f t="shared" si="30"/>
        <v>35154</v>
      </c>
      <c r="J91" s="70">
        <f t="shared" si="30"/>
        <v>35154</v>
      </c>
      <c r="K91" s="70">
        <f t="shared" si="30"/>
        <v>31313.863636363629</v>
      </c>
      <c r="L91" s="70">
        <f t="shared" si="30"/>
        <v>0</v>
      </c>
      <c r="M91" s="70">
        <f t="shared" si="30"/>
        <v>41254.772727272721</v>
      </c>
      <c r="N91" s="70">
        <f t="shared" si="30"/>
        <v>85316.931818181809</v>
      </c>
      <c r="O91" s="70">
        <f t="shared" ref="O91:O96" si="31">SUM(C91:N91)</f>
        <v>563767.36363636365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ht="12.75" customHeight="1">
      <c r="A92" s="36"/>
      <c r="B92" s="50" t="s">
        <v>42</v>
      </c>
      <c r="C92" s="70">
        <f t="shared" ref="C92:N92" si="32">+C77*C39</f>
        <v>23987.659090909088</v>
      </c>
      <c r="D92" s="70">
        <f t="shared" si="32"/>
        <v>21666.272727272724</v>
      </c>
      <c r="E92" s="70">
        <f t="shared" si="32"/>
        <v>23987.659090909088</v>
      </c>
      <c r="F92" s="70">
        <f t="shared" si="32"/>
        <v>11855.454545454544</v>
      </c>
      <c r="G92" s="70">
        <f t="shared" si="32"/>
        <v>11584.840909090908</v>
      </c>
      <c r="H92" s="70">
        <f t="shared" si="32"/>
        <v>10824.545454545452</v>
      </c>
      <c r="I92" s="70">
        <f t="shared" si="32"/>
        <v>11185.363636363634</v>
      </c>
      <c r="J92" s="70">
        <f t="shared" si="32"/>
        <v>11185.363636363634</v>
      </c>
      <c r="K92" s="70">
        <f t="shared" si="32"/>
        <v>10180.227272727272</v>
      </c>
      <c r="L92" s="70">
        <f t="shared" si="32"/>
        <v>0</v>
      </c>
      <c r="M92" s="70">
        <f t="shared" si="32"/>
        <v>14580</v>
      </c>
      <c r="N92" s="70">
        <f t="shared" si="32"/>
        <v>25718.727272727272</v>
      </c>
      <c r="O92" s="70">
        <f t="shared" si="31"/>
        <v>176756.11363636362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ht="12.75" customHeight="1">
      <c r="A93" s="36"/>
      <c r="B93" s="50" t="s">
        <v>43</v>
      </c>
      <c r="C93" s="70">
        <f t="shared" ref="C93:N93" si="33">+C78*C40</f>
        <v>33013.943181818184</v>
      </c>
      <c r="D93" s="70">
        <f t="shared" si="33"/>
        <v>29819.045454545456</v>
      </c>
      <c r="E93" s="70">
        <f t="shared" si="33"/>
        <v>33013.943181818184</v>
      </c>
      <c r="F93" s="70">
        <f t="shared" si="33"/>
        <v>16043.522727272724</v>
      </c>
      <c r="G93" s="70">
        <f t="shared" si="33"/>
        <v>15779.35227272727</v>
      </c>
      <c r="H93" s="70">
        <f t="shared" si="33"/>
        <v>14497.159090909088</v>
      </c>
      <c r="I93" s="70">
        <f t="shared" si="33"/>
        <v>14980.397727272724</v>
      </c>
      <c r="J93" s="70">
        <f t="shared" si="33"/>
        <v>14980.397727272724</v>
      </c>
      <c r="K93" s="70">
        <f t="shared" si="33"/>
        <v>13723.97727272727</v>
      </c>
      <c r="L93" s="70">
        <f t="shared" si="33"/>
        <v>0</v>
      </c>
      <c r="M93" s="70">
        <f t="shared" si="33"/>
        <v>17893.63636363636</v>
      </c>
      <c r="N93" s="70">
        <f t="shared" si="33"/>
        <v>35981.488636363632</v>
      </c>
      <c r="O93" s="70">
        <f t="shared" si="31"/>
        <v>239726.86363636359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ht="12.75" customHeight="1">
      <c r="A94" s="36"/>
      <c r="B94" s="50" t="s">
        <v>44</v>
      </c>
      <c r="C94" s="70">
        <f t="shared" ref="C94:N94" si="34">+C79*C41</f>
        <v>78145.363636363647</v>
      </c>
      <c r="D94" s="70">
        <f t="shared" si="34"/>
        <v>70582.909090909088</v>
      </c>
      <c r="E94" s="70">
        <f t="shared" si="34"/>
        <v>78145.363636363647</v>
      </c>
      <c r="F94" s="70">
        <f t="shared" si="34"/>
        <v>37112.727272727265</v>
      </c>
      <c r="G94" s="70">
        <f t="shared" si="34"/>
        <v>35153.999999999993</v>
      </c>
      <c r="H94" s="70">
        <f t="shared" si="34"/>
        <v>32473.63636363636</v>
      </c>
      <c r="I94" s="70">
        <f t="shared" si="34"/>
        <v>33556.090909090904</v>
      </c>
      <c r="J94" s="70">
        <f t="shared" si="34"/>
        <v>33556.090909090904</v>
      </c>
      <c r="K94" s="70">
        <f t="shared" si="34"/>
        <v>29896.363636363632</v>
      </c>
      <c r="L94" s="70">
        <f t="shared" si="34"/>
        <v>0</v>
      </c>
      <c r="M94" s="70">
        <f t="shared" si="34"/>
        <v>39100.909090909088</v>
      </c>
      <c r="N94" s="70">
        <f t="shared" si="34"/>
        <v>81112.909090909088</v>
      </c>
      <c r="O94" s="70">
        <f t="shared" si="31"/>
        <v>548836.36363636353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ht="12.75" customHeight="1">
      <c r="A95" s="36"/>
      <c r="B95" s="50" t="s">
        <v>45</v>
      </c>
      <c r="C95" s="70">
        <f t="shared" ref="C95:N95" si="35">+C80*C42</f>
        <v>98299.943181818177</v>
      </c>
      <c r="D95" s="70">
        <f t="shared" si="35"/>
        <v>88787.045454545456</v>
      </c>
      <c r="E95" s="70">
        <f t="shared" si="35"/>
        <v>98299.943181818177</v>
      </c>
      <c r="F95" s="70">
        <f t="shared" si="35"/>
        <v>46713.068181818184</v>
      </c>
      <c r="G95" s="70">
        <f t="shared" si="35"/>
        <v>43609.602272727265</v>
      </c>
      <c r="H95" s="70">
        <f t="shared" si="35"/>
        <v>39947.727272727272</v>
      </c>
      <c r="I95" s="70">
        <f t="shared" si="35"/>
        <v>41279.318181818177</v>
      </c>
      <c r="J95" s="70">
        <f t="shared" si="35"/>
        <v>41279.318181818177</v>
      </c>
      <c r="K95" s="70">
        <f t="shared" si="35"/>
        <v>37692.613636363632</v>
      </c>
      <c r="L95" s="70">
        <f t="shared" si="35"/>
        <v>0</v>
      </c>
      <c r="M95" s="70">
        <f t="shared" si="35"/>
        <v>50118.749999999993</v>
      </c>
      <c r="N95" s="70">
        <f t="shared" si="35"/>
        <v>97063.465909090912</v>
      </c>
      <c r="O95" s="70">
        <f t="shared" si="31"/>
        <v>683090.79545454553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ht="12.75" customHeight="1">
      <c r="A96" s="36"/>
      <c r="B96" s="50" t="s">
        <v>46</v>
      </c>
      <c r="C96" s="70">
        <f t="shared" ref="C96:N96" si="36">+C81*C43</f>
        <v>132797.65909090909</v>
      </c>
      <c r="D96" s="70">
        <f t="shared" si="36"/>
        <v>119946.27272727272</v>
      </c>
      <c r="E96" s="70">
        <f t="shared" si="36"/>
        <v>132797.65909090909</v>
      </c>
      <c r="F96" s="70">
        <f t="shared" si="36"/>
        <v>64174.090909090897</v>
      </c>
      <c r="G96" s="70">
        <f t="shared" si="36"/>
        <v>59122.636363636353</v>
      </c>
      <c r="H96" s="70">
        <f t="shared" si="36"/>
        <v>52962.954545454537</v>
      </c>
      <c r="I96" s="70">
        <f t="shared" si="36"/>
        <v>54728.386363636353</v>
      </c>
      <c r="J96" s="70">
        <f t="shared" si="36"/>
        <v>54728.386363636353</v>
      </c>
      <c r="K96" s="70">
        <f t="shared" si="36"/>
        <v>48710.454545454537</v>
      </c>
      <c r="L96" s="70">
        <f t="shared" si="36"/>
        <v>0</v>
      </c>
      <c r="M96" s="70">
        <f t="shared" si="36"/>
        <v>68095.227272727265</v>
      </c>
      <c r="N96" s="70">
        <f t="shared" si="36"/>
        <v>143700.6409090909</v>
      </c>
      <c r="O96" s="70">
        <f t="shared" si="31"/>
        <v>931764.36818181816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ht="12.75" customHeight="1">
      <c r="A97" s="36"/>
      <c r="B97" s="36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ht="12.75" customHeight="1">
      <c r="A98" s="36"/>
      <c r="B98" s="72" t="s">
        <v>25</v>
      </c>
      <c r="C98" s="73">
        <f t="shared" ref="C98:N98" si="37">SUM(C91:C97)</f>
        <v>444142.63636363635</v>
      </c>
      <c r="D98" s="73">
        <f t="shared" si="37"/>
        <v>401161.09090909088</v>
      </c>
      <c r="E98" s="73">
        <f t="shared" si="37"/>
        <v>444142.63636363635</v>
      </c>
      <c r="F98" s="73">
        <f t="shared" si="37"/>
        <v>214944.54545454541</v>
      </c>
      <c r="G98" s="73">
        <f t="shared" si="37"/>
        <v>201602.86363636359</v>
      </c>
      <c r="H98" s="73">
        <f t="shared" si="37"/>
        <v>184726.02272727268</v>
      </c>
      <c r="I98" s="73">
        <f t="shared" si="37"/>
        <v>190883.55681818179</v>
      </c>
      <c r="J98" s="73">
        <f t="shared" si="37"/>
        <v>190883.55681818179</v>
      </c>
      <c r="K98" s="73">
        <f t="shared" si="37"/>
        <v>171517.49999999997</v>
      </c>
      <c r="L98" s="73">
        <f t="shared" si="37"/>
        <v>0</v>
      </c>
      <c r="M98" s="73">
        <f t="shared" si="37"/>
        <v>231043.29545454544</v>
      </c>
      <c r="N98" s="73">
        <f t="shared" si="37"/>
        <v>468894.16363636358</v>
      </c>
      <c r="O98" s="73">
        <f>SUM(C98:N98)</f>
        <v>3143941.8681818182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ht="12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ht="12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ht="12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ht="30" customHeight="1">
      <c r="A102" s="36"/>
      <c r="B102" s="41" t="s">
        <v>84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ht="30" customHeight="1">
      <c r="A103" s="36"/>
      <c r="B103" s="41"/>
      <c r="C103" s="36"/>
      <c r="D103" s="36" t="s">
        <v>85</v>
      </c>
      <c r="E103" s="36" t="s">
        <v>86</v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ht="30" customHeight="1">
      <c r="A104" s="36"/>
      <c r="B104" s="41" t="s">
        <v>56</v>
      </c>
      <c r="C104" s="36"/>
      <c r="D104" s="54">
        <f>+C50</f>
        <v>0.6</v>
      </c>
      <c r="E104" s="54">
        <f>+C62</f>
        <v>0.28000000000000003</v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ht="30" customHeight="1">
      <c r="A105" s="36"/>
      <c r="B105" s="41" t="s">
        <v>57</v>
      </c>
      <c r="C105" s="36"/>
      <c r="D105" s="54">
        <f>+C51</f>
        <v>0.05</v>
      </c>
      <c r="E105" s="54">
        <f>+C63</f>
        <v>0.2</v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ht="30" customHeight="1">
      <c r="A106" s="36"/>
      <c r="B106" s="41" t="s">
        <v>58</v>
      </c>
      <c r="C106" s="36"/>
      <c r="D106" s="54">
        <f>+C52</f>
        <v>0.35</v>
      </c>
      <c r="E106" s="54">
        <f>+C64</f>
        <v>0</v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ht="30" customHeight="1">
      <c r="A107" s="36"/>
      <c r="B107" s="201" t="s">
        <v>181</v>
      </c>
      <c r="C107" s="36"/>
      <c r="D107" s="54">
        <v>0</v>
      </c>
      <c r="E107" s="54">
        <v>0</v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ht="30" customHeight="1">
      <c r="A108" s="36"/>
      <c r="B108" s="201" t="s">
        <v>181</v>
      </c>
      <c r="C108" s="36"/>
      <c r="D108" s="54">
        <v>0</v>
      </c>
      <c r="E108" s="54">
        <v>0</v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ht="30.75" customHeight="1" thickBot="1">
      <c r="A109" s="36"/>
      <c r="B109" s="4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ht="30.75" customHeight="1" thickBot="1">
      <c r="A110" s="36"/>
      <c r="B110" s="41" t="s">
        <v>87</v>
      </c>
      <c r="C110" s="36"/>
      <c r="D110" s="75" cm="1">
        <f t="array" ref="D110">SUMPRODUCT(D104:D108,1-(E104:E108))</f>
        <v>0.82199999999999995</v>
      </c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ht="30" customHeight="1">
      <c r="A111" s="36"/>
      <c r="B111" s="4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ht="30" customHeight="1">
      <c r="A112" s="36"/>
      <c r="B112" s="41" t="s">
        <v>88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ht="12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ht="12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ht="12.75" customHeight="1">
      <c r="A115" s="36"/>
      <c r="B115" s="36" t="s">
        <v>80</v>
      </c>
      <c r="C115" s="66">
        <f t="shared" ref="C115:N115" si="38">+C89</f>
        <v>0.65</v>
      </c>
      <c r="D115" s="66">
        <f t="shared" si="38"/>
        <v>0.65</v>
      </c>
      <c r="E115" s="66">
        <f t="shared" si="38"/>
        <v>0.65</v>
      </c>
      <c r="F115" s="66">
        <f t="shared" si="38"/>
        <v>0.35</v>
      </c>
      <c r="G115" s="66">
        <f t="shared" si="38"/>
        <v>0.35</v>
      </c>
      <c r="H115" s="66">
        <f t="shared" si="38"/>
        <v>0.35</v>
      </c>
      <c r="I115" s="66">
        <f t="shared" si="38"/>
        <v>0.35</v>
      </c>
      <c r="J115" s="66">
        <f t="shared" si="38"/>
        <v>0.35</v>
      </c>
      <c r="K115" s="66">
        <f t="shared" si="38"/>
        <v>0.35</v>
      </c>
      <c r="L115" s="66">
        <f t="shared" si="38"/>
        <v>0</v>
      </c>
      <c r="M115" s="66">
        <f t="shared" si="38"/>
        <v>0.45</v>
      </c>
      <c r="N115" s="66">
        <f t="shared" si="38"/>
        <v>0.65</v>
      </c>
      <c r="O115" s="66">
        <f>+O83</f>
        <v>0.42794520547945203</v>
      </c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ht="18.75" customHeight="1">
      <c r="A116" s="36"/>
      <c r="B116" s="48" t="s">
        <v>50</v>
      </c>
      <c r="C116" s="49" t="s">
        <v>13</v>
      </c>
      <c r="D116" s="49" t="s">
        <v>14</v>
      </c>
      <c r="E116" s="49" t="s">
        <v>15</v>
      </c>
      <c r="F116" s="49" t="s">
        <v>16</v>
      </c>
      <c r="G116" s="49" t="s">
        <v>51</v>
      </c>
      <c r="H116" s="49" t="s">
        <v>18</v>
      </c>
      <c r="I116" s="49" t="s">
        <v>19</v>
      </c>
      <c r="J116" s="49" t="s">
        <v>20</v>
      </c>
      <c r="K116" s="49" t="s">
        <v>21</v>
      </c>
      <c r="L116" s="49" t="s">
        <v>22</v>
      </c>
      <c r="M116" s="49" t="s">
        <v>23</v>
      </c>
      <c r="N116" s="49" t="s">
        <v>24</v>
      </c>
      <c r="O116" s="49" t="s">
        <v>25</v>
      </c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ht="12.75" customHeight="1">
      <c r="A117" s="36"/>
      <c r="B117" s="50" t="s">
        <v>41</v>
      </c>
      <c r="C117" s="70">
        <f t="shared" ref="C117:N117" si="39">(1-$D$110)*C91</f>
        <v>13865.85613636364</v>
      </c>
      <c r="D117" s="70">
        <f t="shared" si="39"/>
        <v>12523.999090909094</v>
      </c>
      <c r="E117" s="70">
        <f t="shared" si="39"/>
        <v>13865.85613636364</v>
      </c>
      <c r="F117" s="70">
        <f t="shared" si="39"/>
        <v>6950.1313636363639</v>
      </c>
      <c r="G117" s="70">
        <f t="shared" si="39"/>
        <v>6470.7328636363654</v>
      </c>
      <c r="H117" s="70">
        <f t="shared" si="39"/>
        <v>6055.56</v>
      </c>
      <c r="I117" s="70">
        <f t="shared" si="39"/>
        <v>6257.4120000000021</v>
      </c>
      <c r="J117" s="70">
        <f t="shared" si="39"/>
        <v>6257.4120000000021</v>
      </c>
      <c r="K117" s="70">
        <f t="shared" si="39"/>
        <v>5573.8677272727273</v>
      </c>
      <c r="L117" s="70">
        <f t="shared" si="39"/>
        <v>0</v>
      </c>
      <c r="M117" s="70">
        <f t="shared" si="39"/>
        <v>7343.3495454545464</v>
      </c>
      <c r="N117" s="70">
        <f t="shared" si="39"/>
        <v>15186.413863636366</v>
      </c>
      <c r="O117" s="70">
        <f t="shared" ref="O117:O122" si="40">SUM(C117:N117)</f>
        <v>100350.59072727273</v>
      </c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ht="12.75" customHeight="1">
      <c r="A118" s="36"/>
      <c r="B118" s="50" t="s">
        <v>42</v>
      </c>
      <c r="C118" s="70">
        <f t="shared" ref="C118:N118" si="41">(1-$D$110)*C92</f>
        <v>4269.8033181818191</v>
      </c>
      <c r="D118" s="70">
        <f t="shared" si="41"/>
        <v>3856.5965454545458</v>
      </c>
      <c r="E118" s="70">
        <f t="shared" si="41"/>
        <v>4269.8033181818191</v>
      </c>
      <c r="F118" s="70">
        <f t="shared" si="41"/>
        <v>2110.2709090909093</v>
      </c>
      <c r="G118" s="70">
        <f t="shared" si="41"/>
        <v>2062.101681818182</v>
      </c>
      <c r="H118" s="70">
        <f t="shared" si="41"/>
        <v>1926.7690909090911</v>
      </c>
      <c r="I118" s="70">
        <f t="shared" si="41"/>
        <v>1990.9947272727275</v>
      </c>
      <c r="J118" s="70">
        <f t="shared" si="41"/>
        <v>1990.9947272727275</v>
      </c>
      <c r="K118" s="70">
        <f t="shared" si="41"/>
        <v>1812.0804545454548</v>
      </c>
      <c r="L118" s="70">
        <f t="shared" si="41"/>
        <v>0</v>
      </c>
      <c r="M118" s="70">
        <f t="shared" si="41"/>
        <v>2595.2400000000007</v>
      </c>
      <c r="N118" s="70">
        <f t="shared" si="41"/>
        <v>4577.9334545454558</v>
      </c>
      <c r="O118" s="70">
        <f t="shared" si="40"/>
        <v>31462.588227272732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ht="12.75" customHeight="1">
      <c r="A119" s="36"/>
      <c r="B119" s="50" t="s">
        <v>43</v>
      </c>
      <c r="C119" s="70">
        <f t="shared" ref="C119:N119" si="42">(1-$D$110)*C93</f>
        <v>5876.4818863636383</v>
      </c>
      <c r="D119" s="70">
        <f t="shared" si="42"/>
        <v>5307.7900909090922</v>
      </c>
      <c r="E119" s="70">
        <f t="shared" si="42"/>
        <v>5876.4818863636383</v>
      </c>
      <c r="F119" s="70">
        <f t="shared" si="42"/>
        <v>2855.7470454545455</v>
      </c>
      <c r="G119" s="70">
        <f t="shared" si="42"/>
        <v>2808.7247045454546</v>
      </c>
      <c r="H119" s="70">
        <f t="shared" si="42"/>
        <v>2580.4943181818185</v>
      </c>
      <c r="I119" s="70">
        <f t="shared" si="42"/>
        <v>2666.5107954545456</v>
      </c>
      <c r="J119" s="70">
        <f t="shared" si="42"/>
        <v>2666.5107954545456</v>
      </c>
      <c r="K119" s="70">
        <f t="shared" si="42"/>
        <v>2442.8679545454547</v>
      </c>
      <c r="L119" s="70">
        <f t="shared" si="42"/>
        <v>0</v>
      </c>
      <c r="M119" s="70">
        <f t="shared" si="42"/>
        <v>3185.0672727272731</v>
      </c>
      <c r="N119" s="70">
        <f t="shared" si="42"/>
        <v>6404.7049772727287</v>
      </c>
      <c r="O119" s="70">
        <f t="shared" si="40"/>
        <v>42671.381727272739</v>
      </c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ht="12.75" customHeight="1">
      <c r="A120" s="36"/>
      <c r="B120" s="50" t="s">
        <v>44</v>
      </c>
      <c r="C120" s="70">
        <f t="shared" ref="C120:N120" si="43">(1-$D$110)*C94</f>
        <v>13909.874727272732</v>
      </c>
      <c r="D120" s="70">
        <f t="shared" si="43"/>
        <v>12563.757818181821</v>
      </c>
      <c r="E120" s="70">
        <f t="shared" si="43"/>
        <v>13909.874727272732</v>
      </c>
      <c r="F120" s="70">
        <f t="shared" si="43"/>
        <v>6606.0654545454545</v>
      </c>
      <c r="G120" s="70">
        <f t="shared" si="43"/>
        <v>6257.4120000000003</v>
      </c>
      <c r="H120" s="70">
        <f t="shared" si="43"/>
        <v>5780.3072727272738</v>
      </c>
      <c r="I120" s="70">
        <f t="shared" si="43"/>
        <v>5972.9841818181822</v>
      </c>
      <c r="J120" s="70">
        <f t="shared" si="43"/>
        <v>5972.9841818181822</v>
      </c>
      <c r="K120" s="70">
        <f t="shared" si="43"/>
        <v>5321.5527272727277</v>
      </c>
      <c r="L120" s="70">
        <f t="shared" si="43"/>
        <v>0</v>
      </c>
      <c r="M120" s="70">
        <f t="shared" si="43"/>
        <v>6959.9618181818196</v>
      </c>
      <c r="N120" s="70">
        <f t="shared" si="43"/>
        <v>14438.097818181821</v>
      </c>
      <c r="O120" s="70">
        <f t="shared" si="40"/>
        <v>97692.872727272756</v>
      </c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ht="12.75" customHeight="1">
      <c r="A121" s="36"/>
      <c r="B121" s="50" t="s">
        <v>45</v>
      </c>
      <c r="C121" s="70">
        <f t="shared" ref="C121:N121" si="44">(1-$D$110)*C95</f>
        <v>17497.389886363639</v>
      </c>
      <c r="D121" s="70">
        <f t="shared" si="44"/>
        <v>15804.094090909095</v>
      </c>
      <c r="E121" s="70">
        <f t="shared" si="44"/>
        <v>17497.389886363639</v>
      </c>
      <c r="F121" s="70">
        <f t="shared" si="44"/>
        <v>8314.9261363636397</v>
      </c>
      <c r="G121" s="70">
        <f t="shared" si="44"/>
        <v>7762.5092045454548</v>
      </c>
      <c r="H121" s="70">
        <f t="shared" si="44"/>
        <v>7110.6954545454564</v>
      </c>
      <c r="I121" s="70">
        <f t="shared" si="44"/>
        <v>7347.7186363636374</v>
      </c>
      <c r="J121" s="70">
        <f t="shared" si="44"/>
        <v>7347.7186363636374</v>
      </c>
      <c r="K121" s="70">
        <f t="shared" si="44"/>
        <v>6709.2852272727287</v>
      </c>
      <c r="L121" s="70">
        <f t="shared" si="44"/>
        <v>0</v>
      </c>
      <c r="M121" s="70">
        <f t="shared" si="44"/>
        <v>8921.1375000000007</v>
      </c>
      <c r="N121" s="70">
        <f t="shared" si="44"/>
        <v>17277.296931818186</v>
      </c>
      <c r="O121" s="70">
        <f t="shared" si="40"/>
        <v>121590.16159090912</v>
      </c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ht="17.25" customHeight="1">
      <c r="A122" s="36"/>
      <c r="B122" s="50" t="s">
        <v>46</v>
      </c>
      <c r="C122" s="70">
        <f t="shared" ref="C122:N122" si="45">(1-$D$110)*C96</f>
        <v>23637.983318181825</v>
      </c>
      <c r="D122" s="70">
        <f t="shared" si="45"/>
        <v>21350.436545454551</v>
      </c>
      <c r="E122" s="70">
        <f t="shared" si="45"/>
        <v>23637.983318181825</v>
      </c>
      <c r="F122" s="70">
        <f t="shared" si="45"/>
        <v>11422.988181818182</v>
      </c>
      <c r="G122" s="70">
        <f t="shared" si="45"/>
        <v>10523.829272727273</v>
      </c>
      <c r="H122" s="70">
        <f t="shared" si="45"/>
        <v>9427.4059090909104</v>
      </c>
      <c r="I122" s="70">
        <f t="shared" si="45"/>
        <v>9741.6527727272733</v>
      </c>
      <c r="J122" s="70">
        <f t="shared" si="45"/>
        <v>9741.6527727272733</v>
      </c>
      <c r="K122" s="70">
        <f t="shared" si="45"/>
        <v>8670.4609090909107</v>
      </c>
      <c r="L122" s="70">
        <f t="shared" si="45"/>
        <v>0</v>
      </c>
      <c r="M122" s="70">
        <f t="shared" si="45"/>
        <v>12120.950454545457</v>
      </c>
      <c r="N122" s="70">
        <f t="shared" si="45"/>
        <v>25578.714081818187</v>
      </c>
      <c r="O122" s="70">
        <f t="shared" si="40"/>
        <v>165854.05753636369</v>
      </c>
      <c r="P122" s="36"/>
      <c r="Q122" s="7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ht="12.75" customHeight="1">
      <c r="A123" s="36"/>
      <c r="B123" s="36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36"/>
      <c r="Q123" s="77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ht="12.75" customHeight="1">
      <c r="A124" s="36"/>
      <c r="B124" s="72" t="s">
        <v>25</v>
      </c>
      <c r="C124" s="73">
        <f t="shared" ref="C124:N124" si="46">SUM(C117:C123)</f>
        <v>79057.389272727291</v>
      </c>
      <c r="D124" s="73">
        <f t="shared" si="46"/>
        <v>71406.674181818205</v>
      </c>
      <c r="E124" s="73">
        <f t="shared" si="46"/>
        <v>79057.389272727291</v>
      </c>
      <c r="F124" s="73">
        <f t="shared" si="46"/>
        <v>38260.129090909097</v>
      </c>
      <c r="G124" s="73">
        <f t="shared" si="46"/>
        <v>35885.309727272732</v>
      </c>
      <c r="H124" s="73">
        <f t="shared" si="46"/>
        <v>32881.232045454555</v>
      </c>
      <c r="I124" s="73">
        <f t="shared" si="46"/>
        <v>33977.273113636373</v>
      </c>
      <c r="J124" s="73">
        <f t="shared" si="46"/>
        <v>33977.273113636373</v>
      </c>
      <c r="K124" s="73">
        <f t="shared" si="46"/>
        <v>30530.115000000005</v>
      </c>
      <c r="L124" s="73">
        <f t="shared" si="46"/>
        <v>0</v>
      </c>
      <c r="M124" s="73">
        <f t="shared" si="46"/>
        <v>41125.706590909096</v>
      </c>
      <c r="N124" s="73">
        <f t="shared" si="46"/>
        <v>83463.161127272746</v>
      </c>
      <c r="O124" s="73">
        <f>SUM(C124:N124)</f>
        <v>559621.65253636369</v>
      </c>
      <c r="P124" s="36"/>
      <c r="Q124" s="77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ht="12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ht="12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ht="30" customHeight="1">
      <c r="A127" s="36"/>
      <c r="B127" s="41" t="s">
        <v>91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ht="12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ht="12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ht="12.75" customHeight="1">
      <c r="A130" s="36"/>
      <c r="B130" s="36" t="s">
        <v>80</v>
      </c>
      <c r="C130" s="66">
        <v>0.85</v>
      </c>
      <c r="D130" s="66">
        <v>0.85</v>
      </c>
      <c r="E130" s="66">
        <v>0.85</v>
      </c>
      <c r="F130" s="66">
        <v>0.5</v>
      </c>
      <c r="G130" s="66">
        <v>0.5</v>
      </c>
      <c r="H130" s="66">
        <v>0.5</v>
      </c>
      <c r="I130" s="66">
        <v>0.5</v>
      </c>
      <c r="J130" s="66">
        <v>0.5</v>
      </c>
      <c r="K130" s="66">
        <v>0.5</v>
      </c>
      <c r="L130" s="66">
        <v>0.5</v>
      </c>
      <c r="M130" s="66">
        <v>0.6</v>
      </c>
      <c r="N130" s="66">
        <v>0.65</v>
      </c>
      <c r="O130" s="6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ht="18.75" customHeight="1">
      <c r="A131" s="36"/>
      <c r="B131" s="48" t="s">
        <v>50</v>
      </c>
      <c r="C131" s="49" t="s">
        <v>13</v>
      </c>
      <c r="D131" s="49" t="s">
        <v>14</v>
      </c>
      <c r="E131" s="49" t="s">
        <v>15</v>
      </c>
      <c r="F131" s="49" t="s">
        <v>16</v>
      </c>
      <c r="G131" s="49" t="s">
        <v>51</v>
      </c>
      <c r="H131" s="49" t="s">
        <v>18</v>
      </c>
      <c r="I131" s="49" t="s">
        <v>19</v>
      </c>
      <c r="J131" s="49" t="s">
        <v>20</v>
      </c>
      <c r="K131" s="49" t="s">
        <v>21</v>
      </c>
      <c r="L131" s="49" t="s">
        <v>22</v>
      </c>
      <c r="M131" s="49" t="s">
        <v>23</v>
      </c>
      <c r="N131" s="49" t="s">
        <v>24</v>
      </c>
      <c r="O131" s="49" t="s">
        <v>25</v>
      </c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ht="12.75" customHeight="1">
      <c r="A132" s="36"/>
      <c r="B132" s="50" t="s">
        <v>41</v>
      </c>
      <c r="C132" s="70">
        <f t="shared" ref="C132:N132" si="47">+C91-C117</f>
        <v>64032.212045454537</v>
      </c>
      <c r="D132" s="70">
        <f t="shared" si="47"/>
        <v>57835.546363636364</v>
      </c>
      <c r="E132" s="70">
        <f t="shared" si="47"/>
        <v>64032.212045454537</v>
      </c>
      <c r="F132" s="70">
        <f t="shared" si="47"/>
        <v>32095.550454545446</v>
      </c>
      <c r="G132" s="70">
        <f t="shared" si="47"/>
        <v>29881.698954545449</v>
      </c>
      <c r="H132" s="70">
        <f t="shared" si="47"/>
        <v>27964.439999999991</v>
      </c>
      <c r="I132" s="70">
        <f t="shared" si="47"/>
        <v>28896.587999999996</v>
      </c>
      <c r="J132" s="70">
        <f t="shared" si="47"/>
        <v>28896.587999999996</v>
      </c>
      <c r="K132" s="70">
        <f t="shared" si="47"/>
        <v>25739.995909090903</v>
      </c>
      <c r="L132" s="70">
        <f t="shared" si="47"/>
        <v>0</v>
      </c>
      <c r="M132" s="70">
        <f t="shared" si="47"/>
        <v>33911.423181818172</v>
      </c>
      <c r="N132" s="70">
        <f t="shared" si="47"/>
        <v>70130.517954545445</v>
      </c>
      <c r="O132" s="70">
        <f t="shared" ref="O132:O138" si="48">SUM(C132:N132)</f>
        <v>463416.7729090908</v>
      </c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ht="12.75" customHeight="1">
      <c r="A133" s="36"/>
      <c r="B133" s="50" t="s">
        <v>42</v>
      </c>
      <c r="C133" s="70">
        <f t="shared" ref="C133:N133" si="49">+C92-C118</f>
        <v>19717.855772727271</v>
      </c>
      <c r="D133" s="70">
        <f t="shared" si="49"/>
        <v>17809.676181818177</v>
      </c>
      <c r="E133" s="70">
        <f t="shared" si="49"/>
        <v>19717.855772727271</v>
      </c>
      <c r="F133" s="70">
        <f t="shared" si="49"/>
        <v>9745.1836363636357</v>
      </c>
      <c r="G133" s="70">
        <f t="shared" si="49"/>
        <v>9522.7392272727266</v>
      </c>
      <c r="H133" s="70">
        <f t="shared" si="49"/>
        <v>8897.7763636363616</v>
      </c>
      <c r="I133" s="70">
        <f t="shared" si="49"/>
        <v>9194.3689090909065</v>
      </c>
      <c r="J133" s="70">
        <f t="shared" si="49"/>
        <v>9194.3689090909065</v>
      </c>
      <c r="K133" s="70">
        <f t="shared" si="49"/>
        <v>8368.1468181818163</v>
      </c>
      <c r="L133" s="70">
        <f t="shared" si="49"/>
        <v>0</v>
      </c>
      <c r="M133" s="70">
        <f t="shared" si="49"/>
        <v>11984.759999999998</v>
      </c>
      <c r="N133" s="70">
        <f t="shared" si="49"/>
        <v>21140.793818181817</v>
      </c>
      <c r="O133" s="70">
        <f t="shared" si="48"/>
        <v>145293.52540909089</v>
      </c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ht="12.75" customHeight="1">
      <c r="A134" s="36"/>
      <c r="B134" s="50" t="s">
        <v>43</v>
      </c>
      <c r="C134" s="70">
        <f t="shared" ref="C134:N134" si="50">+C93-C119</f>
        <v>27137.461295454545</v>
      </c>
      <c r="D134" s="70">
        <f t="shared" si="50"/>
        <v>24511.255363636363</v>
      </c>
      <c r="E134" s="70">
        <f t="shared" si="50"/>
        <v>27137.461295454545</v>
      </c>
      <c r="F134" s="70">
        <f t="shared" si="50"/>
        <v>13187.775681818179</v>
      </c>
      <c r="G134" s="70">
        <f t="shared" si="50"/>
        <v>12970.627568181815</v>
      </c>
      <c r="H134" s="70">
        <f t="shared" si="50"/>
        <v>11916.66477272727</v>
      </c>
      <c r="I134" s="70">
        <f t="shared" si="50"/>
        <v>12313.886931818179</v>
      </c>
      <c r="J134" s="70">
        <f t="shared" si="50"/>
        <v>12313.886931818179</v>
      </c>
      <c r="K134" s="70">
        <f t="shared" si="50"/>
        <v>11281.109318181816</v>
      </c>
      <c r="L134" s="70">
        <f t="shared" si="50"/>
        <v>0</v>
      </c>
      <c r="M134" s="70">
        <f t="shared" si="50"/>
        <v>14708.569090909088</v>
      </c>
      <c r="N134" s="70">
        <f t="shared" si="50"/>
        <v>29576.783659090903</v>
      </c>
      <c r="O134" s="70">
        <f t="shared" si="48"/>
        <v>197055.48190909089</v>
      </c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ht="12.75" customHeight="1">
      <c r="A135" s="36"/>
      <c r="B135" s="50" t="s">
        <v>44</v>
      </c>
      <c r="C135" s="70">
        <f t="shared" ref="C135:N135" si="51">+C94-C120</f>
        <v>64235.488909090913</v>
      </c>
      <c r="D135" s="70">
        <f t="shared" si="51"/>
        <v>58019.151272727264</v>
      </c>
      <c r="E135" s="70">
        <f t="shared" si="51"/>
        <v>64235.488909090913</v>
      </c>
      <c r="F135" s="70">
        <f t="shared" si="51"/>
        <v>30506.661818181812</v>
      </c>
      <c r="G135" s="70">
        <f t="shared" si="51"/>
        <v>28896.587999999992</v>
      </c>
      <c r="H135" s="70">
        <f t="shared" si="51"/>
        <v>26693.329090909087</v>
      </c>
      <c r="I135" s="70">
        <f t="shared" si="51"/>
        <v>27583.106727272723</v>
      </c>
      <c r="J135" s="70">
        <f t="shared" si="51"/>
        <v>27583.106727272723</v>
      </c>
      <c r="K135" s="70">
        <f t="shared" si="51"/>
        <v>24574.810909090906</v>
      </c>
      <c r="L135" s="70">
        <f t="shared" si="51"/>
        <v>0</v>
      </c>
      <c r="M135" s="70">
        <f t="shared" si="51"/>
        <v>32140.94727272727</v>
      </c>
      <c r="N135" s="70">
        <f t="shared" si="51"/>
        <v>66674.811272727267</v>
      </c>
      <c r="O135" s="70">
        <f t="shared" si="48"/>
        <v>451143.49090909091</v>
      </c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ht="12.75" customHeight="1">
      <c r="A136" s="36"/>
      <c r="B136" s="50" t="s">
        <v>45</v>
      </c>
      <c r="C136" s="70">
        <f t="shared" ref="C136:N136" si="52">+C95-C121</f>
        <v>80802.553295454534</v>
      </c>
      <c r="D136" s="70">
        <f t="shared" si="52"/>
        <v>72982.951363636355</v>
      </c>
      <c r="E136" s="70">
        <f t="shared" si="52"/>
        <v>80802.553295454534</v>
      </c>
      <c r="F136" s="70">
        <f t="shared" si="52"/>
        <v>38398.142045454544</v>
      </c>
      <c r="G136" s="70">
        <f t="shared" si="52"/>
        <v>35847.093068181814</v>
      </c>
      <c r="H136" s="70">
        <f t="shared" si="52"/>
        <v>32837.031818181815</v>
      </c>
      <c r="I136" s="70">
        <f t="shared" si="52"/>
        <v>33931.599545454541</v>
      </c>
      <c r="J136" s="70">
        <f t="shared" si="52"/>
        <v>33931.599545454541</v>
      </c>
      <c r="K136" s="70">
        <f t="shared" si="52"/>
        <v>30983.328409090904</v>
      </c>
      <c r="L136" s="70">
        <f t="shared" si="52"/>
        <v>0</v>
      </c>
      <c r="M136" s="70">
        <f t="shared" si="52"/>
        <v>41197.612499999988</v>
      </c>
      <c r="N136" s="70">
        <f t="shared" si="52"/>
        <v>79786.168977272726</v>
      </c>
      <c r="O136" s="70">
        <f t="shared" si="48"/>
        <v>561500.63386363629</v>
      </c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ht="12.75" customHeight="1">
      <c r="A137" s="36"/>
      <c r="B137" s="50" t="s">
        <v>46</v>
      </c>
      <c r="C137" s="70">
        <f t="shared" ref="C137:N137" si="53">+C96-C122</f>
        <v>109159.67577272726</v>
      </c>
      <c r="D137" s="70">
        <f t="shared" si="53"/>
        <v>98595.836181818173</v>
      </c>
      <c r="E137" s="70">
        <f t="shared" si="53"/>
        <v>109159.67577272726</v>
      </c>
      <c r="F137" s="70">
        <f t="shared" si="53"/>
        <v>52751.102727272715</v>
      </c>
      <c r="G137" s="70">
        <f t="shared" si="53"/>
        <v>48598.807090909082</v>
      </c>
      <c r="H137" s="70">
        <f t="shared" si="53"/>
        <v>43535.54863636363</v>
      </c>
      <c r="I137" s="70">
        <f t="shared" si="53"/>
        <v>44986.733590909076</v>
      </c>
      <c r="J137" s="70">
        <f t="shared" si="53"/>
        <v>44986.733590909076</v>
      </c>
      <c r="K137" s="70">
        <f t="shared" si="53"/>
        <v>40039.993636363622</v>
      </c>
      <c r="L137" s="70">
        <f t="shared" si="53"/>
        <v>0</v>
      </c>
      <c r="M137" s="70">
        <f t="shared" si="53"/>
        <v>55974.27681818181</v>
      </c>
      <c r="N137" s="70">
        <f t="shared" si="53"/>
        <v>118121.92682727272</v>
      </c>
      <c r="O137" s="70">
        <f t="shared" si="48"/>
        <v>765910.31064545456</v>
      </c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ht="12.75" customHeight="1">
      <c r="A138" s="36"/>
      <c r="B138" s="72" t="s">
        <v>25</v>
      </c>
      <c r="C138" s="73">
        <f t="shared" ref="C138:N138" si="54">SUM(C132:C137)</f>
        <v>365085.24709090905</v>
      </c>
      <c r="D138" s="73">
        <f t="shared" si="54"/>
        <v>329754.41672727268</v>
      </c>
      <c r="E138" s="73">
        <f t="shared" si="54"/>
        <v>365085.24709090905</v>
      </c>
      <c r="F138" s="73">
        <f t="shared" si="54"/>
        <v>176684.41636363632</v>
      </c>
      <c r="G138" s="73">
        <f t="shared" si="54"/>
        <v>165717.55390909087</v>
      </c>
      <c r="H138" s="73">
        <f t="shared" si="54"/>
        <v>151844.79068181815</v>
      </c>
      <c r="I138" s="73">
        <f t="shared" si="54"/>
        <v>156906.28370454544</v>
      </c>
      <c r="J138" s="73">
        <f t="shared" si="54"/>
        <v>156906.28370454544</v>
      </c>
      <c r="K138" s="73">
        <f t="shared" si="54"/>
        <v>140987.38499999995</v>
      </c>
      <c r="L138" s="73">
        <f t="shared" si="54"/>
        <v>0</v>
      </c>
      <c r="M138" s="73">
        <f t="shared" si="54"/>
        <v>189917.58886363631</v>
      </c>
      <c r="N138" s="73">
        <f t="shared" si="54"/>
        <v>385431.00250909093</v>
      </c>
      <c r="O138" s="73">
        <f t="shared" si="48"/>
        <v>2584320.2156454539</v>
      </c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 spans="1:30" ht="1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78">
        <f>+O138/O82</f>
        <v>551.49812540449295</v>
      </c>
      <c r="P139" s="36">
        <v>487</v>
      </c>
      <c r="Q139" s="79">
        <f>+O139-P139</f>
        <v>64.498125404492953</v>
      </c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 spans="1:30" ht="13.5" customHeight="1" thickBo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 spans="1:30" ht="38.25" customHeight="1" thickBot="1">
      <c r="A141" s="36"/>
      <c r="B141" s="532" t="s">
        <v>92</v>
      </c>
      <c r="C141" s="533"/>
      <c r="D141" s="533"/>
      <c r="E141" s="533"/>
      <c r="F141" s="533"/>
      <c r="G141" s="533"/>
      <c r="H141" s="533"/>
      <c r="I141" s="533"/>
      <c r="J141" s="533"/>
      <c r="K141" s="533"/>
      <c r="L141" s="533"/>
      <c r="M141" s="533"/>
      <c r="N141" s="533"/>
      <c r="O141" s="534"/>
      <c r="P141" s="36"/>
      <c r="Q141" s="80">
        <f>+Q139/P139</f>
        <v>0.13243968255542701</v>
      </c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 spans="1:30" ht="12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 spans="1:30" ht="12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 spans="1:30" ht="12.75" customHeight="1">
      <c r="A144" s="36"/>
      <c r="B144" s="36" t="s">
        <v>80</v>
      </c>
      <c r="C144" s="66">
        <v>0.85</v>
      </c>
      <c r="D144" s="66">
        <v>0.85</v>
      </c>
      <c r="E144" s="66">
        <v>0.85</v>
      </c>
      <c r="F144" s="66">
        <v>0.5</v>
      </c>
      <c r="G144" s="66">
        <v>0.5</v>
      </c>
      <c r="H144" s="66">
        <v>0.5</v>
      </c>
      <c r="I144" s="66">
        <v>0.5</v>
      </c>
      <c r="J144" s="66">
        <v>0.5</v>
      </c>
      <c r="K144" s="66">
        <v>0.5</v>
      </c>
      <c r="L144" s="66">
        <v>0.5</v>
      </c>
      <c r="M144" s="66">
        <v>0.6</v>
      </c>
      <c r="N144" s="66">
        <v>0.65</v>
      </c>
      <c r="O144" s="6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 spans="1:30" ht="18.75" customHeight="1">
      <c r="A145" s="36"/>
      <c r="B145" s="48" t="s">
        <v>50</v>
      </c>
      <c r="C145" s="49" t="s">
        <v>13</v>
      </c>
      <c r="D145" s="49" t="s">
        <v>14</v>
      </c>
      <c r="E145" s="49" t="s">
        <v>15</v>
      </c>
      <c r="F145" s="49" t="s">
        <v>16</v>
      </c>
      <c r="G145" s="49" t="s">
        <v>51</v>
      </c>
      <c r="H145" s="49" t="s">
        <v>18</v>
      </c>
      <c r="I145" s="49" t="s">
        <v>19</v>
      </c>
      <c r="J145" s="49" t="s">
        <v>20</v>
      </c>
      <c r="K145" s="49" t="s">
        <v>21</v>
      </c>
      <c r="L145" s="49" t="s">
        <v>22</v>
      </c>
      <c r="M145" s="49" t="s">
        <v>23</v>
      </c>
      <c r="N145" s="49" t="s">
        <v>24</v>
      </c>
      <c r="O145" s="49" t="s">
        <v>25</v>
      </c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 spans="1:30" ht="12.75" customHeight="1">
      <c r="A146" s="36"/>
      <c r="B146" s="50" t="s">
        <v>41</v>
      </c>
      <c r="C146" s="70">
        <f t="shared" ref="C146:O146" si="55">+C132/C76</f>
        <v>529.62954545454534</v>
      </c>
      <c r="D146" s="70">
        <f t="shared" si="55"/>
        <v>529.62954545454545</v>
      </c>
      <c r="E146" s="70">
        <f t="shared" si="55"/>
        <v>529.62954545454534</v>
      </c>
      <c r="F146" s="70">
        <f t="shared" si="55"/>
        <v>509.45318181818175</v>
      </c>
      <c r="G146" s="70">
        <f t="shared" si="55"/>
        <v>459.01227272727266</v>
      </c>
      <c r="H146" s="70">
        <f t="shared" si="55"/>
        <v>443.87999999999994</v>
      </c>
      <c r="I146" s="70">
        <f t="shared" si="55"/>
        <v>443.88</v>
      </c>
      <c r="J146" s="70">
        <f t="shared" si="55"/>
        <v>443.88</v>
      </c>
      <c r="K146" s="70">
        <f t="shared" si="55"/>
        <v>408.57136363636357</v>
      </c>
      <c r="L146" s="70" t="e">
        <f t="shared" si="55"/>
        <v>#DIV/0!</v>
      </c>
      <c r="M146" s="70">
        <f t="shared" si="55"/>
        <v>418.65954545454537</v>
      </c>
      <c r="N146" s="70">
        <f t="shared" si="55"/>
        <v>580.07045454545448</v>
      </c>
      <c r="O146" s="70">
        <f t="shared" si="55"/>
        <v>494.46945466185531</v>
      </c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 spans="1:30" ht="12.75" customHeight="1">
      <c r="A147" s="36"/>
      <c r="B147" s="50" t="s">
        <v>42</v>
      </c>
      <c r="C147" s="70">
        <f t="shared" ref="C147:O147" si="56">+C133/C77</f>
        <v>489.2768181818181</v>
      </c>
      <c r="D147" s="70">
        <f t="shared" si="56"/>
        <v>489.27681818181804</v>
      </c>
      <c r="E147" s="70">
        <f t="shared" si="56"/>
        <v>489.2768181818181</v>
      </c>
      <c r="F147" s="70">
        <f t="shared" si="56"/>
        <v>464.05636363636359</v>
      </c>
      <c r="G147" s="70">
        <f t="shared" si="56"/>
        <v>438.83590909090907</v>
      </c>
      <c r="H147" s="70">
        <f t="shared" si="56"/>
        <v>423.70363636363629</v>
      </c>
      <c r="I147" s="70">
        <f t="shared" si="56"/>
        <v>423.70363636363624</v>
      </c>
      <c r="J147" s="70">
        <f t="shared" si="56"/>
        <v>423.70363636363624</v>
      </c>
      <c r="K147" s="70">
        <f t="shared" si="56"/>
        <v>398.48318181818172</v>
      </c>
      <c r="L147" s="70" t="e">
        <f t="shared" si="56"/>
        <v>#DIV/0!</v>
      </c>
      <c r="M147" s="70">
        <f t="shared" si="56"/>
        <v>443.87999999999994</v>
      </c>
      <c r="N147" s="70">
        <f t="shared" si="56"/>
        <v>524.58545454545447</v>
      </c>
      <c r="O147" s="70">
        <f t="shared" si="56"/>
        <v>465.08810950413221</v>
      </c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 spans="1:30" ht="12.75" customHeight="1">
      <c r="A148" s="36"/>
      <c r="B148" s="50" t="s">
        <v>43</v>
      </c>
      <c r="C148" s="70">
        <f t="shared" ref="C148:O148" si="57">+C134/C78</f>
        <v>448.92409090909086</v>
      </c>
      <c r="D148" s="70">
        <f t="shared" si="57"/>
        <v>448.92409090909086</v>
      </c>
      <c r="E148" s="70">
        <f t="shared" si="57"/>
        <v>448.92409090909086</v>
      </c>
      <c r="F148" s="70">
        <f t="shared" si="57"/>
        <v>418.65954545454542</v>
      </c>
      <c r="G148" s="70">
        <f t="shared" si="57"/>
        <v>398.48318181818178</v>
      </c>
      <c r="H148" s="70">
        <f t="shared" si="57"/>
        <v>378.30681818181813</v>
      </c>
      <c r="I148" s="70">
        <f t="shared" si="57"/>
        <v>378.30681818181813</v>
      </c>
      <c r="J148" s="70">
        <f t="shared" si="57"/>
        <v>378.30681818181813</v>
      </c>
      <c r="K148" s="70">
        <f t="shared" si="57"/>
        <v>358.13045454545454</v>
      </c>
      <c r="L148" s="70" t="e">
        <f t="shared" si="57"/>
        <v>#DIV/0!</v>
      </c>
      <c r="M148" s="70">
        <f t="shared" si="57"/>
        <v>363.17454545454541</v>
      </c>
      <c r="N148" s="70">
        <f t="shared" si="57"/>
        <v>489.27681818181804</v>
      </c>
      <c r="O148" s="70">
        <f t="shared" si="57"/>
        <v>420.51959434291695</v>
      </c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 spans="1:30" ht="12.75" customHeight="1">
      <c r="A149" s="36"/>
      <c r="B149" s="50" t="s">
        <v>44</v>
      </c>
      <c r="C149" s="70">
        <f t="shared" ref="C149:O149" si="58">+C135/C79</f>
        <v>398.48318181818178</v>
      </c>
      <c r="D149" s="70">
        <f t="shared" si="58"/>
        <v>398.48318181818178</v>
      </c>
      <c r="E149" s="70">
        <f t="shared" si="58"/>
        <v>398.48318181818178</v>
      </c>
      <c r="F149" s="70">
        <f t="shared" si="58"/>
        <v>363.17454545454541</v>
      </c>
      <c r="G149" s="70">
        <f t="shared" si="58"/>
        <v>332.90999999999991</v>
      </c>
      <c r="H149" s="70">
        <f t="shared" si="58"/>
        <v>317.77772727272725</v>
      </c>
      <c r="I149" s="70">
        <f t="shared" si="58"/>
        <v>317.77772727272725</v>
      </c>
      <c r="J149" s="70">
        <f t="shared" si="58"/>
        <v>317.77772727272725</v>
      </c>
      <c r="K149" s="70">
        <f t="shared" si="58"/>
        <v>292.55727272727268</v>
      </c>
      <c r="L149" s="70" t="e">
        <f t="shared" si="58"/>
        <v>#DIV/0!</v>
      </c>
      <c r="M149" s="70">
        <f t="shared" si="58"/>
        <v>297.6013636363636</v>
      </c>
      <c r="N149" s="70">
        <f t="shared" si="58"/>
        <v>413.61545454545444</v>
      </c>
      <c r="O149" s="70">
        <f t="shared" si="58"/>
        <v>361.0303224304505</v>
      </c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 spans="1:30" ht="12.75" customHeight="1">
      <c r="A150" s="36"/>
      <c r="B150" s="50" t="s">
        <v>45</v>
      </c>
      <c r="C150" s="70">
        <f t="shared" ref="C150:O150" si="59">+C136/C80</f>
        <v>802.01045454545442</v>
      </c>
      <c r="D150" s="70">
        <f t="shared" si="59"/>
        <v>802.01045454545442</v>
      </c>
      <c r="E150" s="70">
        <f t="shared" si="59"/>
        <v>802.01045454545442</v>
      </c>
      <c r="F150" s="70">
        <f t="shared" si="59"/>
        <v>731.3931818181818</v>
      </c>
      <c r="G150" s="70">
        <f t="shared" si="59"/>
        <v>660.77590909090895</v>
      </c>
      <c r="H150" s="70">
        <f t="shared" si="59"/>
        <v>625.46727272727264</v>
      </c>
      <c r="I150" s="70">
        <f t="shared" si="59"/>
        <v>625.46727272727264</v>
      </c>
      <c r="J150" s="70">
        <f t="shared" si="59"/>
        <v>625.46727272727264</v>
      </c>
      <c r="K150" s="70">
        <f t="shared" si="59"/>
        <v>590.15863636363622</v>
      </c>
      <c r="L150" s="70" t="e">
        <f t="shared" si="59"/>
        <v>#DIV/0!</v>
      </c>
      <c r="M150" s="70">
        <f t="shared" si="59"/>
        <v>610.33499999999981</v>
      </c>
      <c r="N150" s="70">
        <f t="shared" si="59"/>
        <v>791.92227272727268</v>
      </c>
      <c r="O150" s="70">
        <f t="shared" si="59"/>
        <v>718.9508756256547</v>
      </c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 spans="1:30" ht="13.5" customHeight="1" thickBot="1">
      <c r="A151" s="36"/>
      <c r="B151" s="50" t="s">
        <v>46</v>
      </c>
      <c r="C151" s="70">
        <f t="shared" ref="C151:O151" si="60">+C137/C81</f>
        <v>902.8922727272726</v>
      </c>
      <c r="D151" s="70">
        <f t="shared" si="60"/>
        <v>902.8922727272726</v>
      </c>
      <c r="E151" s="70">
        <f t="shared" si="60"/>
        <v>902.8922727272726</v>
      </c>
      <c r="F151" s="70">
        <f t="shared" si="60"/>
        <v>837.31909090909085</v>
      </c>
      <c r="G151" s="70">
        <f t="shared" si="60"/>
        <v>746.52545454545452</v>
      </c>
      <c r="H151" s="70">
        <f t="shared" si="60"/>
        <v>691.04045454545451</v>
      </c>
      <c r="I151" s="70">
        <f t="shared" si="60"/>
        <v>691.04045454545439</v>
      </c>
      <c r="J151" s="70">
        <f t="shared" si="60"/>
        <v>691.04045454545439</v>
      </c>
      <c r="K151" s="70">
        <f t="shared" si="60"/>
        <v>635.55545454545438</v>
      </c>
      <c r="L151" s="70" t="e">
        <f t="shared" si="60"/>
        <v>#DIV/0!</v>
      </c>
      <c r="M151" s="70">
        <f t="shared" si="60"/>
        <v>691.04045454545439</v>
      </c>
      <c r="N151" s="70">
        <f t="shared" si="60"/>
        <v>977.02172727272716</v>
      </c>
      <c r="O151" s="81">
        <f t="shared" si="60"/>
        <v>817.23251242579443</v>
      </c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 spans="1:30" ht="18.75" customHeight="1" thickBot="1">
      <c r="A152" s="36"/>
      <c r="B152" s="72" t="s">
        <v>25</v>
      </c>
      <c r="C152" s="82">
        <f t="shared" ref="C152:O152" si="61">+C138/C82</f>
        <v>603.94581818181814</v>
      </c>
      <c r="D152" s="82">
        <f t="shared" si="61"/>
        <v>603.94581818181814</v>
      </c>
      <c r="E152" s="82">
        <f t="shared" si="61"/>
        <v>603.94581818181814</v>
      </c>
      <c r="F152" s="82">
        <f t="shared" si="61"/>
        <v>560.90290909090891</v>
      </c>
      <c r="G152" s="82">
        <f t="shared" si="61"/>
        <v>509.11690909090896</v>
      </c>
      <c r="H152" s="82">
        <f t="shared" si="61"/>
        <v>482.04695454545447</v>
      </c>
      <c r="I152" s="82">
        <f t="shared" si="61"/>
        <v>482.04695454545447</v>
      </c>
      <c r="J152" s="82">
        <f t="shared" si="61"/>
        <v>482.04695454545447</v>
      </c>
      <c r="K152" s="82">
        <f t="shared" si="61"/>
        <v>447.57899999999984</v>
      </c>
      <c r="L152" s="82" t="e">
        <f t="shared" si="61"/>
        <v>#DIV/0!</v>
      </c>
      <c r="M152" s="82">
        <f t="shared" si="61"/>
        <v>468.93231818181806</v>
      </c>
      <c r="N152" s="83">
        <f t="shared" si="61"/>
        <v>637.60298181818189</v>
      </c>
      <c r="O152" s="84">
        <f t="shared" si="61"/>
        <v>551.49812540449295</v>
      </c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 spans="1:30" ht="12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 spans="1:30" ht="12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>
        <v>487</v>
      </c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 spans="1:30" ht="30" customHeight="1">
      <c r="A155" s="36"/>
      <c r="B155" s="41" t="s">
        <v>93</v>
      </c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71">
        <f>+O152-O154</f>
        <v>64.498125404492953</v>
      </c>
      <c r="P155" s="16">
        <f>+O155/O154</f>
        <v>0.13243968255542701</v>
      </c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 spans="1:30" ht="12.75" customHeight="1" thickBo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 spans="1:30" ht="22.5" customHeight="1" thickBot="1">
      <c r="A157" s="36"/>
      <c r="B157" s="36" t="s">
        <v>94</v>
      </c>
      <c r="C157" s="203">
        <v>1.7</v>
      </c>
      <c r="D157" s="204">
        <v>1.7</v>
      </c>
      <c r="E157" s="204">
        <v>1.7</v>
      </c>
      <c r="F157" s="204">
        <v>1.7</v>
      </c>
      <c r="G157" s="204">
        <v>1.7</v>
      </c>
      <c r="H157" s="204">
        <v>1.7</v>
      </c>
      <c r="I157" s="204">
        <v>1.7</v>
      </c>
      <c r="J157" s="204">
        <v>1.7</v>
      </c>
      <c r="K157" s="204">
        <v>1.7</v>
      </c>
      <c r="L157" s="204">
        <v>1.7</v>
      </c>
      <c r="M157" s="204">
        <v>1.7</v>
      </c>
      <c r="N157" s="205">
        <v>1.7</v>
      </c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spans="1:30" ht="22.5" customHeight="1">
      <c r="A158" s="36"/>
      <c r="B158" s="36" t="s">
        <v>80</v>
      </c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 spans="1:30" ht="18.75" customHeight="1">
      <c r="A159" s="36"/>
      <c r="B159" s="48" t="s">
        <v>50</v>
      </c>
      <c r="C159" s="49" t="s">
        <v>13</v>
      </c>
      <c r="D159" s="49" t="s">
        <v>14</v>
      </c>
      <c r="E159" s="49" t="s">
        <v>15</v>
      </c>
      <c r="F159" s="49" t="s">
        <v>16</v>
      </c>
      <c r="G159" s="49" t="s">
        <v>51</v>
      </c>
      <c r="H159" s="49" t="s">
        <v>18</v>
      </c>
      <c r="I159" s="49" t="s">
        <v>19</v>
      </c>
      <c r="J159" s="49" t="s">
        <v>20</v>
      </c>
      <c r="K159" s="49" t="s">
        <v>21</v>
      </c>
      <c r="L159" s="49" t="s">
        <v>22</v>
      </c>
      <c r="M159" s="49" t="s">
        <v>23</v>
      </c>
      <c r="N159" s="49" t="s">
        <v>24</v>
      </c>
      <c r="O159" s="49" t="s">
        <v>25</v>
      </c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 spans="1:30" ht="12.75" customHeight="1">
      <c r="A160" s="36"/>
      <c r="B160" s="50" t="s">
        <v>41</v>
      </c>
      <c r="C160" s="67">
        <f t="shared" ref="C160:N160" si="62">+C$157*C76</f>
        <v>205.53</v>
      </c>
      <c r="D160" s="67">
        <f t="shared" si="62"/>
        <v>185.64</v>
      </c>
      <c r="E160" s="67">
        <f t="shared" si="62"/>
        <v>205.53</v>
      </c>
      <c r="F160" s="67">
        <f t="shared" si="62"/>
        <v>107.09999999999998</v>
      </c>
      <c r="G160" s="67">
        <f t="shared" si="62"/>
        <v>110.66999999999999</v>
      </c>
      <c r="H160" s="67">
        <f t="shared" si="62"/>
        <v>107.09999999999998</v>
      </c>
      <c r="I160" s="67">
        <f t="shared" si="62"/>
        <v>110.66999999999999</v>
      </c>
      <c r="J160" s="67">
        <f t="shared" si="62"/>
        <v>110.66999999999999</v>
      </c>
      <c r="K160" s="67">
        <f t="shared" si="62"/>
        <v>107.09999999999998</v>
      </c>
      <c r="L160" s="67">
        <f t="shared" si="62"/>
        <v>0</v>
      </c>
      <c r="M160" s="67">
        <f t="shared" si="62"/>
        <v>137.69999999999999</v>
      </c>
      <c r="N160" s="67">
        <f t="shared" si="62"/>
        <v>205.53</v>
      </c>
      <c r="O160" s="67">
        <f t="shared" ref="O160:O165" si="63">SUM(C160:N160)</f>
        <v>1593.24</v>
      </c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 spans="1:30" ht="12.75" customHeight="1">
      <c r="A161" s="36"/>
      <c r="B161" s="50" t="s">
        <v>42</v>
      </c>
      <c r="C161" s="67">
        <f t="shared" ref="C161:N161" si="64">+C$157*C77</f>
        <v>68.510000000000005</v>
      </c>
      <c r="D161" s="67">
        <f t="shared" si="64"/>
        <v>61.879999999999995</v>
      </c>
      <c r="E161" s="67">
        <f t="shared" si="64"/>
        <v>68.510000000000005</v>
      </c>
      <c r="F161" s="67">
        <f t="shared" si="64"/>
        <v>35.699999999999996</v>
      </c>
      <c r="G161" s="67">
        <f t="shared" si="64"/>
        <v>36.89</v>
      </c>
      <c r="H161" s="67">
        <f t="shared" si="64"/>
        <v>35.699999999999996</v>
      </c>
      <c r="I161" s="67">
        <f t="shared" si="64"/>
        <v>36.89</v>
      </c>
      <c r="J161" s="67">
        <f t="shared" si="64"/>
        <v>36.89</v>
      </c>
      <c r="K161" s="67">
        <f t="shared" si="64"/>
        <v>35.699999999999996</v>
      </c>
      <c r="L161" s="67">
        <f t="shared" si="64"/>
        <v>0</v>
      </c>
      <c r="M161" s="67">
        <f t="shared" si="64"/>
        <v>45.9</v>
      </c>
      <c r="N161" s="67">
        <f t="shared" si="64"/>
        <v>68.510000000000005</v>
      </c>
      <c r="O161" s="67">
        <f t="shared" si="63"/>
        <v>531.07999999999993</v>
      </c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0" ht="12.75" customHeight="1">
      <c r="A162" s="36"/>
      <c r="B162" s="50" t="s">
        <v>43</v>
      </c>
      <c r="C162" s="67">
        <f t="shared" ref="C162:N162" si="65">+C$157*C78</f>
        <v>102.765</v>
      </c>
      <c r="D162" s="67">
        <f t="shared" si="65"/>
        <v>92.82</v>
      </c>
      <c r="E162" s="67">
        <f t="shared" si="65"/>
        <v>102.765</v>
      </c>
      <c r="F162" s="67">
        <f t="shared" si="65"/>
        <v>53.54999999999999</v>
      </c>
      <c r="G162" s="67">
        <f t="shared" si="65"/>
        <v>55.334999999999994</v>
      </c>
      <c r="H162" s="67">
        <f t="shared" si="65"/>
        <v>53.54999999999999</v>
      </c>
      <c r="I162" s="67">
        <f t="shared" si="65"/>
        <v>55.334999999999994</v>
      </c>
      <c r="J162" s="67">
        <f t="shared" si="65"/>
        <v>55.334999999999994</v>
      </c>
      <c r="K162" s="67">
        <f t="shared" si="65"/>
        <v>53.54999999999999</v>
      </c>
      <c r="L162" s="67">
        <f t="shared" si="65"/>
        <v>0</v>
      </c>
      <c r="M162" s="67">
        <f t="shared" si="65"/>
        <v>68.849999999999994</v>
      </c>
      <c r="N162" s="67">
        <f t="shared" si="65"/>
        <v>102.765</v>
      </c>
      <c r="O162" s="67">
        <f t="shared" si="63"/>
        <v>796.62</v>
      </c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 spans="1:30" ht="12.75" customHeight="1">
      <c r="A163" s="36"/>
      <c r="B163" s="50" t="s">
        <v>44</v>
      </c>
      <c r="C163" s="67">
        <f t="shared" ref="C163:N163" si="66">+C$157*C79</f>
        <v>274.04000000000002</v>
      </c>
      <c r="D163" s="67">
        <f t="shared" si="66"/>
        <v>247.51999999999998</v>
      </c>
      <c r="E163" s="67">
        <f t="shared" si="66"/>
        <v>274.04000000000002</v>
      </c>
      <c r="F163" s="67">
        <f t="shared" si="66"/>
        <v>142.79999999999998</v>
      </c>
      <c r="G163" s="67">
        <f t="shared" si="66"/>
        <v>147.56</v>
      </c>
      <c r="H163" s="67">
        <f t="shared" si="66"/>
        <v>142.79999999999998</v>
      </c>
      <c r="I163" s="67">
        <f t="shared" si="66"/>
        <v>147.56</v>
      </c>
      <c r="J163" s="67">
        <f t="shared" si="66"/>
        <v>147.56</v>
      </c>
      <c r="K163" s="67">
        <f t="shared" si="66"/>
        <v>142.79999999999998</v>
      </c>
      <c r="L163" s="67">
        <f t="shared" si="66"/>
        <v>0</v>
      </c>
      <c r="M163" s="67">
        <f t="shared" si="66"/>
        <v>183.6</v>
      </c>
      <c r="N163" s="67">
        <f t="shared" si="66"/>
        <v>274.04000000000002</v>
      </c>
      <c r="O163" s="67">
        <f t="shared" si="63"/>
        <v>2124.3199999999997</v>
      </c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 spans="1:30" ht="12.75" customHeight="1">
      <c r="A164" s="36"/>
      <c r="B164" s="50" t="s">
        <v>45</v>
      </c>
      <c r="C164" s="67">
        <f t="shared" ref="C164:N164" si="67">+C$157*C80</f>
        <v>171.27500000000001</v>
      </c>
      <c r="D164" s="67">
        <f t="shared" si="67"/>
        <v>154.69999999999999</v>
      </c>
      <c r="E164" s="67">
        <f t="shared" si="67"/>
        <v>171.27500000000001</v>
      </c>
      <c r="F164" s="67">
        <f t="shared" si="67"/>
        <v>89.25</v>
      </c>
      <c r="G164" s="67">
        <f t="shared" si="67"/>
        <v>92.224999999999994</v>
      </c>
      <c r="H164" s="67">
        <f t="shared" si="67"/>
        <v>89.25</v>
      </c>
      <c r="I164" s="67">
        <f t="shared" si="67"/>
        <v>92.224999999999994</v>
      </c>
      <c r="J164" s="67">
        <f t="shared" si="67"/>
        <v>92.224999999999994</v>
      </c>
      <c r="K164" s="67">
        <f t="shared" si="67"/>
        <v>89.25</v>
      </c>
      <c r="L164" s="67">
        <f t="shared" si="67"/>
        <v>0</v>
      </c>
      <c r="M164" s="67">
        <f t="shared" si="67"/>
        <v>114.75</v>
      </c>
      <c r="N164" s="67">
        <f t="shared" si="67"/>
        <v>171.27500000000001</v>
      </c>
      <c r="O164" s="67">
        <f t="shared" si="63"/>
        <v>1327.7000000000003</v>
      </c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 spans="1:30" ht="12.75" customHeight="1">
      <c r="A165" s="36"/>
      <c r="B165" s="50" t="s">
        <v>46</v>
      </c>
      <c r="C165" s="67">
        <f t="shared" ref="C165:N165" si="68">+C$157*C81</f>
        <v>205.53</v>
      </c>
      <c r="D165" s="67">
        <f t="shared" si="68"/>
        <v>185.64</v>
      </c>
      <c r="E165" s="67">
        <f t="shared" si="68"/>
        <v>205.53</v>
      </c>
      <c r="F165" s="67">
        <f t="shared" si="68"/>
        <v>107.09999999999998</v>
      </c>
      <c r="G165" s="67">
        <f t="shared" si="68"/>
        <v>110.66999999999999</v>
      </c>
      <c r="H165" s="67">
        <f t="shared" si="68"/>
        <v>107.09999999999998</v>
      </c>
      <c r="I165" s="67">
        <f t="shared" si="68"/>
        <v>110.66999999999999</v>
      </c>
      <c r="J165" s="67">
        <f t="shared" si="68"/>
        <v>110.66999999999999</v>
      </c>
      <c r="K165" s="67">
        <f t="shared" si="68"/>
        <v>107.09999999999998</v>
      </c>
      <c r="L165" s="67">
        <f t="shared" si="68"/>
        <v>0</v>
      </c>
      <c r="M165" s="67">
        <f t="shared" si="68"/>
        <v>137.69999999999999</v>
      </c>
      <c r="N165" s="67">
        <f t="shared" si="68"/>
        <v>205.53</v>
      </c>
      <c r="O165" s="67">
        <f t="shared" si="63"/>
        <v>1593.24</v>
      </c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 spans="1:30" ht="12.75" customHeight="1">
      <c r="A166" s="36"/>
      <c r="B166" s="36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 spans="1:30" ht="12.75" customHeight="1">
      <c r="A167" s="36"/>
      <c r="B167" s="72" t="s">
        <v>25</v>
      </c>
      <c r="C167" s="85">
        <f t="shared" ref="C167:N167" si="69">SUM(C160:C166)</f>
        <v>1027.6500000000001</v>
      </c>
      <c r="D167" s="85">
        <f t="shared" si="69"/>
        <v>928.19999999999993</v>
      </c>
      <c r="E167" s="85">
        <f t="shared" si="69"/>
        <v>1027.6500000000001</v>
      </c>
      <c r="F167" s="85">
        <f t="shared" si="69"/>
        <v>535.5</v>
      </c>
      <c r="G167" s="85">
        <f t="shared" si="69"/>
        <v>553.34999999999991</v>
      </c>
      <c r="H167" s="85">
        <f t="shared" si="69"/>
        <v>535.5</v>
      </c>
      <c r="I167" s="85">
        <f t="shared" si="69"/>
        <v>553.34999999999991</v>
      </c>
      <c r="J167" s="85">
        <f t="shared" si="69"/>
        <v>553.34999999999991</v>
      </c>
      <c r="K167" s="85">
        <f t="shared" si="69"/>
        <v>535.5</v>
      </c>
      <c r="L167" s="85">
        <f t="shared" si="69"/>
        <v>0</v>
      </c>
      <c r="M167" s="85">
        <f t="shared" si="69"/>
        <v>688.5</v>
      </c>
      <c r="N167" s="85">
        <f t="shared" si="69"/>
        <v>1027.6500000000001</v>
      </c>
      <c r="O167" s="85">
        <f>SUM(C167:N167)</f>
        <v>7966.2000000000007</v>
      </c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 spans="1:30" ht="12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 spans="1:30" ht="12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 spans="1:30" ht="12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0" ht="12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 spans="1:30" ht="12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 spans="1:30" ht="13.5" customHeight="1" thickBo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 spans="1:30" ht="21" customHeight="1" thickBot="1">
      <c r="A174" s="36"/>
      <c r="B174" s="525" t="s">
        <v>99</v>
      </c>
      <c r="C174" s="526"/>
      <c r="D174" s="526"/>
      <c r="E174" s="526"/>
      <c r="F174" s="526"/>
      <c r="G174" s="526"/>
      <c r="H174" s="526"/>
      <c r="I174" s="526"/>
      <c r="J174" s="526"/>
      <c r="K174" s="526"/>
      <c r="L174" s="526"/>
      <c r="M174" s="526"/>
      <c r="N174" s="527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 spans="1:30" ht="12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spans="1:30" ht="31.5" customHeight="1" thickBot="1">
      <c r="A176" s="36"/>
      <c r="B176" s="528" t="s">
        <v>100</v>
      </c>
      <c r="C176" s="529"/>
      <c r="D176" s="529"/>
      <c r="E176" s="529"/>
      <c r="F176" s="529"/>
      <c r="G176" s="529"/>
      <c r="H176" s="529"/>
      <c r="I176" s="529"/>
      <c r="J176" s="529"/>
      <c r="K176" s="529"/>
      <c r="L176" s="529"/>
      <c r="M176" s="529"/>
      <c r="N176" s="529"/>
      <c r="O176" s="529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 spans="1:30" ht="13.5" customHeight="1" thickBot="1">
      <c r="A177" s="36"/>
      <c r="B177" s="90" t="s">
        <v>101</v>
      </c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 spans="1:30" ht="13.5" customHeight="1" thickBot="1">
      <c r="A178" s="36"/>
      <c r="B178" s="42" t="s">
        <v>50</v>
      </c>
      <c r="C178" s="43" t="s">
        <v>13</v>
      </c>
      <c r="D178" s="43" t="s">
        <v>14</v>
      </c>
      <c r="E178" s="43" t="s">
        <v>15</v>
      </c>
      <c r="F178" s="43" t="s">
        <v>16</v>
      </c>
      <c r="G178" s="43" t="s">
        <v>51</v>
      </c>
      <c r="H178" s="43" t="s">
        <v>18</v>
      </c>
      <c r="I178" s="43" t="s">
        <v>19</v>
      </c>
      <c r="J178" s="43" t="s">
        <v>20</v>
      </c>
      <c r="K178" s="43" t="s">
        <v>21</v>
      </c>
      <c r="L178" s="43" t="s">
        <v>22</v>
      </c>
      <c r="M178" s="43" t="s">
        <v>23</v>
      </c>
      <c r="N178" s="43" t="s">
        <v>24</v>
      </c>
      <c r="O178" s="44" t="s">
        <v>25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 spans="1:30" ht="36.75" customHeight="1">
      <c r="A179" s="36"/>
      <c r="B179" s="36" t="s">
        <v>41</v>
      </c>
      <c r="C179" s="71">
        <f t="shared" ref="C179:N179" si="70">+C132</f>
        <v>64032.212045454537</v>
      </c>
      <c r="D179" s="71">
        <f t="shared" si="70"/>
        <v>57835.546363636364</v>
      </c>
      <c r="E179" s="71">
        <f t="shared" si="70"/>
        <v>64032.212045454537</v>
      </c>
      <c r="F179" s="71">
        <f t="shared" si="70"/>
        <v>32095.550454545446</v>
      </c>
      <c r="G179" s="71">
        <f t="shared" si="70"/>
        <v>29881.698954545449</v>
      </c>
      <c r="H179" s="71">
        <f t="shared" si="70"/>
        <v>27964.439999999991</v>
      </c>
      <c r="I179" s="71">
        <f t="shared" si="70"/>
        <v>28896.587999999996</v>
      </c>
      <c r="J179" s="71">
        <f t="shared" si="70"/>
        <v>28896.587999999996</v>
      </c>
      <c r="K179" s="71">
        <f t="shared" si="70"/>
        <v>25739.995909090903</v>
      </c>
      <c r="L179" s="71">
        <f t="shared" si="70"/>
        <v>0</v>
      </c>
      <c r="M179" s="71">
        <f t="shared" si="70"/>
        <v>33911.423181818172</v>
      </c>
      <c r="N179" s="71">
        <f t="shared" si="70"/>
        <v>70130.517954545445</v>
      </c>
      <c r="O179" s="71">
        <f t="shared" ref="O179:O184" si="71">SUM(C179:N179)</f>
        <v>463416.7729090908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 spans="1:30" ht="12.75" customHeight="1">
      <c r="A180" s="36"/>
      <c r="B180" s="36" t="s">
        <v>42</v>
      </c>
      <c r="C180" s="71">
        <f t="shared" ref="C180:N180" si="72">+C133</f>
        <v>19717.855772727271</v>
      </c>
      <c r="D180" s="71">
        <f t="shared" si="72"/>
        <v>17809.676181818177</v>
      </c>
      <c r="E180" s="71">
        <f t="shared" si="72"/>
        <v>19717.855772727271</v>
      </c>
      <c r="F180" s="71">
        <f t="shared" si="72"/>
        <v>9745.1836363636357</v>
      </c>
      <c r="G180" s="71">
        <f t="shared" si="72"/>
        <v>9522.7392272727266</v>
      </c>
      <c r="H180" s="71">
        <f t="shared" si="72"/>
        <v>8897.7763636363616</v>
      </c>
      <c r="I180" s="71">
        <f t="shared" si="72"/>
        <v>9194.3689090909065</v>
      </c>
      <c r="J180" s="71">
        <f t="shared" si="72"/>
        <v>9194.3689090909065</v>
      </c>
      <c r="K180" s="71">
        <f t="shared" si="72"/>
        <v>8368.1468181818163</v>
      </c>
      <c r="L180" s="71">
        <f t="shared" si="72"/>
        <v>0</v>
      </c>
      <c r="M180" s="71">
        <f t="shared" si="72"/>
        <v>11984.759999999998</v>
      </c>
      <c r="N180" s="71">
        <f t="shared" si="72"/>
        <v>21140.793818181817</v>
      </c>
      <c r="O180" s="71">
        <f t="shared" si="71"/>
        <v>145293.52540909089</v>
      </c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 spans="1:30" ht="12.75" customHeight="1">
      <c r="A181" s="36"/>
      <c r="B181" s="36" t="s">
        <v>43</v>
      </c>
      <c r="C181" s="71">
        <f t="shared" ref="C181:N181" si="73">+C134</f>
        <v>27137.461295454545</v>
      </c>
      <c r="D181" s="71">
        <f t="shared" si="73"/>
        <v>24511.255363636363</v>
      </c>
      <c r="E181" s="71">
        <f t="shared" si="73"/>
        <v>27137.461295454545</v>
      </c>
      <c r="F181" s="71">
        <f t="shared" si="73"/>
        <v>13187.775681818179</v>
      </c>
      <c r="G181" s="71">
        <f t="shared" si="73"/>
        <v>12970.627568181815</v>
      </c>
      <c r="H181" s="71">
        <f t="shared" si="73"/>
        <v>11916.66477272727</v>
      </c>
      <c r="I181" s="71">
        <f t="shared" si="73"/>
        <v>12313.886931818179</v>
      </c>
      <c r="J181" s="71">
        <f t="shared" si="73"/>
        <v>12313.886931818179</v>
      </c>
      <c r="K181" s="71">
        <f t="shared" si="73"/>
        <v>11281.109318181816</v>
      </c>
      <c r="L181" s="71">
        <f t="shared" si="73"/>
        <v>0</v>
      </c>
      <c r="M181" s="71">
        <f t="shared" si="73"/>
        <v>14708.569090909088</v>
      </c>
      <c r="N181" s="71">
        <f t="shared" si="73"/>
        <v>29576.783659090903</v>
      </c>
      <c r="O181" s="71">
        <f t="shared" si="71"/>
        <v>197055.48190909089</v>
      </c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 spans="1:30" ht="12.75" customHeight="1">
      <c r="A182" s="36"/>
      <c r="B182" s="36" t="s">
        <v>44</v>
      </c>
      <c r="C182" s="71">
        <f t="shared" ref="C182:N182" si="74">+C135</f>
        <v>64235.488909090913</v>
      </c>
      <c r="D182" s="71">
        <f t="shared" si="74"/>
        <v>58019.151272727264</v>
      </c>
      <c r="E182" s="71">
        <f t="shared" si="74"/>
        <v>64235.488909090913</v>
      </c>
      <c r="F182" s="71">
        <f t="shared" si="74"/>
        <v>30506.661818181812</v>
      </c>
      <c r="G182" s="71">
        <f t="shared" si="74"/>
        <v>28896.587999999992</v>
      </c>
      <c r="H182" s="71">
        <f t="shared" si="74"/>
        <v>26693.329090909087</v>
      </c>
      <c r="I182" s="71">
        <f t="shared" si="74"/>
        <v>27583.106727272723</v>
      </c>
      <c r="J182" s="71">
        <f t="shared" si="74"/>
        <v>27583.106727272723</v>
      </c>
      <c r="K182" s="71">
        <f t="shared" si="74"/>
        <v>24574.810909090906</v>
      </c>
      <c r="L182" s="71">
        <f t="shared" si="74"/>
        <v>0</v>
      </c>
      <c r="M182" s="71">
        <f t="shared" si="74"/>
        <v>32140.94727272727</v>
      </c>
      <c r="N182" s="71">
        <f t="shared" si="74"/>
        <v>66674.811272727267</v>
      </c>
      <c r="O182" s="71">
        <f t="shared" si="71"/>
        <v>451143.49090909091</v>
      </c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 spans="1:30" ht="12.75" customHeight="1">
      <c r="A183" s="36"/>
      <c r="B183" s="36" t="s">
        <v>45</v>
      </c>
      <c r="C183" s="71">
        <f t="shared" ref="C183:N183" si="75">+C136</f>
        <v>80802.553295454534</v>
      </c>
      <c r="D183" s="71">
        <f t="shared" si="75"/>
        <v>72982.951363636355</v>
      </c>
      <c r="E183" s="71">
        <f t="shared" si="75"/>
        <v>80802.553295454534</v>
      </c>
      <c r="F183" s="71">
        <f t="shared" si="75"/>
        <v>38398.142045454544</v>
      </c>
      <c r="G183" s="71">
        <f t="shared" si="75"/>
        <v>35847.093068181814</v>
      </c>
      <c r="H183" s="71">
        <f t="shared" si="75"/>
        <v>32837.031818181815</v>
      </c>
      <c r="I183" s="71">
        <f t="shared" si="75"/>
        <v>33931.599545454541</v>
      </c>
      <c r="J183" s="71">
        <f t="shared" si="75"/>
        <v>33931.599545454541</v>
      </c>
      <c r="K183" s="71">
        <f t="shared" si="75"/>
        <v>30983.328409090904</v>
      </c>
      <c r="L183" s="71">
        <f t="shared" si="75"/>
        <v>0</v>
      </c>
      <c r="M183" s="71">
        <f t="shared" si="75"/>
        <v>41197.612499999988</v>
      </c>
      <c r="N183" s="71">
        <f t="shared" si="75"/>
        <v>79786.168977272726</v>
      </c>
      <c r="O183" s="71">
        <f t="shared" si="71"/>
        <v>561500.63386363629</v>
      </c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 spans="1:30" ht="12.75" customHeight="1">
      <c r="A184" s="36"/>
      <c r="B184" s="36" t="s">
        <v>46</v>
      </c>
      <c r="C184" s="71">
        <f t="shared" ref="C184:N184" si="76">+C137</f>
        <v>109159.67577272726</v>
      </c>
      <c r="D184" s="71">
        <f t="shared" si="76"/>
        <v>98595.836181818173</v>
      </c>
      <c r="E184" s="71">
        <f t="shared" si="76"/>
        <v>109159.67577272726</v>
      </c>
      <c r="F184" s="71">
        <f t="shared" si="76"/>
        <v>52751.102727272715</v>
      </c>
      <c r="G184" s="71">
        <f t="shared" si="76"/>
        <v>48598.807090909082</v>
      </c>
      <c r="H184" s="71">
        <f t="shared" si="76"/>
        <v>43535.54863636363</v>
      </c>
      <c r="I184" s="71">
        <f t="shared" si="76"/>
        <v>44986.733590909076</v>
      </c>
      <c r="J184" s="71">
        <f t="shared" si="76"/>
        <v>44986.733590909076</v>
      </c>
      <c r="K184" s="71">
        <f t="shared" si="76"/>
        <v>40039.993636363622</v>
      </c>
      <c r="L184" s="71">
        <f t="shared" si="76"/>
        <v>0</v>
      </c>
      <c r="M184" s="71">
        <f t="shared" si="76"/>
        <v>55974.27681818181</v>
      </c>
      <c r="N184" s="71">
        <f t="shared" si="76"/>
        <v>118121.92682727272</v>
      </c>
      <c r="O184" s="71">
        <f t="shared" si="71"/>
        <v>765910.31064545456</v>
      </c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 spans="1:30" ht="12.75" customHeight="1">
      <c r="A185" s="36"/>
      <c r="B185" s="36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 spans="1:30" ht="12.75" customHeight="1">
      <c r="A186" s="36"/>
      <c r="B186" s="36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 spans="1:30" ht="12.75" customHeight="1">
      <c r="A187" s="36"/>
      <c r="B187" s="36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 spans="1:30" ht="13.5" customHeight="1" thickBot="1">
      <c r="A188" s="36"/>
      <c r="B188" s="36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  <row r="189" spans="1:30" ht="29.25" customHeight="1" thickBot="1">
      <c r="A189" s="36"/>
      <c r="B189" s="99" t="s">
        <v>25</v>
      </c>
      <c r="C189" s="206">
        <f t="shared" ref="C189:O189" si="77">SUM(C179:C184)</f>
        <v>365085.24709090905</v>
      </c>
      <c r="D189" s="206">
        <f t="shared" si="77"/>
        <v>329754.41672727268</v>
      </c>
      <c r="E189" s="206">
        <f t="shared" si="77"/>
        <v>365085.24709090905</v>
      </c>
      <c r="F189" s="206">
        <f t="shared" si="77"/>
        <v>176684.41636363632</v>
      </c>
      <c r="G189" s="206">
        <f t="shared" si="77"/>
        <v>165717.55390909087</v>
      </c>
      <c r="H189" s="206">
        <f t="shared" si="77"/>
        <v>151844.79068181815</v>
      </c>
      <c r="I189" s="206">
        <f t="shared" si="77"/>
        <v>156906.28370454544</v>
      </c>
      <c r="J189" s="206">
        <f t="shared" si="77"/>
        <v>156906.28370454544</v>
      </c>
      <c r="K189" s="206">
        <f t="shared" si="77"/>
        <v>140987.38499999995</v>
      </c>
      <c r="L189" s="206">
        <f t="shared" si="77"/>
        <v>0</v>
      </c>
      <c r="M189" s="206">
        <f t="shared" si="77"/>
        <v>189917.58886363631</v>
      </c>
      <c r="N189" s="206">
        <f t="shared" si="77"/>
        <v>385431.00250909093</v>
      </c>
      <c r="O189" s="207">
        <f t="shared" si="77"/>
        <v>2584320.2156454544</v>
      </c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</row>
    <row r="190" spans="1:30" ht="12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</row>
    <row r="191" spans="1:30" ht="12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</row>
    <row r="192" spans="1:30" ht="12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</row>
    <row r="193" spans="1:30" ht="12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</row>
    <row r="194" spans="1:30" ht="12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</row>
    <row r="195" spans="1:30" ht="12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</row>
    <row r="196" spans="1:30" ht="12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</row>
    <row r="197" spans="1:30" ht="12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</row>
    <row r="198" spans="1:30" ht="12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</row>
    <row r="199" spans="1:30" ht="12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</row>
    <row r="200" spans="1:30" ht="12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</row>
    <row r="201" spans="1:30" ht="12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</row>
    <row r="202" spans="1:30" ht="12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</row>
    <row r="203" spans="1:30" ht="12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</row>
    <row r="204" spans="1:30" ht="12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 spans="1:30" ht="12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</row>
    <row r="206" spans="1:30" ht="12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</row>
    <row r="207" spans="1:30" ht="12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</row>
    <row r="208" spans="1:30" ht="12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</row>
    <row r="209" spans="1:30" ht="12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</row>
    <row r="210" spans="1:30" ht="12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</row>
    <row r="211" spans="1:30" ht="12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</row>
    <row r="212" spans="1:30" ht="12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</row>
    <row r="213" spans="1:30" ht="12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</row>
    <row r="214" spans="1:30" ht="12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</row>
    <row r="215" spans="1:30" ht="12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</row>
    <row r="216" spans="1:30" ht="12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</row>
    <row r="217" spans="1:30" ht="12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</row>
    <row r="218" spans="1:30" ht="12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</row>
    <row r="219" spans="1:30" ht="12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</row>
    <row r="220" spans="1:30" ht="12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</row>
    <row r="221" spans="1:30" ht="12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</row>
    <row r="222" spans="1:30" ht="12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</row>
    <row r="223" spans="1:30" ht="12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</row>
    <row r="224" spans="1:30" ht="12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</row>
    <row r="225" spans="1:30" ht="12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</row>
    <row r="226" spans="1:30" ht="12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 spans="1:30" ht="12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</row>
    <row r="228" spans="1:30" ht="12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</row>
    <row r="229" spans="1:30" ht="12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</row>
    <row r="230" spans="1:30" ht="12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</row>
    <row r="231" spans="1:30" ht="12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</row>
    <row r="232" spans="1:30" ht="12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</row>
    <row r="233" spans="1:30" ht="12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</row>
    <row r="234" spans="1:30" ht="12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</row>
    <row r="235" spans="1:30" ht="12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</row>
    <row r="236" spans="1:30" ht="12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</row>
    <row r="237" spans="1:30" ht="12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</row>
    <row r="238" spans="1:30" ht="12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</row>
    <row r="239" spans="1:30" ht="12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 spans="1:30" ht="12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</row>
    <row r="241" spans="1:30" ht="12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</row>
    <row r="242" spans="1:30" ht="12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</row>
    <row r="243" spans="1:30" ht="12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</row>
    <row r="244" spans="1:30" ht="12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</row>
    <row r="245" spans="1:30" ht="12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</row>
    <row r="246" spans="1:30" ht="12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</row>
    <row r="247" spans="1:30" ht="12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</row>
    <row r="248" spans="1:30" ht="12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</row>
    <row r="249" spans="1:30" ht="12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</row>
    <row r="250" spans="1:30" ht="12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</row>
    <row r="251" spans="1:30" ht="12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</row>
    <row r="252" spans="1:30" ht="12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</row>
    <row r="253" spans="1:30" ht="12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</row>
    <row r="254" spans="1:30" ht="12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</row>
    <row r="255" spans="1:30" ht="12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</row>
    <row r="256" spans="1:30" ht="12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</row>
    <row r="257" spans="1:30" ht="12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</row>
    <row r="258" spans="1:30" ht="12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</row>
    <row r="259" spans="1:30" ht="12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</row>
    <row r="260" spans="1:30" ht="12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</row>
    <row r="261" spans="1:30" ht="12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</row>
    <row r="262" spans="1:30" ht="12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</row>
    <row r="263" spans="1:30" ht="12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</row>
    <row r="264" spans="1:30" ht="12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</row>
    <row r="265" spans="1:30" ht="12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</row>
    <row r="266" spans="1:30" ht="12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 spans="1:30" ht="12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</row>
    <row r="268" spans="1:30" ht="12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</row>
    <row r="269" spans="1:30" ht="12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</row>
    <row r="270" spans="1:30" ht="12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</row>
    <row r="271" spans="1:30" ht="12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</row>
    <row r="272" spans="1:30" ht="12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</row>
    <row r="273" spans="1:30" ht="12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</row>
    <row r="274" spans="1:30" ht="12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</row>
    <row r="275" spans="1:30" ht="12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</row>
    <row r="276" spans="1:30" ht="12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</row>
    <row r="277" spans="1:30" ht="12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</row>
    <row r="278" spans="1:30" ht="12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</row>
    <row r="279" spans="1:30" ht="12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</row>
    <row r="280" spans="1:30" ht="12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</row>
    <row r="281" spans="1:30" ht="12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</row>
    <row r="282" spans="1:30" ht="12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</row>
    <row r="283" spans="1:30" ht="12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</row>
    <row r="284" spans="1:30" ht="12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</row>
    <row r="285" spans="1:30" ht="12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</row>
    <row r="286" spans="1:30" ht="12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</row>
    <row r="287" spans="1:30" ht="12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</row>
    <row r="288" spans="1:30" ht="12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</row>
    <row r="289" spans="1:30" ht="12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</row>
    <row r="290" spans="1:30" ht="12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</row>
    <row r="291" spans="1:30" ht="12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</row>
    <row r="292" spans="1:30" ht="12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</row>
    <row r="293" spans="1:30" ht="12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</row>
    <row r="294" spans="1:30" ht="12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</row>
    <row r="295" spans="1:30" ht="12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 spans="1:30" ht="12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</row>
    <row r="297" spans="1:30" ht="12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</row>
    <row r="298" spans="1:30" ht="12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 spans="1:30" ht="12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</row>
    <row r="300" spans="1:30" ht="12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</row>
    <row r="301" spans="1:30" ht="12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</row>
    <row r="302" spans="1:30" ht="12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</row>
    <row r="303" spans="1:30" ht="12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</row>
    <row r="304" spans="1:30" ht="12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</row>
    <row r="305" spans="1:30" ht="12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</row>
    <row r="306" spans="1:30" ht="12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</row>
    <row r="307" spans="1:30" ht="12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</row>
    <row r="308" spans="1:30" ht="12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</row>
    <row r="309" spans="1:30" ht="12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</row>
    <row r="310" spans="1:30" ht="12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</row>
    <row r="311" spans="1:30" ht="12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</row>
    <row r="312" spans="1:30" ht="12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</row>
    <row r="313" spans="1:30" ht="12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</row>
    <row r="314" spans="1:30" ht="12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</row>
    <row r="315" spans="1:30" ht="12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</row>
    <row r="316" spans="1:30" ht="12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</row>
    <row r="317" spans="1:30" ht="12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</row>
    <row r="318" spans="1:30" ht="12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</row>
    <row r="319" spans="1:30" ht="12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</row>
    <row r="320" spans="1:30" ht="12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</row>
    <row r="321" spans="1:30" ht="12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</row>
    <row r="322" spans="1:30" ht="12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</row>
    <row r="323" spans="1:30" ht="12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</row>
    <row r="324" spans="1:30" ht="12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</row>
    <row r="325" spans="1:30" ht="12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</row>
    <row r="326" spans="1:30" ht="12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</row>
    <row r="327" spans="1:30" ht="12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</row>
    <row r="328" spans="1:30" ht="12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</row>
    <row r="329" spans="1:30" ht="12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</row>
    <row r="330" spans="1:30" ht="12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</row>
    <row r="331" spans="1:30" ht="12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</row>
    <row r="332" spans="1:30" ht="12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</row>
    <row r="333" spans="1:30" ht="12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</row>
    <row r="334" spans="1:30" ht="12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</row>
    <row r="335" spans="1:30" ht="12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</row>
    <row r="336" spans="1:30" ht="12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</row>
    <row r="337" spans="1:30" ht="12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</row>
    <row r="338" spans="1:30" ht="12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</row>
    <row r="339" spans="1:30" ht="12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</row>
    <row r="340" spans="1:30" ht="12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</row>
    <row r="341" spans="1:30" ht="12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</row>
    <row r="342" spans="1:30" ht="12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</row>
    <row r="343" spans="1:30" ht="12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</row>
    <row r="344" spans="1:30" ht="12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</row>
    <row r="345" spans="1:30" ht="12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</row>
    <row r="346" spans="1:30" ht="12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</row>
    <row r="347" spans="1:30" ht="12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</row>
    <row r="348" spans="1:30" ht="12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</row>
    <row r="349" spans="1:30" ht="12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 spans="1:30" ht="12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</row>
    <row r="351" spans="1:30" ht="12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</row>
    <row r="352" spans="1:30" ht="12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</row>
    <row r="353" spans="1:30" ht="12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</row>
    <row r="354" spans="1:30" ht="12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</row>
    <row r="355" spans="1:30" ht="12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</row>
    <row r="356" spans="1:30" ht="12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</row>
    <row r="357" spans="1:30" ht="12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</row>
    <row r="358" spans="1:30" ht="12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</row>
    <row r="359" spans="1:30" ht="12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</row>
    <row r="360" spans="1:30" ht="12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</row>
    <row r="361" spans="1:30" ht="12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</row>
    <row r="362" spans="1:30" ht="12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</row>
    <row r="363" spans="1:30" ht="12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</row>
    <row r="364" spans="1:30" ht="12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</row>
    <row r="365" spans="1:30" ht="12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</row>
    <row r="366" spans="1:30" ht="12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</row>
    <row r="367" spans="1:30" ht="12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</row>
    <row r="368" spans="1:30" ht="12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</row>
    <row r="369" spans="1:30" ht="12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</row>
    <row r="370" spans="1:30" ht="12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</row>
    <row r="371" spans="1:30" ht="12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</row>
    <row r="372" spans="1:30" ht="12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</row>
    <row r="373" spans="1:30" ht="12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 spans="1:30" ht="12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</row>
    <row r="375" spans="1:30" ht="12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</row>
    <row r="376" spans="1:30" ht="12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</row>
    <row r="377" spans="1:30" ht="12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</row>
    <row r="378" spans="1:30" ht="12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</row>
    <row r="379" spans="1:30" ht="12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</row>
    <row r="380" spans="1:30" ht="12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</row>
    <row r="381" spans="1:30" ht="12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</row>
    <row r="382" spans="1:30" ht="12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</row>
    <row r="383" spans="1:30" ht="12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</row>
    <row r="384" spans="1:30" ht="12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</row>
    <row r="385" spans="1:30" ht="12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</row>
    <row r="386" spans="1:30" ht="12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</row>
    <row r="387" spans="1:30" ht="12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</row>
    <row r="388" spans="1:30" ht="12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</row>
    <row r="389" spans="1:30" ht="12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</row>
    <row r="390" spans="1:30" ht="12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</row>
    <row r="391" spans="1:30" ht="12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</row>
    <row r="392" spans="1:30" ht="12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</row>
    <row r="393" spans="1:30" ht="12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</row>
    <row r="394" spans="1:30" ht="12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</row>
    <row r="395" spans="1:30" ht="12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</row>
    <row r="396" spans="1:30" ht="12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</row>
    <row r="397" spans="1:30" ht="12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</row>
    <row r="398" spans="1:30" ht="12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</row>
    <row r="399" spans="1:30" ht="12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</row>
    <row r="400" spans="1:30" ht="12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</row>
    <row r="401" spans="1:30" ht="12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</row>
    <row r="402" spans="1:30" ht="12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</row>
    <row r="403" spans="1:30" ht="12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</row>
    <row r="404" spans="1:30" ht="12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 spans="1:30" ht="12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</row>
    <row r="406" spans="1:30" ht="12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</row>
    <row r="407" spans="1:30" ht="12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</row>
    <row r="408" spans="1:30" ht="12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</row>
    <row r="409" spans="1:30" ht="12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</row>
    <row r="410" spans="1:30" ht="12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</row>
    <row r="411" spans="1:30" ht="12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</row>
    <row r="412" spans="1:30" ht="12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</row>
    <row r="413" spans="1:30" ht="12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</row>
    <row r="414" spans="1:30" ht="12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</row>
    <row r="415" spans="1:30" ht="12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</row>
    <row r="416" spans="1:30" ht="12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</row>
    <row r="417" spans="1:30" ht="12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</row>
    <row r="418" spans="1:30" ht="12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</row>
    <row r="419" spans="1:30" ht="12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</row>
    <row r="420" spans="1:30" ht="12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</row>
    <row r="421" spans="1:30" ht="12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</row>
    <row r="422" spans="1:30" ht="12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 spans="1:30" ht="12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</row>
    <row r="424" spans="1:30" ht="12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</row>
    <row r="425" spans="1:30" ht="12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</row>
    <row r="426" spans="1:30" ht="12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</row>
    <row r="427" spans="1:30" ht="12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</row>
    <row r="428" spans="1:30" ht="12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</row>
    <row r="429" spans="1:30" ht="12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</row>
    <row r="430" spans="1:30" ht="12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</row>
    <row r="431" spans="1:30" ht="12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</row>
    <row r="432" spans="1:30" ht="12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</row>
    <row r="433" spans="1:30" ht="12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 spans="1:30" ht="12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</row>
    <row r="435" spans="1:30" ht="12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</row>
    <row r="436" spans="1:30" ht="12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</row>
    <row r="437" spans="1:30" ht="12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</row>
    <row r="438" spans="1:30" ht="12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</row>
    <row r="439" spans="1:30" ht="12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</row>
    <row r="440" spans="1:30" ht="12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</row>
    <row r="441" spans="1:30" ht="12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</row>
    <row r="442" spans="1:30" ht="12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</row>
    <row r="443" spans="1:30" ht="12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</row>
    <row r="444" spans="1:30" ht="12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</row>
    <row r="445" spans="1:30" ht="12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</row>
    <row r="446" spans="1:30" ht="12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</row>
    <row r="447" spans="1:30" ht="12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</row>
    <row r="448" spans="1:30" ht="12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</row>
    <row r="449" spans="1:30" ht="12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</row>
    <row r="450" spans="1:30" ht="12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</row>
    <row r="451" spans="1:30" ht="12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</row>
    <row r="452" spans="1:30" ht="12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</row>
    <row r="453" spans="1:30" ht="12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</row>
    <row r="454" spans="1:30" ht="12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</row>
    <row r="455" spans="1:30" ht="12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</row>
    <row r="456" spans="1:30" ht="12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</row>
    <row r="457" spans="1:30" ht="12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</row>
    <row r="458" spans="1:30" ht="12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</row>
    <row r="459" spans="1:30" ht="12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</row>
    <row r="460" spans="1:30" ht="12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</row>
    <row r="461" spans="1:30" ht="12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</row>
    <row r="462" spans="1:30" ht="12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</row>
    <row r="463" spans="1:30" ht="12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</row>
    <row r="464" spans="1:30" ht="12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</row>
    <row r="465" spans="1:30" ht="12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</row>
    <row r="466" spans="1:30" ht="12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</row>
    <row r="467" spans="1:30" ht="12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 spans="1:30" ht="12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</row>
    <row r="469" spans="1:30" ht="12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</row>
    <row r="470" spans="1:30" ht="12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</row>
    <row r="471" spans="1:30" ht="12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</row>
    <row r="472" spans="1:30" ht="12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 spans="1:30" ht="12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</row>
    <row r="474" spans="1:30" ht="12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</row>
    <row r="475" spans="1:30" ht="12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</row>
    <row r="476" spans="1:30" ht="12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</row>
    <row r="477" spans="1:30" ht="12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</row>
    <row r="478" spans="1:30" ht="12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</row>
    <row r="479" spans="1:30" ht="12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</row>
    <row r="480" spans="1:30" ht="12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</row>
    <row r="481" spans="1:30" ht="12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</row>
    <row r="482" spans="1:30" ht="12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 spans="1:30" ht="12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</row>
    <row r="484" spans="1:30" ht="12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</row>
    <row r="485" spans="1:30" ht="12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</row>
    <row r="486" spans="1:30" ht="12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</row>
    <row r="487" spans="1:30" ht="12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</row>
    <row r="488" spans="1:30" ht="12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</row>
    <row r="489" spans="1:30" ht="12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</row>
    <row r="490" spans="1:30" ht="12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</row>
    <row r="491" spans="1:30" ht="12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</row>
    <row r="492" spans="1:30" ht="12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 spans="1:30" ht="12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</row>
    <row r="494" spans="1:30" ht="12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</row>
    <row r="495" spans="1:30" ht="12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</row>
    <row r="496" spans="1:30" ht="12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</row>
    <row r="497" spans="1:30" ht="12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</row>
    <row r="498" spans="1:30" ht="12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 spans="1:30" ht="12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</row>
    <row r="500" spans="1:30" ht="12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</row>
    <row r="501" spans="1:30" ht="12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</row>
    <row r="502" spans="1:30" ht="12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</row>
    <row r="503" spans="1:30" ht="12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</row>
    <row r="504" spans="1:30" ht="12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</row>
    <row r="505" spans="1:30" ht="12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</row>
    <row r="506" spans="1:30" ht="12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</row>
    <row r="507" spans="1:30" ht="12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</row>
    <row r="508" spans="1:30" ht="12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</row>
    <row r="509" spans="1:30" ht="12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</row>
    <row r="510" spans="1:30" ht="12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</row>
    <row r="511" spans="1:30" ht="12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</row>
    <row r="512" spans="1:30" ht="12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</row>
    <row r="513" spans="1:30" ht="12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</row>
    <row r="514" spans="1:30" ht="12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</row>
    <row r="515" spans="1:30" ht="12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</row>
    <row r="516" spans="1:30" ht="12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</row>
    <row r="517" spans="1:30" ht="12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</row>
    <row r="518" spans="1:30" ht="12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</row>
    <row r="519" spans="1:30" ht="12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</row>
    <row r="520" spans="1:30" ht="12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</row>
    <row r="521" spans="1:30" ht="12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</row>
    <row r="522" spans="1:30" ht="12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</row>
    <row r="523" spans="1:30" ht="12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</row>
    <row r="524" spans="1:30" ht="12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</row>
    <row r="525" spans="1:30" ht="12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</row>
    <row r="526" spans="1:30" ht="12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</row>
    <row r="527" spans="1:30" ht="12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</row>
    <row r="528" spans="1:30" ht="12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 spans="1:30" ht="12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</row>
    <row r="530" spans="1:30" ht="12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</row>
    <row r="531" spans="1:30" ht="12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</row>
    <row r="532" spans="1:30" ht="12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</row>
    <row r="533" spans="1:30" ht="12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</row>
    <row r="534" spans="1:30" ht="12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</row>
    <row r="535" spans="1:30" ht="12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</row>
    <row r="536" spans="1:30" ht="12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</row>
    <row r="537" spans="1:30" ht="12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</row>
    <row r="538" spans="1:30" ht="12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</row>
    <row r="539" spans="1:30" ht="12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</row>
    <row r="540" spans="1:30" ht="12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</row>
    <row r="541" spans="1:30" ht="12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</row>
    <row r="542" spans="1:30" ht="12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</row>
    <row r="543" spans="1:30" ht="12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</row>
    <row r="544" spans="1:30" ht="12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</row>
    <row r="545" spans="1:30" ht="12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</row>
    <row r="546" spans="1:30" ht="12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 spans="1:30" ht="12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</row>
    <row r="548" spans="1:30" ht="12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</row>
    <row r="549" spans="1:30" ht="12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</row>
    <row r="550" spans="1:30" ht="12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</row>
    <row r="551" spans="1:30" ht="12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</row>
    <row r="552" spans="1:30" ht="12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</row>
    <row r="553" spans="1:30" ht="12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</row>
    <row r="554" spans="1:30" ht="12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</row>
    <row r="555" spans="1:30" ht="12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</row>
    <row r="556" spans="1:30" ht="12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</row>
    <row r="557" spans="1:30" ht="12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 spans="1:30" ht="12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</row>
    <row r="559" spans="1:30" ht="12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</row>
    <row r="560" spans="1:30" ht="12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</row>
    <row r="561" spans="1:30" ht="12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</row>
    <row r="562" spans="1:30" ht="12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</row>
    <row r="563" spans="1:30" ht="12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</row>
    <row r="564" spans="1:30" ht="12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</row>
    <row r="565" spans="1:30" ht="12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</row>
    <row r="566" spans="1:30" ht="12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</row>
    <row r="567" spans="1:30" ht="12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</row>
    <row r="568" spans="1:30" ht="12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</row>
    <row r="569" spans="1:30" ht="12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</row>
    <row r="570" spans="1:30" ht="12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</row>
    <row r="571" spans="1:30" ht="12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</row>
    <row r="572" spans="1:30" ht="12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</row>
    <row r="573" spans="1:30" ht="12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</row>
    <row r="574" spans="1:30" ht="12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</row>
    <row r="575" spans="1:30" ht="12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</row>
    <row r="576" spans="1:30" ht="12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</row>
    <row r="577" spans="1:30" ht="12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</row>
    <row r="578" spans="1:30" ht="12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</row>
    <row r="579" spans="1:30" ht="12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</row>
    <row r="580" spans="1:30" ht="12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</row>
    <row r="581" spans="1:30" ht="12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</row>
    <row r="582" spans="1:30" ht="12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</row>
    <row r="583" spans="1:30" ht="12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</row>
    <row r="584" spans="1:30" ht="12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</row>
    <row r="585" spans="1:30" ht="12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</row>
    <row r="586" spans="1:30" ht="12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</row>
    <row r="587" spans="1:30" ht="12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</row>
    <row r="588" spans="1:30" ht="12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</row>
    <row r="589" spans="1:30" ht="12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</row>
    <row r="590" spans="1:30" ht="12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</row>
    <row r="591" spans="1:30" ht="12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</row>
    <row r="592" spans="1:30" ht="12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</row>
    <row r="593" spans="1:30" ht="12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 spans="1:30" ht="12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</row>
    <row r="595" spans="1:30" ht="12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</row>
    <row r="596" spans="1:30" ht="12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</row>
    <row r="597" spans="1:30" ht="12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</row>
    <row r="598" spans="1:30" ht="12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</row>
    <row r="599" spans="1:30" ht="12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</row>
    <row r="600" spans="1:30" ht="12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</row>
    <row r="601" spans="1:30" ht="12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</row>
    <row r="602" spans="1:30" ht="12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</row>
    <row r="603" spans="1:30" ht="12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</row>
    <row r="604" spans="1:30" ht="12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</row>
    <row r="605" spans="1:30" ht="12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</row>
    <row r="606" spans="1:30" ht="12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</row>
    <row r="607" spans="1:30" ht="12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</row>
    <row r="608" spans="1:30" ht="12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</row>
    <row r="609" spans="1:30" ht="12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</row>
    <row r="610" spans="1:30" ht="12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</row>
    <row r="611" spans="1:30" ht="12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</row>
    <row r="612" spans="1:30" ht="12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</row>
    <row r="613" spans="1:30" ht="12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</row>
    <row r="614" spans="1:30" ht="12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</row>
    <row r="615" spans="1:30" ht="12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</row>
    <row r="616" spans="1:30" ht="12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</row>
    <row r="617" spans="1:30" ht="12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</row>
    <row r="618" spans="1:30" ht="12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</row>
    <row r="619" spans="1:30" ht="12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</row>
    <row r="620" spans="1:30" ht="12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</row>
    <row r="621" spans="1:30" ht="12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</row>
    <row r="622" spans="1:30" ht="12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</row>
    <row r="623" spans="1:30" ht="12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</row>
    <row r="624" spans="1:30" ht="12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</row>
    <row r="625" spans="1:30" ht="12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</row>
    <row r="626" spans="1:30" ht="12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</row>
    <row r="627" spans="1:30" ht="12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</row>
    <row r="628" spans="1:30" ht="12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</row>
    <row r="629" spans="1:30" ht="12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</row>
    <row r="630" spans="1:30" ht="12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</row>
    <row r="631" spans="1:30" ht="12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</row>
    <row r="632" spans="1:30" ht="12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</row>
    <row r="633" spans="1:30" ht="12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</row>
    <row r="634" spans="1:30" ht="12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</row>
    <row r="635" spans="1:30" ht="12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</row>
    <row r="636" spans="1:30" ht="12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</row>
    <row r="637" spans="1:30" ht="12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</row>
    <row r="638" spans="1:30" ht="12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</row>
    <row r="639" spans="1:30" ht="12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</row>
    <row r="640" spans="1:30" ht="12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</row>
    <row r="641" spans="1:30" ht="12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</row>
    <row r="642" spans="1:30" ht="12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</row>
    <row r="643" spans="1:30" ht="12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</row>
    <row r="644" spans="1:30" ht="12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</row>
    <row r="645" spans="1:30" ht="12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</row>
    <row r="646" spans="1:30" ht="12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</row>
    <row r="647" spans="1:30" ht="12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</row>
    <row r="648" spans="1:30" ht="12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</row>
    <row r="649" spans="1:30" ht="12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</row>
    <row r="650" spans="1:30" ht="12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 spans="1:30" ht="12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</row>
    <row r="652" spans="1:30" ht="12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</row>
    <row r="653" spans="1:30" ht="12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</row>
    <row r="654" spans="1:30" ht="12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</row>
    <row r="655" spans="1:30" ht="12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</row>
    <row r="656" spans="1:30" ht="12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</row>
    <row r="657" spans="1:30" ht="12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</row>
    <row r="658" spans="1:30" ht="12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</row>
    <row r="659" spans="1:30" ht="12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 spans="1:30" ht="12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</row>
    <row r="661" spans="1:30" ht="12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</row>
    <row r="662" spans="1:30" ht="12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</row>
    <row r="663" spans="1:30" ht="12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</row>
    <row r="664" spans="1:30" ht="12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</row>
    <row r="665" spans="1:30" ht="12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</row>
    <row r="666" spans="1:30" ht="12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</row>
    <row r="667" spans="1:30" ht="12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</row>
    <row r="668" spans="1:30" ht="12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</row>
    <row r="669" spans="1:30" ht="12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</row>
    <row r="670" spans="1:30" ht="12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</row>
    <row r="671" spans="1:30" ht="12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</row>
    <row r="672" spans="1:30" ht="12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</row>
    <row r="673" spans="1:30" ht="12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</row>
    <row r="674" spans="1:30" ht="12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</row>
    <row r="675" spans="1:30" ht="12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</row>
    <row r="676" spans="1:30" ht="12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</row>
    <row r="677" spans="1:30" ht="12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</row>
    <row r="678" spans="1:30" ht="12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</row>
    <row r="679" spans="1:30" ht="12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</row>
    <row r="680" spans="1:30" ht="12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</row>
    <row r="681" spans="1:30" ht="12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</row>
    <row r="682" spans="1:30" ht="12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</row>
    <row r="683" spans="1:30" ht="12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</row>
    <row r="684" spans="1:30" ht="12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</row>
    <row r="685" spans="1:30" ht="12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</row>
    <row r="686" spans="1:30" ht="12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</row>
    <row r="687" spans="1:30" ht="12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</row>
    <row r="688" spans="1:30" ht="12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</row>
    <row r="689" spans="1:30" ht="12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</row>
    <row r="690" spans="1:30" ht="12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</row>
    <row r="691" spans="1:30" ht="12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</row>
    <row r="692" spans="1:30" ht="12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</row>
    <row r="693" spans="1:30" ht="12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</row>
    <row r="694" spans="1:30" ht="12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</row>
    <row r="695" spans="1:30" ht="12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</row>
    <row r="696" spans="1:30" ht="12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</row>
    <row r="697" spans="1:30" ht="12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</row>
    <row r="698" spans="1:30" ht="12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</row>
    <row r="699" spans="1:30" ht="12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</row>
    <row r="700" spans="1:30" ht="12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</row>
    <row r="701" spans="1:30" ht="12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</row>
    <row r="702" spans="1:30" ht="12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</row>
    <row r="703" spans="1:30" ht="12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</row>
    <row r="704" spans="1:30" ht="12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</row>
    <row r="705" spans="1:30" ht="12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</row>
    <row r="706" spans="1:30" ht="12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</row>
    <row r="707" spans="1:30" ht="12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</row>
    <row r="708" spans="1:30" ht="12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</row>
    <row r="709" spans="1:30" ht="12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</row>
    <row r="710" spans="1:30" ht="12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</row>
    <row r="711" spans="1:30" ht="12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</row>
    <row r="712" spans="1:30" ht="12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</row>
    <row r="713" spans="1:30" ht="12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 spans="1:30" ht="12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</row>
    <row r="715" spans="1:30" ht="12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</row>
    <row r="716" spans="1:30" ht="12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</row>
    <row r="717" spans="1:30" ht="12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</row>
    <row r="718" spans="1:30" ht="12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</row>
    <row r="719" spans="1:30" ht="12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</row>
    <row r="720" spans="1:30" ht="12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</row>
    <row r="721" spans="1:30" ht="12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</row>
  </sheetData>
  <mergeCells count="5">
    <mergeCell ref="B174:N174"/>
    <mergeCell ref="B176:O176"/>
    <mergeCell ref="Q48:S48"/>
    <mergeCell ref="Q55:S55"/>
    <mergeCell ref="B141:O141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000"/>
  <sheetViews>
    <sheetView showGridLines="0" zoomScale="84" zoomScaleNormal="84" workbookViewId="0">
      <pane xSplit="2" ySplit="9" topLeftCell="C10" activePane="bottomRight" state="frozen"/>
      <selection pane="topRight" activeCell="B1" sqref="B1"/>
      <selection pane="bottomLeft" activeCell="A10" sqref="A10"/>
      <selection pane="bottomRight" activeCell="F45" sqref="F45"/>
    </sheetView>
  </sheetViews>
  <sheetFormatPr defaultColWidth="14.42578125" defaultRowHeight="15" customHeight="1"/>
  <cols>
    <col min="2" max="2" width="28.7109375" customWidth="1"/>
    <col min="3" max="15" width="16.7109375" customWidth="1"/>
    <col min="16" max="16" width="17.28515625" customWidth="1"/>
    <col min="17" max="27" width="8.7109375" customWidth="1"/>
  </cols>
  <sheetData>
    <row r="1" spans="2:17" ht="18.75" customHeight="1">
      <c r="B1" s="2" t="s">
        <v>116</v>
      </c>
      <c r="D1" s="7" t="s">
        <v>117</v>
      </c>
    </row>
    <row r="11" spans="2:17">
      <c r="B11" s="246" t="s">
        <v>118</v>
      </c>
    </row>
    <row r="12" spans="2:17">
      <c r="B12" s="109" t="s">
        <v>28</v>
      </c>
      <c r="C12" s="110" t="s">
        <v>13</v>
      </c>
      <c r="D12" s="110" t="s">
        <v>14</v>
      </c>
      <c r="E12" s="110" t="s">
        <v>15</v>
      </c>
      <c r="F12" s="110" t="s">
        <v>16</v>
      </c>
      <c r="G12" s="110" t="s">
        <v>17</v>
      </c>
      <c r="H12" s="110" t="s">
        <v>18</v>
      </c>
      <c r="I12" s="110" t="s">
        <v>19</v>
      </c>
      <c r="J12" s="110" t="s">
        <v>20</v>
      </c>
      <c r="K12" s="110" t="s">
        <v>21</v>
      </c>
      <c r="L12" s="110" t="s">
        <v>22</v>
      </c>
      <c r="M12" s="110" t="s">
        <v>23</v>
      </c>
      <c r="N12" s="110" t="s">
        <v>24</v>
      </c>
      <c r="O12" s="111" t="s">
        <v>25</v>
      </c>
      <c r="Q12" s="258" t="s">
        <v>186</v>
      </c>
    </row>
    <row r="13" spans="2:17">
      <c r="B13" s="12" t="s">
        <v>29</v>
      </c>
      <c r="C13" s="112">
        <v>930</v>
      </c>
      <c r="D13" s="112">
        <v>870</v>
      </c>
      <c r="E13" s="112">
        <v>930</v>
      </c>
      <c r="F13" s="112">
        <v>900</v>
      </c>
      <c r="G13" s="112">
        <v>930</v>
      </c>
      <c r="H13" s="112">
        <v>900</v>
      </c>
      <c r="I13" s="112">
        <v>930</v>
      </c>
      <c r="J13" s="112">
        <v>930</v>
      </c>
      <c r="K13" s="112">
        <v>900</v>
      </c>
      <c r="L13" s="112">
        <v>930</v>
      </c>
      <c r="M13" s="112">
        <v>900</v>
      </c>
      <c r="N13" s="112">
        <v>930</v>
      </c>
      <c r="O13" s="15">
        <f t="shared" ref="O13:O15" si="0">SUM(C13:N13)</f>
        <v>10980</v>
      </c>
    </row>
    <row r="14" spans="2:17">
      <c r="B14" s="12" t="s">
        <v>30</v>
      </c>
      <c r="C14" s="112">
        <v>429</v>
      </c>
      <c r="D14" s="112">
        <v>456</v>
      </c>
      <c r="E14" s="112">
        <v>448</v>
      </c>
      <c r="F14" s="112">
        <v>259</v>
      </c>
      <c r="G14" s="112">
        <v>176</v>
      </c>
      <c r="H14" s="112">
        <v>98</v>
      </c>
      <c r="I14" s="112">
        <v>249</v>
      </c>
      <c r="J14" s="112">
        <v>157</v>
      </c>
      <c r="K14" s="112">
        <v>6</v>
      </c>
      <c r="L14" s="112">
        <v>0</v>
      </c>
      <c r="M14" s="112">
        <v>179</v>
      </c>
      <c r="N14" s="112">
        <v>317</v>
      </c>
      <c r="O14" s="15">
        <f>SUM(C14:N14)</f>
        <v>2774</v>
      </c>
    </row>
    <row r="15" spans="2:17">
      <c r="B15" s="12" t="s">
        <v>31</v>
      </c>
      <c r="C15" s="112">
        <v>711</v>
      </c>
      <c r="D15" s="112">
        <v>834</v>
      </c>
      <c r="E15" s="112">
        <v>835</v>
      </c>
      <c r="F15" s="112">
        <v>544</v>
      </c>
      <c r="G15" s="112">
        <v>311</v>
      </c>
      <c r="H15" s="112">
        <v>160</v>
      </c>
      <c r="I15" s="112">
        <v>429</v>
      </c>
      <c r="J15" s="112">
        <v>310</v>
      </c>
      <c r="K15" s="112">
        <v>12</v>
      </c>
      <c r="L15" s="112"/>
      <c r="M15" s="112">
        <v>316</v>
      </c>
      <c r="N15" s="112">
        <v>614</v>
      </c>
      <c r="O15" s="15">
        <f t="shared" si="0"/>
        <v>5076</v>
      </c>
      <c r="Q15" s="259">
        <f>+O15/O14</f>
        <v>1.8298485940879596</v>
      </c>
    </row>
    <row r="16" spans="2:17">
      <c r="B16" s="12" t="s">
        <v>32</v>
      </c>
      <c r="C16" s="113">
        <v>0.46129999999999999</v>
      </c>
      <c r="D16" s="113">
        <v>0.52410000000000001</v>
      </c>
      <c r="E16" s="113">
        <v>0.48170000000000002</v>
      </c>
      <c r="F16" s="113">
        <v>0.2878</v>
      </c>
      <c r="G16" s="113">
        <v>0.18920000000000001</v>
      </c>
      <c r="H16" s="113">
        <v>0.1089</v>
      </c>
      <c r="I16" s="113">
        <v>0.26769999999999999</v>
      </c>
      <c r="J16" s="113">
        <v>0.16880000000000001</v>
      </c>
      <c r="K16" s="113">
        <v>6.7000000000000002E-3</v>
      </c>
      <c r="L16" s="22"/>
      <c r="M16" s="113">
        <v>0.19889999999999999</v>
      </c>
      <c r="N16" s="113">
        <v>0.34089999999999998</v>
      </c>
      <c r="O16" s="17">
        <f>+O14/O13</f>
        <v>0.25264116575591983</v>
      </c>
    </row>
    <row r="17" spans="2:17" ht="15.75" customHeight="1">
      <c r="B17" s="114" t="s">
        <v>119</v>
      </c>
      <c r="C17" s="115">
        <f>+C36/C14</f>
        <v>359.84046711929068</v>
      </c>
      <c r="D17" s="115">
        <f t="shared" ref="D17:N17" si="1">+D36/D14</f>
        <v>465.18851781012609</v>
      </c>
      <c r="E17" s="115">
        <f t="shared" si="1"/>
        <v>389.0031442407261</v>
      </c>
      <c r="F17" s="115">
        <f t="shared" si="1"/>
        <v>378.95219734631502</v>
      </c>
      <c r="G17" s="115">
        <f t="shared" si="1"/>
        <v>231.30813710414614</v>
      </c>
      <c r="H17" s="115">
        <f t="shared" si="1"/>
        <v>291.12236412557161</v>
      </c>
      <c r="I17" s="115">
        <f t="shared" si="1"/>
        <v>426.03102266001406</v>
      </c>
      <c r="J17" s="115">
        <f t="shared" si="1"/>
        <v>403.28887685010795</v>
      </c>
      <c r="K17" s="115">
        <f t="shared" si="1"/>
        <v>434.33012606352167</v>
      </c>
      <c r="L17" s="115"/>
      <c r="M17" s="115">
        <f t="shared" si="1"/>
        <v>471.30736560972713</v>
      </c>
      <c r="N17" s="115">
        <f t="shared" si="1"/>
        <v>729.00372239747628</v>
      </c>
      <c r="O17" s="116">
        <f>+O36/O14</f>
        <v>431.01010582952512</v>
      </c>
    </row>
    <row r="18" spans="2:17">
      <c r="B18" s="246" t="s">
        <v>120</v>
      </c>
    </row>
    <row r="19" spans="2:17">
      <c r="B19" s="109" t="s">
        <v>28</v>
      </c>
      <c r="C19" s="110" t="s">
        <v>13</v>
      </c>
      <c r="D19" s="110" t="s">
        <v>14</v>
      </c>
      <c r="E19" s="110" t="s">
        <v>15</v>
      </c>
      <c r="F19" s="110" t="s">
        <v>16</v>
      </c>
      <c r="G19" s="110" t="s">
        <v>17</v>
      </c>
      <c r="H19" s="110" t="s">
        <v>18</v>
      </c>
      <c r="I19" s="110" t="s">
        <v>19</v>
      </c>
      <c r="J19" s="110" t="s">
        <v>20</v>
      </c>
      <c r="K19" s="110" t="s">
        <v>21</v>
      </c>
      <c r="L19" s="110" t="s">
        <v>22</v>
      </c>
      <c r="M19" s="110" t="s">
        <v>23</v>
      </c>
      <c r="N19" s="110" t="s">
        <v>24</v>
      </c>
      <c r="O19" s="111" t="s">
        <v>25</v>
      </c>
    </row>
    <row r="20" spans="2:17">
      <c r="B20" s="12" t="s">
        <v>29</v>
      </c>
      <c r="C20" s="112">
        <v>930</v>
      </c>
      <c r="D20" s="112">
        <v>840</v>
      </c>
      <c r="E20" s="112">
        <v>930</v>
      </c>
      <c r="F20" s="112">
        <v>900</v>
      </c>
      <c r="G20" s="112">
        <v>930</v>
      </c>
      <c r="H20" s="112">
        <v>900</v>
      </c>
      <c r="I20" s="112">
        <v>930</v>
      </c>
      <c r="J20" s="112">
        <v>930</v>
      </c>
      <c r="K20" s="112">
        <v>900</v>
      </c>
      <c r="L20" s="112">
        <v>930</v>
      </c>
      <c r="M20" s="112">
        <v>900</v>
      </c>
      <c r="N20" s="112">
        <v>930</v>
      </c>
      <c r="O20" s="15">
        <f t="shared" ref="O20:O22" si="2">SUM(C20:N20)</f>
        <v>10950</v>
      </c>
    </row>
    <row r="21" spans="2:17" ht="15.75" customHeight="1">
      <c r="B21" s="12" t="s">
        <v>30</v>
      </c>
      <c r="C21" s="112">
        <v>454</v>
      </c>
      <c r="D21" s="112">
        <v>479</v>
      </c>
      <c r="E21" s="112">
        <v>519</v>
      </c>
      <c r="F21" s="112">
        <v>239</v>
      </c>
      <c r="G21" s="112">
        <v>114</v>
      </c>
      <c r="H21" s="112">
        <v>102</v>
      </c>
      <c r="I21" s="112">
        <v>274</v>
      </c>
      <c r="J21" s="112">
        <v>220</v>
      </c>
      <c r="K21" s="112">
        <v>28</v>
      </c>
      <c r="L21" s="112">
        <v>50</v>
      </c>
      <c r="M21" s="112">
        <v>230</v>
      </c>
      <c r="N21" s="112">
        <v>470</v>
      </c>
      <c r="O21" s="15">
        <f t="shared" si="2"/>
        <v>3179</v>
      </c>
    </row>
    <row r="22" spans="2:17" ht="15.75" customHeight="1">
      <c r="B22" s="12" t="s">
        <v>31</v>
      </c>
      <c r="C22" s="112">
        <v>809</v>
      </c>
      <c r="D22" s="112">
        <v>893</v>
      </c>
      <c r="E22" s="112">
        <v>962</v>
      </c>
      <c r="F22" s="112">
        <v>428</v>
      </c>
      <c r="G22" s="112">
        <v>228</v>
      </c>
      <c r="H22" s="112">
        <v>183</v>
      </c>
      <c r="I22" s="112">
        <v>611</v>
      </c>
      <c r="J22" s="112">
        <v>411</v>
      </c>
      <c r="K22" s="112">
        <v>27</v>
      </c>
      <c r="L22" s="112">
        <v>75</v>
      </c>
      <c r="M22" s="112">
        <v>345</v>
      </c>
      <c r="N22" s="112">
        <v>705</v>
      </c>
      <c r="O22" s="15">
        <f t="shared" si="2"/>
        <v>5677</v>
      </c>
      <c r="Q22" s="259">
        <f>+O22/O21</f>
        <v>1.7857816923560867</v>
      </c>
    </row>
    <row r="23" spans="2:17" ht="15.75" customHeight="1">
      <c r="B23" s="12" t="s">
        <v>32</v>
      </c>
      <c r="C23" s="239">
        <f t="shared" ref="C23:O23" si="3">+C21/C20</f>
        <v>0.48817204301075268</v>
      </c>
      <c r="D23" s="239">
        <f t="shared" si="3"/>
        <v>0.57023809523809521</v>
      </c>
      <c r="E23" s="239">
        <f t="shared" si="3"/>
        <v>0.5580645161290323</v>
      </c>
      <c r="F23" s="239">
        <f t="shared" si="3"/>
        <v>0.26555555555555554</v>
      </c>
      <c r="G23" s="239">
        <f t="shared" si="3"/>
        <v>0.12258064516129032</v>
      </c>
      <c r="H23" s="239">
        <f t="shared" si="3"/>
        <v>0.11333333333333333</v>
      </c>
      <c r="I23" s="239">
        <f t="shared" si="3"/>
        <v>0.29462365591397849</v>
      </c>
      <c r="J23" s="239">
        <f t="shared" si="3"/>
        <v>0.23655913978494625</v>
      </c>
      <c r="K23" s="239">
        <f t="shared" si="3"/>
        <v>3.111111111111111E-2</v>
      </c>
      <c r="L23" s="239">
        <f>+L21/L20</f>
        <v>5.3763440860215055E-2</v>
      </c>
      <c r="M23" s="239">
        <f t="shared" si="3"/>
        <v>0.25555555555555554</v>
      </c>
      <c r="N23" s="239">
        <f t="shared" si="3"/>
        <v>0.5053763440860215</v>
      </c>
      <c r="O23" s="17">
        <f t="shared" si="3"/>
        <v>0.29031963470319633</v>
      </c>
    </row>
    <row r="24" spans="2:17" ht="15.75" customHeight="1">
      <c r="B24" s="114" t="s">
        <v>119</v>
      </c>
      <c r="C24" s="115">
        <f>+C37/C21</f>
        <v>473.50648957184359</v>
      </c>
      <c r="D24" s="115">
        <f t="shared" ref="D24:K24" si="4">+D37/D21</f>
        <v>550.00104478520893</v>
      </c>
      <c r="E24" s="115">
        <f t="shared" si="4"/>
        <v>478.48851525645392</v>
      </c>
      <c r="F24" s="115">
        <f t="shared" si="4"/>
        <v>497.89900998253864</v>
      </c>
      <c r="G24" s="115">
        <f t="shared" si="4"/>
        <v>482.76038684289654</v>
      </c>
      <c r="H24" s="115">
        <f t="shared" si="4"/>
        <v>379.47716867497763</v>
      </c>
      <c r="I24" s="115">
        <f t="shared" si="4"/>
        <v>508.0545146419754</v>
      </c>
      <c r="J24" s="115">
        <f t="shared" si="4"/>
        <v>371.59365626813036</v>
      </c>
      <c r="K24" s="115">
        <f t="shared" si="4"/>
        <v>402.95928571428573</v>
      </c>
      <c r="L24" s="115">
        <f>+L37/L21</f>
        <v>395</v>
      </c>
      <c r="M24" s="115">
        <f>+M37/M21</f>
        <v>405</v>
      </c>
      <c r="N24" s="115">
        <f>+N37/N21</f>
        <v>545</v>
      </c>
      <c r="O24" s="116">
        <f>+O37/O21</f>
        <v>484.67681856479595</v>
      </c>
    </row>
    <row r="25" spans="2:17" ht="15.75" customHeight="1">
      <c r="B25" s="246" t="s">
        <v>27</v>
      </c>
    </row>
    <row r="26" spans="2:17" ht="15.75" customHeight="1">
      <c r="B26" s="109" t="s">
        <v>28</v>
      </c>
      <c r="C26" s="110" t="s">
        <v>13</v>
      </c>
      <c r="D26" s="110" t="s">
        <v>14</v>
      </c>
      <c r="E26" s="110" t="s">
        <v>15</v>
      </c>
      <c r="F26" s="110" t="s">
        <v>16</v>
      </c>
      <c r="G26" s="110" t="s">
        <v>17</v>
      </c>
      <c r="H26" s="110" t="s">
        <v>18</v>
      </c>
      <c r="I26" s="110" t="s">
        <v>19</v>
      </c>
      <c r="J26" s="110" t="s">
        <v>20</v>
      </c>
      <c r="K26" s="110" t="s">
        <v>21</v>
      </c>
      <c r="L26" s="110" t="s">
        <v>22</v>
      </c>
      <c r="M26" s="110" t="s">
        <v>23</v>
      </c>
      <c r="N26" s="110" t="s">
        <v>24</v>
      </c>
      <c r="O26" s="111" t="s">
        <v>25</v>
      </c>
    </row>
    <row r="27" spans="2:17" ht="15.75" customHeight="1">
      <c r="B27" s="12" t="s">
        <v>29</v>
      </c>
      <c r="C27" s="112">
        <f>+'Key Indicators'!C318</f>
        <v>930</v>
      </c>
      <c r="D27" s="112">
        <f>+'Key Indicators'!D318</f>
        <v>840</v>
      </c>
      <c r="E27" s="112">
        <f>+'Key Indicators'!E318</f>
        <v>930</v>
      </c>
      <c r="F27" s="112">
        <f>+'Key Indicators'!F318</f>
        <v>900</v>
      </c>
      <c r="G27" s="112">
        <f>+'Key Indicators'!G318</f>
        <v>930</v>
      </c>
      <c r="H27" s="112">
        <f>+'Key Indicators'!H318</f>
        <v>900</v>
      </c>
      <c r="I27" s="112">
        <f>+'Key Indicators'!I318</f>
        <v>930</v>
      </c>
      <c r="J27" s="112">
        <f>+'Key Indicators'!J318</f>
        <v>930</v>
      </c>
      <c r="K27" s="112">
        <f>+'Key Indicators'!K318</f>
        <v>900</v>
      </c>
      <c r="L27" s="112">
        <f>+'Key Indicators'!L318</f>
        <v>0</v>
      </c>
      <c r="M27" s="112">
        <f>+'Key Indicators'!M318</f>
        <v>900</v>
      </c>
      <c r="N27" s="112">
        <f>+'Key Indicators'!N318</f>
        <v>930</v>
      </c>
      <c r="O27" s="15">
        <f t="shared" ref="O27:O29" si="5">SUM(C27:N27)</f>
        <v>10020</v>
      </c>
    </row>
    <row r="28" spans="2:17" ht="15.75" customHeight="1">
      <c r="B28" s="12" t="s">
        <v>30</v>
      </c>
      <c r="C28" s="112">
        <f>+'Key Indicators'!C319</f>
        <v>697.5</v>
      </c>
      <c r="D28" s="112">
        <f>+'Key Indicators'!D319</f>
        <v>638.4</v>
      </c>
      <c r="E28" s="112">
        <f>+'Key Indicators'!E319</f>
        <v>607.70000000000005</v>
      </c>
      <c r="F28" s="112">
        <f>+'Key Indicators'!F319</f>
        <v>332</v>
      </c>
      <c r="G28" s="112">
        <f>+'Key Indicators'!G319</f>
        <v>232.48620689655172</v>
      </c>
      <c r="H28" s="112">
        <f>+'Key Indicators'!H319</f>
        <v>167.65517241379311</v>
      </c>
      <c r="I28" s="112">
        <f>+'Key Indicators'!I319</f>
        <v>332.1</v>
      </c>
      <c r="J28" s="112">
        <f>+'Key Indicators'!J319</f>
        <v>251.32</v>
      </c>
      <c r="K28" s="112">
        <f>+'Key Indicators'!K319</f>
        <v>82.320000000000007</v>
      </c>
      <c r="L28" s="112">
        <f>+'Key Indicators'!L319</f>
        <v>0</v>
      </c>
      <c r="M28" s="112">
        <f>+'Key Indicators'!M319</f>
        <v>410.09999999999997</v>
      </c>
      <c r="N28" s="112">
        <f>+'Key Indicators'!N319</f>
        <v>611.70749999999998</v>
      </c>
      <c r="O28" s="15">
        <f t="shared" si="5"/>
        <v>4363.2888793103448</v>
      </c>
    </row>
    <row r="29" spans="2:17" ht="15.75" customHeight="1">
      <c r="B29" s="12" t="s">
        <v>31</v>
      </c>
      <c r="C29" s="112">
        <f>+'Key Indicators'!C320</f>
        <v>1255.5</v>
      </c>
      <c r="D29" s="112">
        <f>+'Key Indicators'!D320</f>
        <v>1149.1199999999999</v>
      </c>
      <c r="E29" s="112">
        <f>+'Key Indicators'!E320</f>
        <v>1093.8600000000001</v>
      </c>
      <c r="F29" s="112">
        <f>+'Key Indicators'!F320</f>
        <v>597.6</v>
      </c>
      <c r="G29" s="112">
        <f>+'Key Indicators'!G320</f>
        <v>418.47517241379313</v>
      </c>
      <c r="H29" s="112">
        <f>+'Key Indicators'!H320</f>
        <v>301.77931034482759</v>
      </c>
      <c r="I29" s="112">
        <f>+'Key Indicators'!I320</f>
        <v>597.78000000000009</v>
      </c>
      <c r="J29" s="112">
        <f>+'Key Indicators'!J320</f>
        <v>452.37600000000003</v>
      </c>
      <c r="K29" s="112">
        <f>+'Key Indicators'!K320</f>
        <v>148.17600000000002</v>
      </c>
      <c r="L29" s="112">
        <f>+'Key Indicators'!L320</f>
        <v>0</v>
      </c>
      <c r="M29" s="112">
        <f>+'Key Indicators'!M320</f>
        <v>738.18</v>
      </c>
      <c r="N29" s="112">
        <f>+'Key Indicators'!N320</f>
        <v>1101.0735000000002</v>
      </c>
      <c r="O29" s="15">
        <f t="shared" si="5"/>
        <v>7853.9199827586217</v>
      </c>
      <c r="Q29" s="259">
        <f>+O29/O28</f>
        <v>1.8000000000000003</v>
      </c>
    </row>
    <row r="30" spans="2:17" ht="15.75" customHeight="1">
      <c r="B30" s="12" t="s">
        <v>32</v>
      </c>
      <c r="C30" s="113">
        <f>+C28/C27</f>
        <v>0.75</v>
      </c>
      <c r="D30" s="113">
        <f t="shared" ref="D30:O30" si="6">+D28/D27</f>
        <v>0.76</v>
      </c>
      <c r="E30" s="113">
        <f t="shared" si="6"/>
        <v>0.65344086021505376</v>
      </c>
      <c r="F30" s="113">
        <f t="shared" si="6"/>
        <v>0.36888888888888888</v>
      </c>
      <c r="G30" s="113">
        <f t="shared" si="6"/>
        <v>0.2499851687059696</v>
      </c>
      <c r="H30" s="113">
        <f t="shared" si="6"/>
        <v>0.18628352490421457</v>
      </c>
      <c r="I30" s="113">
        <f t="shared" si="6"/>
        <v>0.35709677419354841</v>
      </c>
      <c r="J30" s="113">
        <f t="shared" si="6"/>
        <v>0.27023655913978495</v>
      </c>
      <c r="K30" s="113">
        <f t="shared" si="6"/>
        <v>9.1466666666666668E-2</v>
      </c>
      <c r="L30" s="22"/>
      <c r="M30" s="113">
        <f t="shared" si="6"/>
        <v>0.45566666666666661</v>
      </c>
      <c r="N30" s="113">
        <f t="shared" si="6"/>
        <v>0.65774999999999995</v>
      </c>
      <c r="O30" s="17">
        <f t="shared" si="6"/>
        <v>0.43545797198706038</v>
      </c>
    </row>
    <row r="31" spans="2:17" ht="15.75" customHeight="1">
      <c r="B31" s="114" t="s">
        <v>119</v>
      </c>
      <c r="C31" s="115">
        <f>+C38/C28</f>
        <v>595.27155268817205</v>
      </c>
      <c r="D31" s="115">
        <f t="shared" ref="D31:N31" si="7">+D38/D28</f>
        <v>583.47404761904772</v>
      </c>
      <c r="E31" s="115">
        <f t="shared" si="7"/>
        <v>590.96203060720745</v>
      </c>
      <c r="F31" s="115">
        <f t="shared" si="7"/>
        <v>635.29075301204819</v>
      </c>
      <c r="G31" s="115">
        <f t="shared" si="7"/>
        <v>521.40327776212166</v>
      </c>
      <c r="H31" s="115">
        <f t="shared" si="7"/>
        <v>553.70169683257927</v>
      </c>
      <c r="I31" s="115">
        <f t="shared" si="7"/>
        <v>566.23140921409208</v>
      </c>
      <c r="J31" s="115">
        <f t="shared" si="7"/>
        <v>520.61790227598283</v>
      </c>
      <c r="K31" s="115">
        <f t="shared" si="7"/>
        <v>485.58682215743437</v>
      </c>
      <c r="L31" s="115"/>
      <c r="M31" s="115">
        <f t="shared" si="7"/>
        <v>548.40743818580836</v>
      </c>
      <c r="N31" s="115">
        <f t="shared" si="7"/>
        <v>733.76343507313561</v>
      </c>
      <c r="O31" s="116">
        <f>+O38/O28</f>
        <v>596.88852332652982</v>
      </c>
    </row>
    <row r="32" spans="2:17" ht="15.75" customHeight="1"/>
    <row r="33" spans="2:17" ht="15.75" customHeight="1"/>
    <row r="34" spans="2:17" ht="15.75" customHeight="1">
      <c r="B34" s="246" t="s">
        <v>184</v>
      </c>
    </row>
    <row r="35" spans="2:17" ht="15.75" customHeight="1">
      <c r="B35" s="117" t="s">
        <v>122</v>
      </c>
      <c r="C35" s="118" t="s">
        <v>13</v>
      </c>
      <c r="D35" s="118" t="s">
        <v>14</v>
      </c>
      <c r="E35" s="118" t="s">
        <v>15</v>
      </c>
      <c r="F35" s="118" t="s">
        <v>16</v>
      </c>
      <c r="G35" s="118" t="s">
        <v>17</v>
      </c>
      <c r="H35" s="118" t="s">
        <v>18</v>
      </c>
      <c r="I35" s="118" t="s">
        <v>19</v>
      </c>
      <c r="J35" s="118" t="s">
        <v>20</v>
      </c>
      <c r="K35" s="118" t="s">
        <v>21</v>
      </c>
      <c r="L35" s="118" t="s">
        <v>22</v>
      </c>
      <c r="M35" s="118" t="s">
        <v>23</v>
      </c>
      <c r="N35" s="118" t="s">
        <v>24</v>
      </c>
      <c r="O35" s="119" t="s">
        <v>25</v>
      </c>
    </row>
    <row r="36" spans="2:17" ht="15.75" customHeight="1">
      <c r="B36" s="19" t="s">
        <v>123</v>
      </c>
      <c r="C36" s="120">
        <v>154371.5603941757</v>
      </c>
      <c r="D36" s="120">
        <v>212125.96412141749</v>
      </c>
      <c r="E36" s="120">
        <v>174273.40861984529</v>
      </c>
      <c r="F36" s="120">
        <v>98148.619112695596</v>
      </c>
      <c r="G36" s="120">
        <v>40710.232130329721</v>
      </c>
      <c r="H36" s="120">
        <v>28529.99168430602</v>
      </c>
      <c r="I36" s="120">
        <v>106081.7246423435</v>
      </c>
      <c r="J36" s="120">
        <v>63316.353665466951</v>
      </c>
      <c r="K36" s="120">
        <v>2605.98075638113</v>
      </c>
      <c r="L36" s="120">
        <v>0</v>
      </c>
      <c r="M36" s="120">
        <v>84364.018444141155</v>
      </c>
      <c r="N36" s="120">
        <v>231094.18</v>
      </c>
      <c r="O36" s="121">
        <f>SUM(C36:N36)</f>
        <v>1195622.0335711027</v>
      </c>
    </row>
    <row r="37" spans="2:17" ht="15.75" customHeight="1">
      <c r="B37" s="19" t="s">
        <v>124</v>
      </c>
      <c r="C37" s="120">
        <v>214971.94626561698</v>
      </c>
      <c r="D37" s="120">
        <v>263450.50045211508</v>
      </c>
      <c r="E37" s="120">
        <v>248335.53941809959</v>
      </c>
      <c r="F37" s="120">
        <v>118997.86338582674</v>
      </c>
      <c r="G37" s="120">
        <v>55034.684100090206</v>
      </c>
      <c r="H37" s="120">
        <v>38706.67120484772</v>
      </c>
      <c r="I37" s="120">
        <v>139206.93701190126</v>
      </c>
      <c r="J37" s="120">
        <v>81750.604378988675</v>
      </c>
      <c r="K37" s="120">
        <v>11282.86</v>
      </c>
      <c r="L37" s="120">
        <v>19750</v>
      </c>
      <c r="M37" s="120">
        <v>93150</v>
      </c>
      <c r="N37" s="120">
        <v>256150</v>
      </c>
      <c r="O37" s="121">
        <f>SUM(C37:N37)</f>
        <v>1540787.6062174863</v>
      </c>
      <c r="P37" s="198"/>
    </row>
    <row r="38" spans="2:17" ht="15.75" customHeight="1">
      <c r="B38" s="122" t="s">
        <v>125</v>
      </c>
      <c r="C38" s="115">
        <f>+'Key Indicators'!C327</f>
        <v>415201.908</v>
      </c>
      <c r="D38" s="115">
        <f>+'Key Indicators'!D327</f>
        <v>372489.83200000005</v>
      </c>
      <c r="E38" s="115">
        <f>+'Key Indicators'!E327</f>
        <v>359127.62599999999</v>
      </c>
      <c r="F38" s="115">
        <f>+'Key Indicators'!F327</f>
        <v>210916.53</v>
      </c>
      <c r="G38" s="115">
        <f>+'Key Indicators'!G327</f>
        <v>121219.07031034485</v>
      </c>
      <c r="H38" s="115">
        <f>+'Key Indicators'!H327</f>
        <v>92830.95344827589</v>
      </c>
      <c r="I38" s="115">
        <f>+'Key Indicators'!I327</f>
        <v>188045.451</v>
      </c>
      <c r="J38" s="115">
        <f>+'Key Indicators'!J327</f>
        <v>130841.6912</v>
      </c>
      <c r="K38" s="115">
        <f>+'Key Indicators'!K327</f>
        <v>39973.5072</v>
      </c>
      <c r="L38" s="115">
        <f>+'Key Indicators'!L327</f>
        <v>0</v>
      </c>
      <c r="M38" s="115">
        <f>+'Key Indicators'!M327</f>
        <v>224901.89039999997</v>
      </c>
      <c r="N38" s="115">
        <f>+'Key Indicators'!N327</f>
        <v>448848.59646000009</v>
      </c>
      <c r="O38" s="123">
        <f>SUM(C38:N38)</f>
        <v>2604397.0560186207</v>
      </c>
      <c r="P38" s="198"/>
      <c r="Q38" s="198"/>
    </row>
    <row r="39" spans="2:17" ht="15.75" customHeight="1"/>
    <row r="40" spans="2:17" ht="15.75" customHeight="1" thickBot="1"/>
    <row r="41" spans="2:17" ht="15.75" customHeight="1" thickBot="1">
      <c r="B41" s="240" t="s">
        <v>182</v>
      </c>
      <c r="C41" s="241">
        <f>(C38-C37)/C37</f>
        <v>0.93142368207887494</v>
      </c>
      <c r="D41" s="241">
        <f t="shared" ref="D41:O41" si="8">(D38-D37)/D37</f>
        <v>0.41388925570746454</v>
      </c>
      <c r="E41" s="241">
        <f t="shared" si="8"/>
        <v>0.44613866723026702</v>
      </c>
      <c r="F41" s="241">
        <f t="shared" si="8"/>
        <v>0.77243963882061806</v>
      </c>
      <c r="G41" s="241">
        <f t="shared" si="8"/>
        <v>1.2025940966588771</v>
      </c>
      <c r="H41" s="241">
        <f t="shared" si="8"/>
        <v>1.3983192188495277</v>
      </c>
      <c r="I41" s="241">
        <f t="shared" si="8"/>
        <v>0.35083390983542273</v>
      </c>
      <c r="J41" s="241">
        <f t="shared" si="8"/>
        <v>0.60049815159077391</v>
      </c>
      <c r="K41" s="241">
        <f t="shared" si="8"/>
        <v>2.5428523619011489</v>
      </c>
      <c r="L41" s="241">
        <f t="shared" si="8"/>
        <v>-1</v>
      </c>
      <c r="M41" s="241">
        <f t="shared" si="8"/>
        <v>1.4144056940418677</v>
      </c>
      <c r="N41" s="241">
        <f t="shared" si="8"/>
        <v>0.75228809861409363</v>
      </c>
      <c r="O41" s="242">
        <f t="shared" si="8"/>
        <v>0.69030244370423832</v>
      </c>
    </row>
    <row r="42" spans="2:17" ht="15.75" customHeight="1" thickBot="1">
      <c r="B42" s="243" t="s">
        <v>183</v>
      </c>
      <c r="C42" s="244">
        <f>+C38-C37</f>
        <v>200229.96173438302</v>
      </c>
      <c r="D42" s="244">
        <f t="shared" ref="D42:O42" si="9">+D38-D37</f>
        <v>109039.33154788497</v>
      </c>
      <c r="E42" s="244">
        <f t="shared" si="9"/>
        <v>110792.0865819004</v>
      </c>
      <c r="F42" s="244">
        <f t="shared" si="9"/>
        <v>91918.666614173257</v>
      </c>
      <c r="G42" s="244">
        <f t="shared" si="9"/>
        <v>66184.386210254641</v>
      </c>
      <c r="H42" s="244">
        <f t="shared" si="9"/>
        <v>54124.28224342817</v>
      </c>
      <c r="I42" s="244">
        <f t="shared" si="9"/>
        <v>48838.513988098741</v>
      </c>
      <c r="J42" s="244">
        <f t="shared" si="9"/>
        <v>49091.086821011326</v>
      </c>
      <c r="K42" s="244">
        <f t="shared" si="9"/>
        <v>28690.647199999999</v>
      </c>
      <c r="L42" s="244">
        <f t="shared" si="9"/>
        <v>-19750</v>
      </c>
      <c r="M42" s="244">
        <f t="shared" si="9"/>
        <v>131751.89039999997</v>
      </c>
      <c r="N42" s="244">
        <f t="shared" si="9"/>
        <v>192698.59646000009</v>
      </c>
      <c r="O42" s="245">
        <f t="shared" si="9"/>
        <v>1063609.4498011344</v>
      </c>
    </row>
    <row r="43" spans="2:17" ht="15.75" customHeight="1"/>
    <row r="44" spans="2:17" ht="15.75" customHeight="1"/>
    <row r="45" spans="2:17" ht="15.75" customHeight="1"/>
    <row r="46" spans="2:17" ht="15.75" customHeight="1"/>
    <row r="47" spans="2:17" ht="15.75" customHeight="1"/>
    <row r="48" spans="2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1" location="Summary!A10" display="⟵ Back to Summary" xr:uid="{00000000-0004-0000-0200-000000000000}"/>
  </hyperlink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A1000"/>
  <sheetViews>
    <sheetView showGridLines="0" zoomScaleNormal="100" workbookViewId="0">
      <pane xSplit="2" ySplit="9" topLeftCell="C36" activePane="bottomRight" state="frozen"/>
      <selection pane="topRight" activeCell="B1" sqref="B1"/>
      <selection pane="bottomLeft" activeCell="A10" sqref="A10"/>
      <selection pane="bottomRight" activeCell="G57" sqref="G57"/>
    </sheetView>
  </sheetViews>
  <sheetFormatPr defaultColWidth="14.42578125" defaultRowHeight="15" customHeight="1"/>
  <cols>
    <col min="2" max="2" width="28.7109375" customWidth="1"/>
    <col min="3" max="15" width="16.7109375" customWidth="1"/>
    <col min="16" max="27" width="8.7109375" customWidth="1"/>
  </cols>
  <sheetData>
    <row r="1" spans="2:15" ht="18.75" customHeight="1">
      <c r="B1" s="2" t="s">
        <v>116</v>
      </c>
      <c r="D1" s="7" t="s">
        <v>126</v>
      </c>
    </row>
    <row r="11" spans="2:15">
      <c r="B11" s="1" t="s">
        <v>118</v>
      </c>
    </row>
    <row r="12" spans="2:15">
      <c r="B12" s="109" t="s">
        <v>28</v>
      </c>
      <c r="C12" s="110" t="s">
        <v>13</v>
      </c>
      <c r="D12" s="110" t="s">
        <v>14</v>
      </c>
      <c r="E12" s="110" t="s">
        <v>15</v>
      </c>
      <c r="F12" s="110" t="s">
        <v>16</v>
      </c>
      <c r="G12" s="110" t="s">
        <v>17</v>
      </c>
      <c r="H12" s="110" t="s">
        <v>18</v>
      </c>
      <c r="I12" s="110" t="s">
        <v>19</v>
      </c>
      <c r="J12" s="110" t="s">
        <v>20</v>
      </c>
      <c r="K12" s="110" t="s">
        <v>21</v>
      </c>
      <c r="L12" s="110" t="s">
        <v>22</v>
      </c>
      <c r="M12" s="110" t="s">
        <v>23</v>
      </c>
      <c r="N12" s="110" t="s">
        <v>24</v>
      </c>
      <c r="O12" s="111" t="s">
        <v>25</v>
      </c>
    </row>
    <row r="13" spans="2:15">
      <c r="B13" s="12" t="s">
        <v>29</v>
      </c>
      <c r="C13" s="112">
        <f>Rooms!C13</f>
        <v>930</v>
      </c>
      <c r="D13" s="112">
        <f>Rooms!D13</f>
        <v>870</v>
      </c>
      <c r="E13" s="112">
        <f>Rooms!E13</f>
        <v>930</v>
      </c>
      <c r="F13" s="112">
        <f>Rooms!F13</f>
        <v>900</v>
      </c>
      <c r="G13" s="112">
        <f>Rooms!G13</f>
        <v>930</v>
      </c>
      <c r="H13" s="112">
        <f>Rooms!H13</f>
        <v>900</v>
      </c>
      <c r="I13" s="112">
        <f>Rooms!I13</f>
        <v>930</v>
      </c>
      <c r="J13" s="112">
        <f>Rooms!J13</f>
        <v>930</v>
      </c>
      <c r="K13" s="112">
        <f>Rooms!K13</f>
        <v>900</v>
      </c>
      <c r="L13" s="112">
        <f>Rooms!L13</f>
        <v>930</v>
      </c>
      <c r="M13" s="112">
        <f>Rooms!M13</f>
        <v>900</v>
      </c>
      <c r="N13" s="112">
        <f>Rooms!N13</f>
        <v>930</v>
      </c>
      <c r="O13" s="15">
        <f>Rooms!O13</f>
        <v>10980</v>
      </c>
    </row>
    <row r="14" spans="2:15">
      <c r="B14" s="12" t="s">
        <v>30</v>
      </c>
      <c r="C14" s="112">
        <f>Rooms!C14</f>
        <v>429</v>
      </c>
      <c r="D14" s="112">
        <f>Rooms!D14</f>
        <v>456</v>
      </c>
      <c r="E14" s="112">
        <f>Rooms!E14</f>
        <v>448</v>
      </c>
      <c r="F14" s="112">
        <f>Rooms!F14</f>
        <v>259</v>
      </c>
      <c r="G14" s="112">
        <f>Rooms!G14</f>
        <v>176</v>
      </c>
      <c r="H14" s="112">
        <f>Rooms!H14</f>
        <v>98</v>
      </c>
      <c r="I14" s="112">
        <f>Rooms!I14</f>
        <v>249</v>
      </c>
      <c r="J14" s="112">
        <f>Rooms!J14</f>
        <v>157</v>
      </c>
      <c r="K14" s="112">
        <f>Rooms!K14</f>
        <v>6</v>
      </c>
      <c r="L14" s="112">
        <f>Rooms!L14</f>
        <v>0</v>
      </c>
      <c r="M14" s="112">
        <f>Rooms!M14</f>
        <v>179</v>
      </c>
      <c r="N14" s="112">
        <f>Rooms!N14</f>
        <v>317</v>
      </c>
      <c r="O14" s="15">
        <f>Rooms!O14</f>
        <v>2774</v>
      </c>
    </row>
    <row r="15" spans="2:15">
      <c r="B15" s="12" t="s">
        <v>31</v>
      </c>
      <c r="C15" s="112">
        <f>Rooms!C15</f>
        <v>711</v>
      </c>
      <c r="D15" s="112">
        <f>Rooms!D15</f>
        <v>834</v>
      </c>
      <c r="E15" s="112">
        <f>Rooms!E15</f>
        <v>835</v>
      </c>
      <c r="F15" s="112">
        <f>Rooms!F15</f>
        <v>544</v>
      </c>
      <c r="G15" s="112">
        <f>Rooms!G15</f>
        <v>311</v>
      </c>
      <c r="H15" s="112">
        <f>Rooms!H15</f>
        <v>160</v>
      </c>
      <c r="I15" s="112">
        <f>Rooms!I15</f>
        <v>429</v>
      </c>
      <c r="J15" s="112">
        <f>Rooms!J15</f>
        <v>310</v>
      </c>
      <c r="K15" s="112">
        <f>Rooms!K15</f>
        <v>12</v>
      </c>
      <c r="L15" s="112">
        <f>Rooms!L15</f>
        <v>0</v>
      </c>
      <c r="M15" s="112">
        <f>Rooms!M15</f>
        <v>316</v>
      </c>
      <c r="N15" s="112">
        <f>Rooms!N15</f>
        <v>614</v>
      </c>
      <c r="O15" s="15">
        <f>Rooms!O15</f>
        <v>5076</v>
      </c>
    </row>
    <row r="16" spans="2:15">
      <c r="B16" s="12" t="s">
        <v>32</v>
      </c>
      <c r="C16" s="113">
        <f>Rooms!C16</f>
        <v>0.46129999999999999</v>
      </c>
      <c r="D16" s="113">
        <f>Rooms!D16</f>
        <v>0.52410000000000001</v>
      </c>
      <c r="E16" s="113">
        <f>Rooms!E16</f>
        <v>0.48170000000000002</v>
      </c>
      <c r="F16" s="113">
        <f>Rooms!F16</f>
        <v>0.2878</v>
      </c>
      <c r="G16" s="113">
        <f>Rooms!G16</f>
        <v>0.18920000000000001</v>
      </c>
      <c r="H16" s="113">
        <f>Rooms!H16</f>
        <v>0.1089</v>
      </c>
      <c r="I16" s="113">
        <f>Rooms!I16</f>
        <v>0.26769999999999999</v>
      </c>
      <c r="J16" s="113">
        <f>Rooms!J16</f>
        <v>0.16880000000000001</v>
      </c>
      <c r="K16" s="113">
        <f>Rooms!K16</f>
        <v>6.7000000000000002E-3</v>
      </c>
      <c r="L16" s="22">
        <f>Rooms!L16</f>
        <v>0</v>
      </c>
      <c r="M16" s="113">
        <f>Rooms!M16</f>
        <v>0.19889999999999999</v>
      </c>
      <c r="N16" s="113">
        <f>Rooms!N16</f>
        <v>0.34089999999999998</v>
      </c>
      <c r="O16" s="17">
        <f>Rooms!O16</f>
        <v>0.25264116575591983</v>
      </c>
    </row>
    <row r="17" spans="2:15">
      <c r="B17" s="114" t="s">
        <v>119</v>
      </c>
      <c r="C17" s="115">
        <f>Rooms!C17</f>
        <v>359.84046711929068</v>
      </c>
      <c r="D17" s="115">
        <f>Rooms!D17</f>
        <v>465.18851781012609</v>
      </c>
      <c r="E17" s="115">
        <f>Rooms!E17</f>
        <v>389.0031442407261</v>
      </c>
      <c r="F17" s="115">
        <f>Rooms!F17</f>
        <v>378.95219734631502</v>
      </c>
      <c r="G17" s="115">
        <f>Rooms!G17</f>
        <v>231.30813710414614</v>
      </c>
      <c r="H17" s="115">
        <f>Rooms!H17</f>
        <v>291.12236412557161</v>
      </c>
      <c r="I17" s="115">
        <f>Rooms!I17</f>
        <v>426.03102266001406</v>
      </c>
      <c r="J17" s="115">
        <f>Rooms!J17</f>
        <v>403.28887685010795</v>
      </c>
      <c r="K17" s="115">
        <f>Rooms!K17</f>
        <v>434.33012606352167</v>
      </c>
      <c r="L17" s="115">
        <f>Rooms!L17</f>
        <v>0</v>
      </c>
      <c r="M17" s="115">
        <f>Rooms!M17</f>
        <v>471.30736560972713</v>
      </c>
      <c r="N17" s="115">
        <f>Rooms!N17</f>
        <v>729.00372239747628</v>
      </c>
      <c r="O17" s="116">
        <f>Rooms!O17</f>
        <v>431.01010582952512</v>
      </c>
    </row>
    <row r="18" spans="2:15">
      <c r="B18" s="1" t="s">
        <v>120</v>
      </c>
    </row>
    <row r="19" spans="2:15">
      <c r="B19" s="109" t="s">
        <v>28</v>
      </c>
      <c r="C19" s="110" t="s">
        <v>13</v>
      </c>
      <c r="D19" s="110" t="s">
        <v>14</v>
      </c>
      <c r="E19" s="110" t="s">
        <v>15</v>
      </c>
      <c r="F19" s="110" t="s">
        <v>16</v>
      </c>
      <c r="G19" s="110" t="s">
        <v>17</v>
      </c>
      <c r="H19" s="110" t="s">
        <v>18</v>
      </c>
      <c r="I19" s="110" t="s">
        <v>19</v>
      </c>
      <c r="J19" s="110" t="s">
        <v>20</v>
      </c>
      <c r="K19" s="110" t="s">
        <v>21</v>
      </c>
      <c r="L19" s="110" t="s">
        <v>22</v>
      </c>
      <c r="M19" s="110" t="s">
        <v>23</v>
      </c>
      <c r="N19" s="110" t="s">
        <v>24</v>
      </c>
      <c r="O19" s="111" t="s">
        <v>25</v>
      </c>
    </row>
    <row r="20" spans="2:15">
      <c r="B20" s="12" t="s">
        <v>29</v>
      </c>
      <c r="C20" s="112">
        <f>Rooms!C20</f>
        <v>930</v>
      </c>
      <c r="D20" s="112">
        <f>Rooms!D20</f>
        <v>840</v>
      </c>
      <c r="E20" s="112">
        <f>Rooms!E20</f>
        <v>930</v>
      </c>
      <c r="F20" s="112">
        <f>Rooms!F20</f>
        <v>900</v>
      </c>
      <c r="G20" s="112">
        <f>Rooms!G20</f>
        <v>930</v>
      </c>
      <c r="H20" s="112">
        <f>Rooms!H20</f>
        <v>900</v>
      </c>
      <c r="I20" s="112">
        <f>Rooms!I20</f>
        <v>930</v>
      </c>
      <c r="J20" s="112">
        <f>Rooms!J20</f>
        <v>930</v>
      </c>
      <c r="K20" s="112">
        <f>Rooms!K20</f>
        <v>900</v>
      </c>
      <c r="L20" s="112">
        <f>Rooms!L20</f>
        <v>930</v>
      </c>
      <c r="M20" s="112">
        <f>Rooms!M20</f>
        <v>900</v>
      </c>
      <c r="N20" s="112">
        <f>Rooms!N20</f>
        <v>930</v>
      </c>
      <c r="O20" s="15">
        <f>Rooms!O20</f>
        <v>10950</v>
      </c>
    </row>
    <row r="21" spans="2:15" ht="15.75" customHeight="1">
      <c r="B21" s="12" t="s">
        <v>30</v>
      </c>
      <c r="C21" s="112">
        <f>Rooms!C21</f>
        <v>454</v>
      </c>
      <c r="D21" s="112">
        <f>Rooms!D21</f>
        <v>479</v>
      </c>
      <c r="E21" s="112">
        <f>Rooms!E21</f>
        <v>519</v>
      </c>
      <c r="F21" s="112">
        <f>Rooms!F21</f>
        <v>239</v>
      </c>
      <c r="G21" s="112">
        <f>Rooms!G21</f>
        <v>114</v>
      </c>
      <c r="H21" s="112">
        <f>Rooms!H21</f>
        <v>102</v>
      </c>
      <c r="I21" s="112">
        <f>Rooms!I21</f>
        <v>274</v>
      </c>
      <c r="J21" s="112">
        <f>Rooms!J21</f>
        <v>220</v>
      </c>
      <c r="K21" s="112">
        <f>Rooms!K21</f>
        <v>28</v>
      </c>
      <c r="L21" s="112">
        <f>Rooms!L21</f>
        <v>50</v>
      </c>
      <c r="M21" s="112">
        <f>Rooms!M21</f>
        <v>230</v>
      </c>
      <c r="N21" s="112">
        <f>Rooms!N21</f>
        <v>470</v>
      </c>
      <c r="O21" s="15">
        <f>Rooms!O21</f>
        <v>3179</v>
      </c>
    </row>
    <row r="22" spans="2:15" ht="15.75" customHeight="1">
      <c r="B22" s="12" t="s">
        <v>31</v>
      </c>
      <c r="C22" s="112">
        <f>Rooms!C22</f>
        <v>809</v>
      </c>
      <c r="D22" s="112">
        <f>Rooms!D22</f>
        <v>893</v>
      </c>
      <c r="E22" s="112">
        <f>Rooms!E22</f>
        <v>962</v>
      </c>
      <c r="F22" s="112">
        <f>Rooms!F22</f>
        <v>428</v>
      </c>
      <c r="G22" s="112">
        <f>Rooms!G22</f>
        <v>228</v>
      </c>
      <c r="H22" s="112">
        <f>Rooms!H22</f>
        <v>183</v>
      </c>
      <c r="I22" s="112">
        <f>Rooms!I22</f>
        <v>611</v>
      </c>
      <c r="J22" s="112">
        <f>Rooms!J22</f>
        <v>411</v>
      </c>
      <c r="K22" s="112">
        <f>Rooms!K22</f>
        <v>27</v>
      </c>
      <c r="L22" s="112">
        <f>Rooms!L22</f>
        <v>75</v>
      </c>
      <c r="M22" s="112">
        <f>Rooms!M22</f>
        <v>345</v>
      </c>
      <c r="N22" s="112">
        <f>Rooms!N22</f>
        <v>705</v>
      </c>
      <c r="O22" s="15">
        <f>Rooms!O22</f>
        <v>5677</v>
      </c>
    </row>
    <row r="23" spans="2:15" ht="15.75" customHeight="1">
      <c r="B23" s="12" t="s">
        <v>32</v>
      </c>
      <c r="C23" s="113">
        <f>Rooms!C23</f>
        <v>0.48817204301075268</v>
      </c>
      <c r="D23" s="113">
        <f>Rooms!D23</f>
        <v>0.57023809523809521</v>
      </c>
      <c r="E23" s="113">
        <f>Rooms!E23</f>
        <v>0.5580645161290323</v>
      </c>
      <c r="F23" s="113">
        <f>Rooms!F23</f>
        <v>0.26555555555555554</v>
      </c>
      <c r="G23" s="113">
        <f>Rooms!G23</f>
        <v>0.12258064516129032</v>
      </c>
      <c r="H23" s="113">
        <f>Rooms!H23</f>
        <v>0.11333333333333333</v>
      </c>
      <c r="I23" s="113">
        <f>Rooms!I23</f>
        <v>0.29462365591397849</v>
      </c>
      <c r="J23" s="113">
        <f>Rooms!J23</f>
        <v>0.23655913978494625</v>
      </c>
      <c r="K23" s="113">
        <f>Rooms!K23</f>
        <v>3.111111111111111E-2</v>
      </c>
      <c r="L23" s="22">
        <f>Rooms!L23</f>
        <v>5.3763440860215055E-2</v>
      </c>
      <c r="M23" s="113">
        <f>Rooms!M23</f>
        <v>0.25555555555555554</v>
      </c>
      <c r="N23" s="113">
        <f>Rooms!N23</f>
        <v>0.5053763440860215</v>
      </c>
      <c r="O23" s="17">
        <f>Rooms!O23</f>
        <v>0.29031963470319633</v>
      </c>
    </row>
    <row r="24" spans="2:15" ht="15.75" customHeight="1">
      <c r="B24" s="114" t="s">
        <v>119</v>
      </c>
      <c r="C24" s="115">
        <f>Rooms!C24</f>
        <v>473.50648957184359</v>
      </c>
      <c r="D24" s="115">
        <f>Rooms!D24</f>
        <v>550.00104478520893</v>
      </c>
      <c r="E24" s="115">
        <f>Rooms!E24</f>
        <v>478.48851525645392</v>
      </c>
      <c r="F24" s="115">
        <f>Rooms!F24</f>
        <v>497.89900998253864</v>
      </c>
      <c r="G24" s="115">
        <f>Rooms!G24</f>
        <v>482.76038684289654</v>
      </c>
      <c r="H24" s="115">
        <f>Rooms!H24</f>
        <v>379.47716867497763</v>
      </c>
      <c r="I24" s="115">
        <f>Rooms!I24</f>
        <v>508.0545146419754</v>
      </c>
      <c r="J24" s="115">
        <f>Rooms!J24</f>
        <v>371.59365626813036</v>
      </c>
      <c r="K24" s="115">
        <f>Rooms!K24</f>
        <v>402.95928571428573</v>
      </c>
      <c r="L24" s="115">
        <f>Rooms!L24</f>
        <v>395</v>
      </c>
      <c r="M24" s="115">
        <f>Rooms!M24</f>
        <v>405</v>
      </c>
      <c r="N24" s="115">
        <f>Rooms!N24</f>
        <v>545</v>
      </c>
      <c r="O24" s="116">
        <f>Rooms!O24</f>
        <v>484.67681856479595</v>
      </c>
    </row>
    <row r="25" spans="2:15" ht="15.75" customHeight="1">
      <c r="B25" s="1" t="s">
        <v>27</v>
      </c>
    </row>
    <row r="26" spans="2:15" ht="15.75" customHeight="1">
      <c r="B26" s="109" t="s">
        <v>28</v>
      </c>
      <c r="C26" s="110" t="s">
        <v>13</v>
      </c>
      <c r="D26" s="110" t="s">
        <v>14</v>
      </c>
      <c r="E26" s="110" t="s">
        <v>15</v>
      </c>
      <c r="F26" s="110" t="s">
        <v>16</v>
      </c>
      <c r="G26" s="110" t="s">
        <v>17</v>
      </c>
      <c r="H26" s="110" t="s">
        <v>18</v>
      </c>
      <c r="I26" s="110" t="s">
        <v>19</v>
      </c>
      <c r="J26" s="110" t="s">
        <v>20</v>
      </c>
      <c r="K26" s="110" t="s">
        <v>21</v>
      </c>
      <c r="L26" s="110" t="s">
        <v>22</v>
      </c>
      <c r="M26" s="110" t="s">
        <v>23</v>
      </c>
      <c r="N26" s="110" t="s">
        <v>24</v>
      </c>
      <c r="O26" s="111" t="s">
        <v>25</v>
      </c>
    </row>
    <row r="27" spans="2:15" ht="15.75" customHeight="1">
      <c r="B27" s="12" t="s">
        <v>29</v>
      </c>
      <c r="C27" s="112">
        <f>Rooms!C27</f>
        <v>930</v>
      </c>
      <c r="D27" s="112">
        <f>Rooms!D27</f>
        <v>840</v>
      </c>
      <c r="E27" s="112">
        <f>Rooms!E27</f>
        <v>930</v>
      </c>
      <c r="F27" s="112">
        <f>Rooms!F27</f>
        <v>900</v>
      </c>
      <c r="G27" s="112">
        <f>Rooms!G27</f>
        <v>930</v>
      </c>
      <c r="H27" s="112">
        <f>Rooms!H27</f>
        <v>900</v>
      </c>
      <c r="I27" s="112">
        <f>Rooms!I27</f>
        <v>930</v>
      </c>
      <c r="J27" s="112">
        <f>Rooms!J27</f>
        <v>930</v>
      </c>
      <c r="K27" s="112">
        <f>Rooms!K27</f>
        <v>900</v>
      </c>
      <c r="L27" s="112">
        <f>Rooms!L27</f>
        <v>0</v>
      </c>
      <c r="M27" s="112">
        <f>Rooms!M27</f>
        <v>900</v>
      </c>
      <c r="N27" s="112">
        <f>Rooms!N27</f>
        <v>930</v>
      </c>
      <c r="O27" s="15">
        <f>Rooms!O27</f>
        <v>10020</v>
      </c>
    </row>
    <row r="28" spans="2:15" ht="15.75" customHeight="1">
      <c r="B28" s="12" t="s">
        <v>30</v>
      </c>
      <c r="C28" s="112">
        <f>Rooms!C28</f>
        <v>697.5</v>
      </c>
      <c r="D28" s="112">
        <f>Rooms!D28</f>
        <v>638.4</v>
      </c>
      <c r="E28" s="112">
        <f>Rooms!E28</f>
        <v>607.70000000000005</v>
      </c>
      <c r="F28" s="112">
        <f>Rooms!F28</f>
        <v>332</v>
      </c>
      <c r="G28" s="112">
        <f>Rooms!G28</f>
        <v>232.48620689655172</v>
      </c>
      <c r="H28" s="112">
        <f>Rooms!H28</f>
        <v>167.65517241379311</v>
      </c>
      <c r="I28" s="112">
        <f>Rooms!I28</f>
        <v>332.1</v>
      </c>
      <c r="J28" s="112">
        <f>Rooms!J28</f>
        <v>251.32</v>
      </c>
      <c r="K28" s="112">
        <f>Rooms!K28</f>
        <v>82.320000000000007</v>
      </c>
      <c r="L28" s="112">
        <f>Rooms!L28</f>
        <v>0</v>
      </c>
      <c r="M28" s="112">
        <f>Rooms!M28</f>
        <v>410.09999999999997</v>
      </c>
      <c r="N28" s="112">
        <f>Rooms!N28</f>
        <v>611.70749999999998</v>
      </c>
      <c r="O28" s="15">
        <f>Rooms!O28</f>
        <v>4363.2888793103448</v>
      </c>
    </row>
    <row r="29" spans="2:15" ht="15.75" customHeight="1">
      <c r="B29" s="12" t="s">
        <v>31</v>
      </c>
      <c r="C29" s="112">
        <f>Rooms!C29</f>
        <v>1255.5</v>
      </c>
      <c r="D29" s="112">
        <f>Rooms!D29</f>
        <v>1149.1199999999999</v>
      </c>
      <c r="E29" s="112">
        <f>Rooms!E29</f>
        <v>1093.8600000000001</v>
      </c>
      <c r="F29" s="112">
        <f>Rooms!F29</f>
        <v>597.6</v>
      </c>
      <c r="G29" s="112">
        <f>Rooms!G29</f>
        <v>418.47517241379313</v>
      </c>
      <c r="H29" s="112">
        <f>Rooms!H29</f>
        <v>301.77931034482759</v>
      </c>
      <c r="I29" s="112">
        <f>Rooms!I29</f>
        <v>597.78000000000009</v>
      </c>
      <c r="J29" s="112">
        <f>Rooms!J29</f>
        <v>452.37600000000003</v>
      </c>
      <c r="K29" s="112">
        <f>Rooms!K29</f>
        <v>148.17600000000002</v>
      </c>
      <c r="L29" s="112">
        <f>Rooms!L29</f>
        <v>0</v>
      </c>
      <c r="M29" s="112">
        <f>Rooms!M29</f>
        <v>738.18</v>
      </c>
      <c r="N29" s="112">
        <f>Rooms!N29</f>
        <v>1101.0735000000002</v>
      </c>
      <c r="O29" s="15">
        <f>Rooms!O29</f>
        <v>7853.9199827586217</v>
      </c>
    </row>
    <row r="30" spans="2:15" ht="15.75" customHeight="1">
      <c r="B30" s="12" t="s">
        <v>32</v>
      </c>
      <c r="C30" s="113">
        <f>Rooms!C30</f>
        <v>0.75</v>
      </c>
      <c r="D30" s="113">
        <f>Rooms!D30</f>
        <v>0.76</v>
      </c>
      <c r="E30" s="113">
        <f>Rooms!E30</f>
        <v>0.65344086021505376</v>
      </c>
      <c r="F30" s="113">
        <f>Rooms!F30</f>
        <v>0.36888888888888888</v>
      </c>
      <c r="G30" s="113">
        <f>Rooms!G30</f>
        <v>0.2499851687059696</v>
      </c>
      <c r="H30" s="113">
        <f>Rooms!H30</f>
        <v>0.18628352490421457</v>
      </c>
      <c r="I30" s="113">
        <f>Rooms!I30</f>
        <v>0.35709677419354841</v>
      </c>
      <c r="J30" s="113">
        <f>Rooms!J30</f>
        <v>0.27023655913978495</v>
      </c>
      <c r="K30" s="113">
        <f>Rooms!K30</f>
        <v>9.1466666666666668E-2</v>
      </c>
      <c r="L30" s="22">
        <f>Rooms!L30</f>
        <v>0</v>
      </c>
      <c r="M30" s="113">
        <f>Rooms!M30</f>
        <v>0.45566666666666661</v>
      </c>
      <c r="N30" s="113">
        <f>Rooms!N30</f>
        <v>0.65774999999999995</v>
      </c>
      <c r="O30" s="17">
        <f>Rooms!O30</f>
        <v>0.43545797198706038</v>
      </c>
    </row>
    <row r="31" spans="2:15" ht="15.75" customHeight="1">
      <c r="B31" s="114" t="s">
        <v>119</v>
      </c>
      <c r="C31" s="115">
        <f>Rooms!C31</f>
        <v>595.27155268817205</v>
      </c>
      <c r="D31" s="115">
        <f>Rooms!D31</f>
        <v>583.47404761904772</v>
      </c>
      <c r="E31" s="115">
        <f>Rooms!E31</f>
        <v>590.96203060720745</v>
      </c>
      <c r="F31" s="115">
        <f>Rooms!F31</f>
        <v>635.29075301204819</v>
      </c>
      <c r="G31" s="115">
        <f>Rooms!G31</f>
        <v>521.40327776212166</v>
      </c>
      <c r="H31" s="115">
        <f>Rooms!H31</f>
        <v>553.70169683257927</v>
      </c>
      <c r="I31" s="115">
        <f>Rooms!I31</f>
        <v>566.23140921409208</v>
      </c>
      <c r="J31" s="115">
        <f>Rooms!J31</f>
        <v>520.61790227598283</v>
      </c>
      <c r="K31" s="115">
        <f>Rooms!K31</f>
        <v>485.58682215743437</v>
      </c>
      <c r="L31" s="115">
        <f>Rooms!L31</f>
        <v>0</v>
      </c>
      <c r="M31" s="115">
        <f>Rooms!M31</f>
        <v>548.40743818580836</v>
      </c>
      <c r="N31" s="115">
        <f>Rooms!N31</f>
        <v>733.76343507313561</v>
      </c>
      <c r="O31" s="116">
        <f>Rooms!O31</f>
        <v>596.88852332652982</v>
      </c>
    </row>
    <row r="32" spans="2:15" ht="15.75" customHeight="1"/>
    <row r="33" spans="2:27" ht="15.75" customHeight="1"/>
    <row r="34" spans="2:27" ht="15.75" customHeight="1">
      <c r="B34" s="1" t="s">
        <v>121</v>
      </c>
    </row>
    <row r="35" spans="2:27" ht="15.75" customHeight="1">
      <c r="B35" s="117" t="s">
        <v>122</v>
      </c>
      <c r="C35" s="118" t="s">
        <v>13</v>
      </c>
      <c r="D35" s="118" t="s">
        <v>14</v>
      </c>
      <c r="E35" s="118" t="s">
        <v>15</v>
      </c>
      <c r="F35" s="118" t="s">
        <v>16</v>
      </c>
      <c r="G35" s="118" t="s">
        <v>17</v>
      </c>
      <c r="H35" s="118" t="s">
        <v>18</v>
      </c>
      <c r="I35" s="118" t="s">
        <v>19</v>
      </c>
      <c r="J35" s="118" t="s">
        <v>20</v>
      </c>
      <c r="K35" s="118" t="s">
        <v>21</v>
      </c>
      <c r="L35" s="118" t="s">
        <v>22</v>
      </c>
      <c r="M35" s="118" t="s">
        <v>23</v>
      </c>
      <c r="N35" s="118" t="s">
        <v>24</v>
      </c>
      <c r="O35" s="119" t="s">
        <v>25</v>
      </c>
    </row>
    <row r="36" spans="2:27" ht="15.75" customHeight="1">
      <c r="B36" s="19" t="s">
        <v>123</v>
      </c>
      <c r="C36" s="120">
        <v>40539.55897268431</v>
      </c>
      <c r="D36" s="120">
        <v>51930.05293245818</v>
      </c>
      <c r="E36" s="120">
        <v>51479.404505828192</v>
      </c>
      <c r="F36" s="120">
        <v>31261.324242424242</v>
      </c>
      <c r="G36" s="120">
        <v>12340.602482656481</v>
      </c>
      <c r="H36" s="120">
        <v>10377.84156713033</v>
      </c>
      <c r="I36" s="120">
        <v>27201.50537430929</v>
      </c>
      <c r="J36" s="120">
        <v>20146.527921954919</v>
      </c>
      <c r="K36" s="120">
        <v>879.4413050533592</v>
      </c>
      <c r="L36" s="120">
        <v>0</v>
      </c>
      <c r="M36" s="120">
        <v>23570.4825697017</v>
      </c>
      <c r="N36" s="120">
        <v>48192.130398117282</v>
      </c>
      <c r="O36" s="121">
        <f t="shared" ref="O36:O38" si="0">SUM(C36:N36)</f>
        <v>317918.87227231829</v>
      </c>
    </row>
    <row r="37" spans="2:27" ht="15.75" customHeight="1">
      <c r="B37" s="19" t="s">
        <v>124</v>
      </c>
      <c r="C37" s="120">
        <v>55354.293659186151</v>
      </c>
      <c r="D37" s="120">
        <v>72196.171980657338</v>
      </c>
      <c r="E37" s="120">
        <v>70786.322940838087</v>
      </c>
      <c r="F37" s="120">
        <v>36330.097086614172</v>
      </c>
      <c r="G37" s="120">
        <v>16129.355257481269</v>
      </c>
      <c r="H37" s="120">
        <v>13689.424588809319</v>
      </c>
      <c r="I37" s="120">
        <v>46042.42700895053</v>
      </c>
      <c r="J37" s="120">
        <v>26588.885223367699</v>
      </c>
      <c r="K37" s="120">
        <v>6403.0499999999984</v>
      </c>
      <c r="L37" s="120">
        <v>0</v>
      </c>
      <c r="M37" s="120">
        <v>29454.03</v>
      </c>
      <c r="N37" s="120">
        <v>55066.23</v>
      </c>
      <c r="O37" s="121">
        <f t="shared" si="0"/>
        <v>428040.28774590453</v>
      </c>
    </row>
    <row r="38" spans="2:27" ht="15.75" customHeight="1">
      <c r="B38" s="122" t="s">
        <v>125</v>
      </c>
      <c r="C38" s="115">
        <f>+'Key Indicators'!C328</f>
        <v>113356.584</v>
      </c>
      <c r="D38" s="115">
        <f>+'Key Indicators'!D328</f>
        <v>103751.74656</v>
      </c>
      <c r="E38" s="115">
        <f>+'Key Indicators'!E328</f>
        <v>98762.431680000009</v>
      </c>
      <c r="F38" s="115">
        <f>+'Key Indicators'!F328</f>
        <v>53956.108800000016</v>
      </c>
      <c r="G38" s="115">
        <f>+'Key Indicators'!G328</f>
        <v>37783.286366896558</v>
      </c>
      <c r="H38" s="115">
        <f>+'Key Indicators'!H328</f>
        <v>27247.050372413796</v>
      </c>
      <c r="I38" s="115">
        <f>+'Key Indicators'!I328</f>
        <v>53972.360640000014</v>
      </c>
      <c r="J38" s="115">
        <f>+'Key Indicators'!J328</f>
        <v>40844.124288000006</v>
      </c>
      <c r="K38" s="115">
        <f>+'Key Indicators'!K328</f>
        <v>13378.514688000003</v>
      </c>
      <c r="L38" s="115">
        <f>+'Key Indicators'!L328</f>
        <v>0</v>
      </c>
      <c r="M38" s="115">
        <f>+'Key Indicators'!M328</f>
        <v>66648.795840000006</v>
      </c>
      <c r="N38" s="115">
        <f>+'Key Indicators'!N328</f>
        <v>99413.724168000015</v>
      </c>
      <c r="O38" s="123">
        <f t="shared" si="0"/>
        <v>709114.72740331048</v>
      </c>
    </row>
    <row r="39" spans="2:27" ht="15.75" customHeight="1"/>
    <row r="40" spans="2:27" ht="15.75" customHeight="1">
      <c r="B40" s="124" t="s">
        <v>127</v>
      </c>
      <c r="C40" s="124">
        <f t="shared" ref="C40:O40" si="1">+C36/C14</f>
        <v>94.497806463133585</v>
      </c>
      <c r="D40" s="124">
        <f t="shared" si="1"/>
        <v>113.88169502732057</v>
      </c>
      <c r="E40" s="124">
        <f t="shared" si="1"/>
        <v>114.90938505765222</v>
      </c>
      <c r="F40" s="124">
        <f t="shared" si="1"/>
        <v>120.7000936000936</v>
      </c>
      <c r="G40" s="124">
        <f t="shared" si="1"/>
        <v>70.117059560548185</v>
      </c>
      <c r="H40" s="124">
        <f t="shared" si="1"/>
        <v>105.89634252173806</v>
      </c>
      <c r="I40" s="124">
        <f t="shared" si="1"/>
        <v>109.24299347112165</v>
      </c>
      <c r="J40" s="124">
        <f t="shared" si="1"/>
        <v>128.32183389780204</v>
      </c>
      <c r="K40" s="124">
        <f t="shared" si="1"/>
        <v>146.57355084222652</v>
      </c>
      <c r="L40" s="124" t="e">
        <f t="shared" si="1"/>
        <v>#DIV/0!</v>
      </c>
      <c r="M40" s="124">
        <f t="shared" si="1"/>
        <v>131.67867357375252</v>
      </c>
      <c r="N40" s="124">
        <f t="shared" si="1"/>
        <v>152.02564794358764</v>
      </c>
      <c r="O40" s="124">
        <f t="shared" si="1"/>
        <v>114.60665907437573</v>
      </c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</row>
    <row r="41" spans="2:27" ht="15.75" customHeight="1">
      <c r="B41" s="124" t="s">
        <v>128</v>
      </c>
      <c r="C41" s="124">
        <f>+C37/C21</f>
        <v>121.9257569585598</v>
      </c>
      <c r="D41" s="124">
        <f t="shared" ref="D41:O41" si="2">+D37/D21</f>
        <v>150.7226972456312</v>
      </c>
      <c r="E41" s="124">
        <f t="shared" si="2"/>
        <v>136.38983225595007</v>
      </c>
      <c r="F41" s="124">
        <f t="shared" si="2"/>
        <v>152.00877442097979</v>
      </c>
      <c r="G41" s="124">
        <f t="shared" si="2"/>
        <v>141.48557243404622</v>
      </c>
      <c r="H41" s="124">
        <f t="shared" si="2"/>
        <v>134.21004498832667</v>
      </c>
      <c r="I41" s="124">
        <f t="shared" si="2"/>
        <v>168.03805477719172</v>
      </c>
      <c r="J41" s="124">
        <f t="shared" si="2"/>
        <v>120.8585691971259</v>
      </c>
      <c r="K41" s="124">
        <f t="shared" si="2"/>
        <v>228.68035714285708</v>
      </c>
      <c r="L41" s="124">
        <f t="shared" si="2"/>
        <v>0</v>
      </c>
      <c r="M41" s="124">
        <f t="shared" si="2"/>
        <v>128.06100000000001</v>
      </c>
      <c r="N41" s="124">
        <f t="shared" si="2"/>
        <v>117.1621914893617</v>
      </c>
      <c r="O41" s="124">
        <f t="shared" si="2"/>
        <v>134.64620564514141</v>
      </c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</row>
    <row r="42" spans="2:27" ht="15.75" customHeight="1">
      <c r="B42" s="124" t="s">
        <v>129</v>
      </c>
      <c r="C42" s="124">
        <f>+C38/C28</f>
        <v>162.51840000000001</v>
      </c>
      <c r="D42" s="124">
        <f t="shared" ref="D42:O42" si="3">+D38/D28</f>
        <v>162.51840000000001</v>
      </c>
      <c r="E42" s="124">
        <f t="shared" si="3"/>
        <v>162.51840000000001</v>
      </c>
      <c r="F42" s="124">
        <f t="shared" si="3"/>
        <v>162.51840000000004</v>
      </c>
      <c r="G42" s="124">
        <f t="shared" si="3"/>
        <v>162.51840000000004</v>
      </c>
      <c r="H42" s="124">
        <f t="shared" si="3"/>
        <v>162.51840000000001</v>
      </c>
      <c r="I42" s="124">
        <f t="shared" si="3"/>
        <v>162.51840000000004</v>
      </c>
      <c r="J42" s="124">
        <f t="shared" si="3"/>
        <v>162.51840000000004</v>
      </c>
      <c r="K42" s="124">
        <f t="shared" si="3"/>
        <v>162.51840000000001</v>
      </c>
      <c r="L42" s="124" t="e">
        <f t="shared" si="3"/>
        <v>#DIV/0!</v>
      </c>
      <c r="M42" s="124">
        <f t="shared" si="3"/>
        <v>162.51840000000004</v>
      </c>
      <c r="N42" s="124">
        <f t="shared" si="3"/>
        <v>162.51840000000004</v>
      </c>
      <c r="O42" s="124">
        <f t="shared" si="3"/>
        <v>162.51840000000004</v>
      </c>
      <c r="P42" s="124">
        <f>+O42-O41</f>
        <v>27.872194354858635</v>
      </c>
      <c r="Q42" s="261">
        <f>+P42/O41</f>
        <v>0.20700319196751446</v>
      </c>
      <c r="R42" s="124"/>
      <c r="S42" s="124"/>
      <c r="T42" s="124"/>
      <c r="U42" s="124"/>
      <c r="V42" s="124"/>
      <c r="W42" s="124"/>
      <c r="X42" s="124"/>
      <c r="Y42" s="124"/>
      <c r="Z42" s="124"/>
      <c r="AA42" s="124"/>
    </row>
    <row r="43" spans="2:27" ht="15.75" customHeight="1"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</row>
    <row r="44" spans="2:27" ht="15.75" customHeight="1">
      <c r="B44" s="124" t="s">
        <v>130</v>
      </c>
      <c r="C44" s="124">
        <f t="shared" ref="C44:O44" si="4">+C36/C15</f>
        <v>57.017663815308453</v>
      </c>
      <c r="D44" s="124">
        <f t="shared" si="4"/>
        <v>62.266250518534989</v>
      </c>
      <c r="E44" s="124">
        <f t="shared" si="4"/>
        <v>61.651981444105616</v>
      </c>
      <c r="F44" s="124">
        <f t="shared" si="4"/>
        <v>57.465669563279853</v>
      </c>
      <c r="G44" s="124">
        <f t="shared" si="4"/>
        <v>39.680393834908301</v>
      </c>
      <c r="H44" s="124">
        <f t="shared" si="4"/>
        <v>64.861509794564569</v>
      </c>
      <c r="I44" s="124">
        <f t="shared" si="4"/>
        <v>63.40677243428739</v>
      </c>
      <c r="J44" s="124">
        <f t="shared" si="4"/>
        <v>64.988799748241675</v>
      </c>
      <c r="K44" s="124">
        <f t="shared" si="4"/>
        <v>73.286775421113262</v>
      </c>
      <c r="L44" s="124" t="e">
        <f t="shared" si="4"/>
        <v>#DIV/0!</v>
      </c>
      <c r="M44" s="124">
        <f t="shared" si="4"/>
        <v>74.590134714245892</v>
      </c>
      <c r="N44" s="124">
        <f t="shared" si="4"/>
        <v>78.488811723318051</v>
      </c>
      <c r="O44" s="124">
        <f t="shared" si="4"/>
        <v>62.631771527249462</v>
      </c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</row>
    <row r="45" spans="2:27" ht="15.75" customHeight="1">
      <c r="B45" s="124" t="s">
        <v>131</v>
      </c>
      <c r="C45" s="124">
        <f t="shared" ref="C45:O45" si="5">+C37/C29</f>
        <v>44.089441385253807</v>
      </c>
      <c r="D45" s="124">
        <f t="shared" si="5"/>
        <v>62.827356569076635</v>
      </c>
      <c r="E45" s="124">
        <f t="shared" si="5"/>
        <v>64.712415611539029</v>
      </c>
      <c r="F45" s="124">
        <f t="shared" si="5"/>
        <v>60.793335151630139</v>
      </c>
      <c r="G45" s="124">
        <f t="shared" si="5"/>
        <v>38.543159357450186</v>
      </c>
      <c r="H45" s="124">
        <f t="shared" si="5"/>
        <v>45.362369518198989</v>
      </c>
      <c r="I45" s="124">
        <f t="shared" si="5"/>
        <v>77.022361084262641</v>
      </c>
      <c r="J45" s="124">
        <f t="shared" si="5"/>
        <v>58.776073937095902</v>
      </c>
      <c r="K45" s="124">
        <f t="shared" si="5"/>
        <v>43.212463556851297</v>
      </c>
      <c r="L45" s="124" t="e">
        <f t="shared" si="5"/>
        <v>#DIV/0!</v>
      </c>
      <c r="M45" s="124">
        <f t="shared" si="5"/>
        <v>39.900877834674468</v>
      </c>
      <c r="N45" s="124">
        <f t="shared" si="5"/>
        <v>50.011402508551875</v>
      </c>
      <c r="O45" s="125">
        <f t="shared" si="5"/>
        <v>54.500209918812935</v>
      </c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</row>
    <row r="46" spans="2:27" ht="15.75" customHeight="1">
      <c r="B46" s="124" t="s">
        <v>132</v>
      </c>
      <c r="C46" s="225">
        <f>+C38/C29</f>
        <v>90.287999999999997</v>
      </c>
      <c r="D46" s="225">
        <f t="shared" ref="D46:O46" si="6">+D38/D29</f>
        <v>90.288000000000011</v>
      </c>
      <c r="E46" s="225">
        <f t="shared" si="6"/>
        <v>90.287999999999997</v>
      </c>
      <c r="F46" s="225">
        <f t="shared" si="6"/>
        <v>90.288000000000025</v>
      </c>
      <c r="G46" s="225">
        <f t="shared" si="6"/>
        <v>90.288000000000011</v>
      </c>
      <c r="H46" s="225">
        <f t="shared" si="6"/>
        <v>90.288000000000011</v>
      </c>
      <c r="I46" s="225">
        <f t="shared" si="6"/>
        <v>90.288000000000011</v>
      </c>
      <c r="J46" s="225">
        <f t="shared" si="6"/>
        <v>90.288000000000011</v>
      </c>
      <c r="K46" s="225">
        <f t="shared" si="6"/>
        <v>90.288000000000011</v>
      </c>
      <c r="L46" s="225" t="e">
        <f t="shared" si="6"/>
        <v>#DIV/0!</v>
      </c>
      <c r="M46" s="225">
        <f t="shared" si="6"/>
        <v>90.288000000000011</v>
      </c>
      <c r="N46" s="225">
        <f t="shared" si="6"/>
        <v>90.287999999999997</v>
      </c>
      <c r="O46" s="225">
        <f t="shared" si="6"/>
        <v>90.288000000000011</v>
      </c>
    </row>
    <row r="47" spans="2:27" ht="15.75" customHeight="1"/>
    <row r="48" spans="2:27" ht="15.75" customHeight="1"/>
    <row r="49" spans="2:4" ht="15.75" customHeight="1"/>
    <row r="50" spans="2:4" ht="15.75" customHeight="1"/>
    <row r="51" spans="2:4" ht="15.75" customHeight="1"/>
    <row r="52" spans="2:4" ht="15.75" customHeight="1"/>
    <row r="53" spans="2:4" ht="15.75" customHeight="1"/>
    <row r="54" spans="2:4" ht="15.75" customHeight="1">
      <c r="B54" s="1" t="s">
        <v>133</v>
      </c>
    </row>
    <row r="55" spans="2:4" ht="15.75" customHeight="1">
      <c r="B55" s="126" t="s">
        <v>134</v>
      </c>
      <c r="C55" s="126" t="s">
        <v>135</v>
      </c>
      <c r="D55" s="126" t="s">
        <v>136</v>
      </c>
    </row>
    <row r="56" spans="2:4" ht="15.75" customHeight="1">
      <c r="B56" s="126" t="s">
        <v>137</v>
      </c>
    </row>
    <row r="57" spans="2:4" ht="15.75" customHeight="1">
      <c r="B57" s="126" t="s">
        <v>138</v>
      </c>
    </row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1" location="Summary!A10" display="⟵ Back to Summary" xr:uid="{00000000-0004-0000-0300-000000000000}"/>
  </hyperlink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xSplit="1" ySplit="9" topLeftCell="B41" activePane="bottomRight" state="frozen"/>
      <selection pane="topRight" activeCell="B1" sqref="B1"/>
      <selection pane="bottomLeft" activeCell="A10" sqref="A10"/>
      <selection pane="bottomRight" activeCell="N52" sqref="N52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139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13382.93812670483</v>
      </c>
      <c r="C36" s="120">
        <v>18605.557773372089</v>
      </c>
      <c r="D36" s="120">
        <v>15732.72802429229</v>
      </c>
      <c r="E36" s="120">
        <v>9825.4251931075451</v>
      </c>
      <c r="F36" s="120">
        <v>6010.1143503001013</v>
      </c>
      <c r="G36" s="120">
        <v>1924.1242629271239</v>
      </c>
      <c r="H36" s="120">
        <v>5599.9202936946476</v>
      </c>
      <c r="I36" s="120">
        <v>5103.798143587801</v>
      </c>
      <c r="J36" s="120">
        <v>221.69824936522789</v>
      </c>
      <c r="K36" s="120">
        <v>0</v>
      </c>
      <c r="L36" s="120">
        <v>7805.944219146033</v>
      </c>
      <c r="M36" s="120">
        <v>11187.446165914889</v>
      </c>
      <c r="N36" s="121">
        <f t="shared" ref="N36:N38" si="0">SUM(B36:M36)</f>
        <v>95399.694802412603</v>
      </c>
    </row>
    <row r="37" spans="1:14" ht="15.75" customHeight="1">
      <c r="A37" s="19" t="s">
        <v>124</v>
      </c>
      <c r="B37" s="120">
        <v>25207.194747973219</v>
      </c>
      <c r="C37" s="120">
        <v>20197.81610709236</v>
      </c>
      <c r="D37" s="120">
        <v>24274.211043017771</v>
      </c>
      <c r="E37" s="120">
        <v>12316.932893700759</v>
      </c>
      <c r="F37" s="120">
        <v>6154.7576969839556</v>
      </c>
      <c r="G37" s="120">
        <v>4103.4463681435409</v>
      </c>
      <c r="H37" s="120">
        <v>10937.432339923291</v>
      </c>
      <c r="I37" s="120">
        <v>10347.79406971036</v>
      </c>
      <c r="J37" s="120">
        <v>1600.7625</v>
      </c>
      <c r="K37" s="120">
        <v>0</v>
      </c>
      <c r="L37" s="120">
        <v>7363.5074999999988</v>
      </c>
      <c r="M37" s="120">
        <v>13766.557500000001</v>
      </c>
      <c r="N37" s="121">
        <f t="shared" si="0"/>
        <v>136270.41276654525</v>
      </c>
    </row>
    <row r="38" spans="1:14" ht="15.75" customHeight="1">
      <c r="A38" s="122" t="s">
        <v>125</v>
      </c>
      <c r="B38" s="115">
        <f>+'Key Indicators'!C329</f>
        <v>38541.238560000005</v>
      </c>
      <c r="C38" s="115">
        <f>+'Key Indicators'!D329</f>
        <v>35275.593830400001</v>
      </c>
      <c r="D38" s="115">
        <f>+'Key Indicators'!E329</f>
        <v>33579.226771200003</v>
      </c>
      <c r="E38" s="115">
        <f>+'Key Indicators'!F329</f>
        <v>18345.076992000006</v>
      </c>
      <c r="F38" s="115">
        <f>+'Key Indicators'!G329</f>
        <v>12846.317364744831</v>
      </c>
      <c r="G38" s="115">
        <f>+'Key Indicators'!H329</f>
        <v>9263.9971266206921</v>
      </c>
      <c r="H38" s="115">
        <f>+'Key Indicators'!I329</f>
        <v>18350.602617600005</v>
      </c>
      <c r="I38" s="115">
        <f>+'Key Indicators'!J329</f>
        <v>13887.002257920003</v>
      </c>
      <c r="J38" s="115">
        <f>+'Key Indicators'!K329</f>
        <v>4548.6949939200013</v>
      </c>
      <c r="K38" s="115">
        <f>+'Key Indicators'!L329</f>
        <v>0</v>
      </c>
      <c r="L38" s="115">
        <f>+'Key Indicators'!M329</f>
        <v>22660.590585600003</v>
      </c>
      <c r="M38" s="115">
        <f>+'Key Indicators'!N329</f>
        <v>33800.666217120008</v>
      </c>
      <c r="N38" s="123">
        <f t="shared" si="0"/>
        <v>241099.00731712559</v>
      </c>
    </row>
    <row r="39" spans="1:14" ht="15.75" customHeight="1"/>
    <row r="40" spans="1:14" ht="15.75" customHeight="1">
      <c r="A40" s="124" t="s">
        <v>127</v>
      </c>
      <c r="B40" s="124">
        <f>+B36/B14</f>
        <v>31.195659969008929</v>
      </c>
      <c r="C40" s="124">
        <f t="shared" ref="C40:N40" si="1">+C36/C14</f>
        <v>40.80166178371072</v>
      </c>
      <c r="D40" s="124">
        <f t="shared" si="1"/>
        <v>35.117696482795289</v>
      </c>
      <c r="E40" s="124">
        <f t="shared" si="1"/>
        <v>37.936004606592839</v>
      </c>
      <c r="F40" s="124">
        <f t="shared" si="1"/>
        <v>34.148376990341482</v>
      </c>
      <c r="G40" s="124">
        <f t="shared" si="1"/>
        <v>19.633921050276776</v>
      </c>
      <c r="H40" s="124">
        <f t="shared" si="1"/>
        <v>22.489639733713446</v>
      </c>
      <c r="I40" s="124">
        <f t="shared" si="1"/>
        <v>32.508268430495548</v>
      </c>
      <c r="J40" s="124">
        <f t="shared" si="1"/>
        <v>36.949708227537982</v>
      </c>
      <c r="K40" s="124" t="e">
        <f t="shared" si="1"/>
        <v>#DIV/0!</v>
      </c>
      <c r="L40" s="124">
        <f t="shared" si="1"/>
        <v>43.608626922603534</v>
      </c>
      <c r="M40" s="124">
        <f t="shared" si="1"/>
        <v>35.291628283643185</v>
      </c>
      <c r="N40" s="124">
        <f t="shared" si="1"/>
        <v>34.390661428411178</v>
      </c>
    </row>
    <row r="41" spans="1:14" ht="15.75" customHeight="1">
      <c r="A41" s="124" t="s">
        <v>128</v>
      </c>
      <c r="B41" s="124">
        <f>+B37/B21</f>
        <v>55.522455392011494</v>
      </c>
      <c r="C41" s="124">
        <f t="shared" ref="C41:N41" si="2">+C37/C21</f>
        <v>42.16663070374188</v>
      </c>
      <c r="D41" s="124">
        <f t="shared" si="2"/>
        <v>46.771119543386838</v>
      </c>
      <c r="E41" s="124">
        <f t="shared" si="2"/>
        <v>51.535284074061757</v>
      </c>
      <c r="F41" s="124">
        <f t="shared" si="2"/>
        <v>53.989102605122419</v>
      </c>
      <c r="G41" s="124">
        <f t="shared" si="2"/>
        <v>40.229866354348438</v>
      </c>
      <c r="H41" s="124">
        <f t="shared" si="2"/>
        <v>39.917636277092299</v>
      </c>
      <c r="I41" s="124">
        <f t="shared" si="2"/>
        <v>47.035427589592544</v>
      </c>
      <c r="J41" s="124">
        <f t="shared" si="2"/>
        <v>57.17008928571429</v>
      </c>
      <c r="K41" s="124">
        <f t="shared" si="2"/>
        <v>0</v>
      </c>
      <c r="L41" s="124">
        <f t="shared" si="2"/>
        <v>32.015249999999995</v>
      </c>
      <c r="M41" s="124">
        <f t="shared" si="2"/>
        <v>29.290547872340426</v>
      </c>
      <c r="N41" s="124">
        <f t="shared" si="2"/>
        <v>42.86581087340209</v>
      </c>
    </row>
    <row r="42" spans="1:14" ht="15.75" customHeight="1">
      <c r="A42" s="124" t="s">
        <v>129</v>
      </c>
      <c r="B42" s="124">
        <f>+B38/B28</f>
        <v>55.256256000000008</v>
      </c>
      <c r="C42" s="124">
        <f t="shared" ref="C42:N42" si="3">+C38/C28</f>
        <v>55.256256</v>
      </c>
      <c r="D42" s="124">
        <f t="shared" si="3"/>
        <v>55.256256</v>
      </c>
      <c r="E42" s="124">
        <f t="shared" si="3"/>
        <v>55.256256000000015</v>
      </c>
      <c r="F42" s="124">
        <f t="shared" si="3"/>
        <v>55.256256000000015</v>
      </c>
      <c r="G42" s="124">
        <f t="shared" si="3"/>
        <v>55.256256000000015</v>
      </c>
      <c r="H42" s="124">
        <f t="shared" si="3"/>
        <v>55.256256000000015</v>
      </c>
      <c r="I42" s="124">
        <f t="shared" si="3"/>
        <v>55.256256000000015</v>
      </c>
      <c r="J42" s="124">
        <f t="shared" si="3"/>
        <v>55.256256000000008</v>
      </c>
      <c r="K42" s="124" t="e">
        <f t="shared" si="3"/>
        <v>#DIV/0!</v>
      </c>
      <c r="L42" s="124">
        <f t="shared" si="3"/>
        <v>55.256256000000008</v>
      </c>
      <c r="M42" s="124">
        <f t="shared" si="3"/>
        <v>55.256256000000015</v>
      </c>
      <c r="N42" s="124">
        <f t="shared" si="3"/>
        <v>55.256256000000015</v>
      </c>
    </row>
    <row r="43" spans="1:14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</row>
    <row r="44" spans="1:14" ht="15.75" customHeight="1">
      <c r="A44" s="124" t="s">
        <v>130</v>
      </c>
      <c r="B44" s="124">
        <f>+B36/B15</f>
        <v>18.822697787207918</v>
      </c>
      <c r="C44" s="124">
        <f t="shared" ref="C44:N44" si="4">+C36/C15</f>
        <v>22.308822270230323</v>
      </c>
      <c r="D44" s="124">
        <f t="shared" si="4"/>
        <v>18.841590448254241</v>
      </c>
      <c r="E44" s="124">
        <f t="shared" si="4"/>
        <v>18.061443369682987</v>
      </c>
      <c r="F44" s="124">
        <f t="shared" si="4"/>
        <v>19.325126528296146</v>
      </c>
      <c r="G44" s="124">
        <f t="shared" si="4"/>
        <v>12.025776643294524</v>
      </c>
      <c r="H44" s="124">
        <f t="shared" si="4"/>
        <v>13.053427258029481</v>
      </c>
      <c r="I44" s="124">
        <f t="shared" si="4"/>
        <v>16.463864979315488</v>
      </c>
      <c r="J44" s="124">
        <f t="shared" si="4"/>
        <v>18.474854113768991</v>
      </c>
      <c r="K44" s="124" t="e">
        <f t="shared" si="4"/>
        <v>#DIV/0!</v>
      </c>
      <c r="L44" s="124">
        <f t="shared" si="4"/>
        <v>24.702355123879851</v>
      </c>
      <c r="M44" s="124">
        <f t="shared" si="4"/>
        <v>18.220596361424899</v>
      </c>
      <c r="N44" s="124">
        <f t="shared" si="4"/>
        <v>18.794266115526518</v>
      </c>
    </row>
    <row r="45" spans="1:14" ht="15.75" customHeight="1">
      <c r="A45" s="124" t="s">
        <v>131</v>
      </c>
      <c r="B45" s="124">
        <f t="shared" ref="B45:J45" si="5">+B37/B22</f>
        <v>31.158460751512013</v>
      </c>
      <c r="C45" s="124">
        <f t="shared" si="5"/>
        <v>22.617935170316191</v>
      </c>
      <c r="D45" s="124">
        <f t="shared" si="5"/>
        <v>25.233067612284586</v>
      </c>
      <c r="E45" s="124">
        <f t="shared" si="5"/>
        <v>28.777880592758784</v>
      </c>
      <c r="F45" s="124">
        <f t="shared" si="5"/>
        <v>26.994551302561209</v>
      </c>
      <c r="G45" s="124">
        <f t="shared" si="5"/>
        <v>22.423204197505687</v>
      </c>
      <c r="H45" s="124">
        <f t="shared" si="5"/>
        <v>17.900871260103585</v>
      </c>
      <c r="I45" s="124">
        <f t="shared" si="5"/>
        <v>25.177114524842725</v>
      </c>
      <c r="J45" s="124">
        <f t="shared" si="5"/>
        <v>59.287500000000001</v>
      </c>
      <c r="K45" s="124">
        <f t="shared" ref="K45:N45" si="6">+K37/K22</f>
        <v>0</v>
      </c>
      <c r="L45" s="124">
        <f t="shared" si="6"/>
        <v>21.343499999999995</v>
      </c>
      <c r="M45" s="124">
        <f t="shared" si="6"/>
        <v>19.52703191489362</v>
      </c>
      <c r="N45" s="124">
        <f t="shared" si="6"/>
        <v>24.003947994811565</v>
      </c>
    </row>
    <row r="46" spans="1:14" ht="15.75" customHeight="1">
      <c r="A46" s="124" t="s">
        <v>132</v>
      </c>
      <c r="B46" s="225">
        <f>+B38/B29</f>
        <v>30.697920000000003</v>
      </c>
      <c r="C46" s="225">
        <f t="shared" ref="C46:N46" si="7">+C38/C29</f>
        <v>30.697920000000003</v>
      </c>
      <c r="D46" s="225">
        <f t="shared" si="7"/>
        <v>30.69792</v>
      </c>
      <c r="E46" s="225">
        <f t="shared" si="7"/>
        <v>30.697920000000007</v>
      </c>
      <c r="F46" s="225">
        <f t="shared" si="7"/>
        <v>30.697920000000007</v>
      </c>
      <c r="G46" s="225">
        <f t="shared" si="7"/>
        <v>30.697920000000007</v>
      </c>
      <c r="H46" s="225">
        <f t="shared" si="7"/>
        <v>30.697920000000003</v>
      </c>
      <c r="I46" s="225">
        <f t="shared" si="7"/>
        <v>30.697920000000003</v>
      </c>
      <c r="J46" s="225">
        <f t="shared" si="7"/>
        <v>30.697920000000003</v>
      </c>
      <c r="K46" s="225" t="e">
        <f t="shared" si="7"/>
        <v>#DIV/0!</v>
      </c>
      <c r="L46" s="225">
        <f t="shared" si="7"/>
        <v>30.697920000000007</v>
      </c>
      <c r="M46" s="225">
        <f t="shared" si="7"/>
        <v>30.69792</v>
      </c>
      <c r="N46" s="225">
        <f t="shared" si="7"/>
        <v>30.697920000000007</v>
      </c>
    </row>
    <row r="47" spans="1:14" ht="15.75" customHeight="1"/>
    <row r="48" spans="1:14" ht="15.75" customHeight="1">
      <c r="A48" s="124" t="s">
        <v>191</v>
      </c>
      <c r="B48" s="262">
        <f>+B36/'Food Revenue'!C36</f>
        <v>0.33012046667114209</v>
      </c>
      <c r="C48" s="262">
        <f>+C36/'Food Revenue'!D36</f>
        <v>0.35828112475777846</v>
      </c>
      <c r="D48" s="262">
        <f>+D36/'Food Revenue'!E36</f>
        <v>0.30561208264386824</v>
      </c>
      <c r="E48" s="262">
        <f>+E36/'Food Revenue'!F36</f>
        <v>0.31429971158335057</v>
      </c>
      <c r="F48" s="262">
        <f>+F36/'Food Revenue'!G36</f>
        <v>0.48701952426931616</v>
      </c>
      <c r="G48" s="262">
        <f>+G36/'Food Revenue'!H36</f>
        <v>0.18540697990817187</v>
      </c>
      <c r="H48" s="262">
        <f>+H36/'Food Revenue'!I36</f>
        <v>0.2058680288695913</v>
      </c>
      <c r="I48" s="262">
        <f>+I36/'Food Revenue'!J36</f>
        <v>0.25333388280895169</v>
      </c>
      <c r="J48" s="262">
        <f>+J36/'Food Revenue'!K36</f>
        <v>0.25208987580106507</v>
      </c>
      <c r="K48" s="262" t="e">
        <f>+K36/'Food Revenue'!L36</f>
        <v>#DIV/0!</v>
      </c>
      <c r="L48" s="262">
        <f>+L36/'Food Revenue'!M36</f>
        <v>0.33117456106647808</v>
      </c>
      <c r="M48" s="262">
        <f>+M36/'Food Revenue'!N36</f>
        <v>0.23214259410187743</v>
      </c>
      <c r="N48" s="307">
        <f>+N36/'Food Revenue'!O36</f>
        <v>0.3000755951370403</v>
      </c>
    </row>
    <row r="49" spans="1:14" ht="15.75" customHeight="1">
      <c r="A49" s="124" t="s">
        <v>243</v>
      </c>
      <c r="B49" s="262">
        <f>+B37/'Food Revenue'!C37</f>
        <v>0.45537921417935096</v>
      </c>
      <c r="C49" s="262">
        <f>+C37/'Food Revenue'!D37</f>
        <v>0.27976297846517018</v>
      </c>
      <c r="D49" s="262">
        <f>+D37/'Food Revenue'!E37</f>
        <v>0.34292233350368706</v>
      </c>
      <c r="E49" s="262">
        <f>+E37/'Food Revenue'!F37</f>
        <v>0.33902835063545522</v>
      </c>
      <c r="F49" s="262">
        <f>+F37/'Food Revenue'!G37</f>
        <v>0.38158733555882202</v>
      </c>
      <c r="G49" s="262">
        <f>+G37/'Food Revenue'!H37</f>
        <v>0.29975302040802954</v>
      </c>
      <c r="H49" s="262">
        <f>+H37/'Food Revenue'!I37</f>
        <v>0.23755116857321795</v>
      </c>
      <c r="I49" s="262">
        <f>+I37/'Food Revenue'!J37</f>
        <v>0.38917743195251298</v>
      </c>
      <c r="J49" s="262">
        <f>+J37/'Food Revenue'!K37</f>
        <v>0.25000000000000006</v>
      </c>
      <c r="K49" s="262" t="e">
        <f>+K37/'Food Revenue'!L37</f>
        <v>#DIV/0!</v>
      </c>
      <c r="L49" s="262">
        <f>+L37/'Food Revenue'!M37</f>
        <v>0.24999999999999997</v>
      </c>
      <c r="M49" s="262">
        <f>+M37/'Food Revenue'!N37</f>
        <v>0.25</v>
      </c>
      <c r="N49" s="307">
        <f>+N37/'Food Revenue'!O37</f>
        <v>0.31835884767799894</v>
      </c>
    </row>
    <row r="50" spans="1:14" ht="15.75" customHeight="1">
      <c r="A50" s="124" t="s">
        <v>244</v>
      </c>
      <c r="B50" s="262">
        <f>+B38/'Food Revenue'!C38</f>
        <v>0.34</v>
      </c>
      <c r="C50" s="262">
        <f>+C38/'Food Revenue'!D38</f>
        <v>0.34</v>
      </c>
      <c r="D50" s="262">
        <f>+D38/'Food Revenue'!E38</f>
        <v>0.34</v>
      </c>
      <c r="E50" s="262">
        <f>+E38/'Food Revenue'!F38</f>
        <v>0.34</v>
      </c>
      <c r="F50" s="262">
        <f>+F38/'Food Revenue'!G38</f>
        <v>0.34</v>
      </c>
      <c r="G50" s="262">
        <f>+G38/'Food Revenue'!H38</f>
        <v>0.34000000000000008</v>
      </c>
      <c r="H50" s="262">
        <f>+H38/'Food Revenue'!I38</f>
        <v>0.34</v>
      </c>
      <c r="I50" s="262">
        <f>+I38/'Food Revenue'!J38</f>
        <v>0.34</v>
      </c>
      <c r="J50" s="262">
        <f>+J38/'Food Revenue'!K38</f>
        <v>0.34</v>
      </c>
      <c r="K50" s="262" t="e">
        <f>+K38/'Food Revenue'!L38</f>
        <v>#DIV/0!</v>
      </c>
      <c r="L50" s="262">
        <f>+L38/'Food Revenue'!M38</f>
        <v>0.34</v>
      </c>
      <c r="M50" s="262">
        <f>+M38/'Food Revenue'!N38</f>
        <v>0.34</v>
      </c>
      <c r="N50" s="307">
        <f>+N38/'Food Revenue'!O38</f>
        <v>0.34</v>
      </c>
    </row>
    <row r="51" spans="1:14" ht="15.75" customHeight="1"/>
    <row r="52" spans="1:14" ht="15.75" customHeight="1">
      <c r="N52" s="268" t="s">
        <v>261</v>
      </c>
    </row>
    <row r="53" spans="1:14" ht="15.75" customHeight="1"/>
    <row r="54" spans="1:14" ht="15.75" customHeight="1"/>
    <row r="55" spans="1:14" ht="15.75" customHeight="1"/>
    <row r="56" spans="1:14" ht="15.75" customHeight="1"/>
    <row r="57" spans="1:14" ht="15.75" customHeight="1"/>
    <row r="58" spans="1:14" ht="15.75" customHeight="1"/>
    <row r="59" spans="1:14" ht="15.75" customHeight="1"/>
    <row r="60" spans="1:14" ht="15.75" customHeight="1"/>
    <row r="61" spans="1:14" ht="15.75" customHeight="1"/>
    <row r="62" spans="1:14" ht="15.75" customHeight="1"/>
    <row r="63" spans="1:14" ht="15.75" customHeight="1"/>
    <row r="64" spans="1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2" type="noConversion"/>
  <hyperlinks>
    <hyperlink ref="A1" location="Summary!A10" display="⟵ Back to Summary" xr:uid="{00000000-0004-0000-0400-000000000000}"/>
    <hyperlink ref="N52" location="ANALYSIS!E103" display="GO BACK" xr:uid="{39AD9E2F-9270-4B00-9774-7D3B6EA86672}"/>
  </hyperlink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H42" sqref="H42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140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0</v>
      </c>
      <c r="C36" s="120">
        <v>0</v>
      </c>
      <c r="D36" s="120">
        <v>0</v>
      </c>
      <c r="E36" s="120">
        <v>0</v>
      </c>
      <c r="F36" s="120">
        <v>0</v>
      </c>
      <c r="G36" s="120">
        <v>0</v>
      </c>
      <c r="H36" s="120">
        <v>0</v>
      </c>
      <c r="I36" s="120">
        <v>0</v>
      </c>
      <c r="J36" s="120">
        <v>0</v>
      </c>
      <c r="K36" s="120">
        <v>0</v>
      </c>
      <c r="L36" s="120">
        <v>0</v>
      </c>
      <c r="M36" s="120">
        <v>0</v>
      </c>
      <c r="N36" s="121">
        <f t="shared" ref="N36:N38" si="0">SUM(B36:M36)</f>
        <v>0</v>
      </c>
    </row>
    <row r="37" spans="1:14" ht="15.75" customHeight="1">
      <c r="A37" s="19" t="s">
        <v>124</v>
      </c>
      <c r="B37" s="120">
        <v>0</v>
      </c>
      <c r="C37" s="120">
        <v>0</v>
      </c>
      <c r="D37" s="120">
        <v>0</v>
      </c>
      <c r="E37" s="120">
        <v>0</v>
      </c>
      <c r="F37" s="120">
        <v>0</v>
      </c>
      <c r="G37" s="120">
        <v>0</v>
      </c>
      <c r="H37" s="120">
        <v>33694.581587488938</v>
      </c>
      <c r="I37" s="120">
        <v>28.455861561119288</v>
      </c>
      <c r="J37" s="120"/>
      <c r="K37" s="120"/>
      <c r="L37" s="120"/>
      <c r="M37" s="120"/>
      <c r="N37" s="121">
        <f t="shared" si="0"/>
        <v>33723.037449050054</v>
      </c>
    </row>
    <row r="38" spans="1:14" ht="15.75" customHeight="1">
      <c r="A38" s="122" t="s">
        <v>125</v>
      </c>
      <c r="B38" s="115">
        <v>0</v>
      </c>
      <c r="C38" s="115">
        <v>0</v>
      </c>
      <c r="D38" s="115">
        <v>0</v>
      </c>
      <c r="E38" s="115">
        <v>0</v>
      </c>
      <c r="F38" s="115">
        <v>0</v>
      </c>
      <c r="G38" s="115">
        <v>0</v>
      </c>
      <c r="H38" s="115">
        <v>0</v>
      </c>
      <c r="I38" s="115">
        <v>0</v>
      </c>
      <c r="J38" s="115">
        <v>0</v>
      </c>
      <c r="K38" s="115">
        <v>0</v>
      </c>
      <c r="L38" s="115">
        <v>0</v>
      </c>
      <c r="M38" s="115">
        <v>0</v>
      </c>
      <c r="N38" s="123">
        <f t="shared" si="0"/>
        <v>0</v>
      </c>
    </row>
    <row r="39" spans="1:14" ht="15.75" customHeight="1"/>
    <row r="40" spans="1:14" ht="15.75" customHeight="1"/>
    <row r="41" spans="1:14" ht="15.75" customHeight="1">
      <c r="A41" s="1" t="s">
        <v>133</v>
      </c>
    </row>
    <row r="42" spans="1:14" ht="15.75" customHeight="1">
      <c r="A42" s="126" t="s">
        <v>134</v>
      </c>
      <c r="B42" s="126" t="s">
        <v>135</v>
      </c>
      <c r="C42" s="126" t="s">
        <v>136</v>
      </c>
    </row>
    <row r="43" spans="1:14" ht="15.75" customHeight="1">
      <c r="A43" s="126" t="s">
        <v>137</v>
      </c>
    </row>
    <row r="44" spans="1:14" ht="15.75" customHeight="1">
      <c r="A44" s="126" t="s">
        <v>138</v>
      </c>
    </row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500-000000000000}"/>
  </hyperlinks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>
      <pane xSplit="1" ySplit="9" topLeftCell="B33" activePane="bottomRight" state="frozen"/>
      <selection pane="topRight" activeCell="B1" sqref="B1"/>
      <selection pane="bottomLeft" activeCell="A10" sqref="A10"/>
      <selection pane="bottomRight" activeCell="H54" sqref="H54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141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2609.9180913596369</v>
      </c>
      <c r="C36" s="120">
        <v>2686.451446499721</v>
      </c>
      <c r="D36" s="120">
        <v>2436.6407091781762</v>
      </c>
      <c r="E36" s="120">
        <v>2246.1570806100221</v>
      </c>
      <c r="F36" s="120">
        <v>1706.7846480629819</v>
      </c>
      <c r="G36" s="120">
        <v>829.79373299062593</v>
      </c>
      <c r="H36" s="120">
        <v>780.02352206494584</v>
      </c>
      <c r="I36" s="120">
        <v>1309.875734040538</v>
      </c>
      <c r="J36" s="120">
        <v>0</v>
      </c>
      <c r="K36" s="120">
        <v>0</v>
      </c>
      <c r="L36" s="120">
        <v>690.99204523298897</v>
      </c>
      <c r="M36" s="120">
        <v>2891.0676799372432</v>
      </c>
      <c r="N36" s="121">
        <f t="shared" ref="N36" si="0">SUM(B36:M36)</f>
        <v>18187.704689976883</v>
      </c>
    </row>
    <row r="37" spans="1:14" ht="15.75" customHeight="1">
      <c r="A37" s="19" t="s">
        <v>124</v>
      </c>
      <c r="B37" s="120">
        <v>4663.1676066267173</v>
      </c>
      <c r="C37" s="120">
        <v>2486.3909812863649</v>
      </c>
      <c r="D37" s="120">
        <v>3391.2717716824332</v>
      </c>
      <c r="E37" s="120">
        <v>1621.2288385826771</v>
      </c>
      <c r="F37" s="120">
        <v>1606.5791857865629</v>
      </c>
      <c r="G37" s="120">
        <v>926.9280711418902</v>
      </c>
      <c r="H37" s="120">
        <v>2384.8765614242152</v>
      </c>
      <c r="I37" s="120">
        <v>1345.0301816396659</v>
      </c>
      <c r="J37" s="120">
        <v>4500</v>
      </c>
      <c r="K37" s="120">
        <v>0</v>
      </c>
      <c r="L37" s="120">
        <v>3375</v>
      </c>
      <c r="M37" s="120">
        <v>6200</v>
      </c>
      <c r="N37" s="121">
        <f>SUM(B37:M37)</f>
        <v>32500.473198170526</v>
      </c>
    </row>
    <row r="38" spans="1:14" ht="15.75" customHeight="1">
      <c r="A38" s="122" t="s">
        <v>125</v>
      </c>
      <c r="B38" s="115">
        <f>+'Key Indicators'!C331</f>
        <v>5812.5</v>
      </c>
      <c r="C38" s="115">
        <f>+'Key Indicators'!D331</f>
        <v>5250</v>
      </c>
      <c r="D38" s="115">
        <f>+'Key Indicators'!E331</f>
        <v>5812.5</v>
      </c>
      <c r="E38" s="115">
        <f>+'Key Indicators'!F331</f>
        <v>5625</v>
      </c>
      <c r="F38" s="115">
        <f>+'Key Indicators'!G331</f>
        <v>5812.5</v>
      </c>
      <c r="G38" s="115">
        <f>+'Key Indicators'!H331</f>
        <v>5625</v>
      </c>
      <c r="H38" s="115">
        <f>+'Key Indicators'!I331</f>
        <v>5812.5</v>
      </c>
      <c r="I38" s="115">
        <f>+'Key Indicators'!J331</f>
        <v>5812.5</v>
      </c>
      <c r="J38" s="115">
        <f>+'Key Indicators'!K331</f>
        <v>5625</v>
      </c>
      <c r="K38" s="115">
        <f>+'Key Indicators'!L331</f>
        <v>0</v>
      </c>
      <c r="L38" s="115">
        <f>+'Key Indicators'!M331</f>
        <v>5625</v>
      </c>
      <c r="M38" s="115">
        <f>+'Key Indicators'!N331</f>
        <v>5812.5</v>
      </c>
      <c r="N38" s="123">
        <f>SUM(B38:M38)</f>
        <v>62625</v>
      </c>
    </row>
    <row r="39" spans="1:14" ht="15.75" customHeight="1"/>
    <row r="40" spans="1:14" ht="15.75" customHeight="1">
      <c r="A40" s="124" t="s">
        <v>127</v>
      </c>
      <c r="B40" s="124">
        <f t="shared" ref="B40:N40" si="1">+B36/B14</f>
        <v>6.0837251546844682</v>
      </c>
      <c r="C40" s="124">
        <f t="shared" si="1"/>
        <v>5.8913408914467569</v>
      </c>
      <c r="D40" s="124">
        <f t="shared" si="1"/>
        <v>5.4389301544155719</v>
      </c>
      <c r="E40" s="124">
        <f t="shared" si="1"/>
        <v>8.672421160656457</v>
      </c>
      <c r="F40" s="124">
        <f t="shared" si="1"/>
        <v>9.6976400458123972</v>
      </c>
      <c r="G40" s="124">
        <f t="shared" si="1"/>
        <v>8.4672829897002639</v>
      </c>
      <c r="H40" s="124">
        <f t="shared" si="1"/>
        <v>3.1326245866062084</v>
      </c>
      <c r="I40" s="124">
        <f t="shared" si="1"/>
        <v>8.3431575416594779</v>
      </c>
      <c r="J40" s="124">
        <f t="shared" si="1"/>
        <v>0</v>
      </c>
      <c r="K40" s="124" t="e">
        <f t="shared" si="1"/>
        <v>#DIV/0!</v>
      </c>
      <c r="L40" s="124">
        <f t="shared" si="1"/>
        <v>3.8602907554915586</v>
      </c>
      <c r="M40" s="124">
        <f t="shared" si="1"/>
        <v>9.1200873184140168</v>
      </c>
      <c r="N40" s="124">
        <f t="shared" si="1"/>
        <v>6.5564905154927482</v>
      </c>
    </row>
    <row r="41" spans="1:14" ht="15.75" customHeight="1">
      <c r="A41" s="124" t="s">
        <v>128</v>
      </c>
      <c r="B41" s="124">
        <f t="shared" ref="B41:N41" si="2">+B37/B21</f>
        <v>10.271294287724047</v>
      </c>
      <c r="C41" s="124">
        <f t="shared" si="2"/>
        <v>5.1907953680299892</v>
      </c>
      <c r="D41" s="124">
        <f t="shared" si="2"/>
        <v>6.5342423346482335</v>
      </c>
      <c r="E41" s="124">
        <f t="shared" si="2"/>
        <v>6.7833842618522056</v>
      </c>
      <c r="F41" s="124">
        <f t="shared" si="2"/>
        <v>14.092799875320727</v>
      </c>
      <c r="G41" s="124">
        <f t="shared" si="2"/>
        <v>9.0875301092342173</v>
      </c>
      <c r="H41" s="124">
        <f t="shared" si="2"/>
        <v>8.7039290562927558</v>
      </c>
      <c r="I41" s="124">
        <f t="shared" si="2"/>
        <v>6.1137735529075723</v>
      </c>
      <c r="J41" s="124">
        <f t="shared" si="2"/>
        <v>160.71428571428572</v>
      </c>
      <c r="K41" s="124">
        <f t="shared" si="2"/>
        <v>0</v>
      </c>
      <c r="L41" s="124">
        <f t="shared" si="2"/>
        <v>14.673913043478262</v>
      </c>
      <c r="M41" s="124">
        <f t="shared" si="2"/>
        <v>13.191489361702128</v>
      </c>
      <c r="N41" s="124">
        <f t="shared" si="2"/>
        <v>10.223489524432377</v>
      </c>
    </row>
    <row r="42" spans="1:14" ht="15.75" customHeight="1">
      <c r="A42" s="124" t="s">
        <v>129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</row>
    <row r="43" spans="1:14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</row>
    <row r="44" spans="1:14" ht="15.75" customHeight="1">
      <c r="A44" s="124" t="s">
        <v>130</v>
      </c>
      <c r="B44" s="124">
        <f t="shared" ref="B44:N44" si="3">+B36/B15</f>
        <v>3.6707708739235398</v>
      </c>
      <c r="C44" s="124">
        <f t="shared" si="3"/>
        <v>3.2211648039565</v>
      </c>
      <c r="D44" s="124">
        <f t="shared" si="3"/>
        <v>2.9181325858421272</v>
      </c>
      <c r="E44" s="124">
        <f t="shared" si="3"/>
        <v>4.1289652217095991</v>
      </c>
      <c r="F44" s="124">
        <f t="shared" si="3"/>
        <v>5.4880535307491378</v>
      </c>
      <c r="G44" s="124">
        <f t="shared" si="3"/>
        <v>5.1862108311914117</v>
      </c>
      <c r="H44" s="124">
        <f t="shared" si="3"/>
        <v>1.8182366481700369</v>
      </c>
      <c r="I44" s="124">
        <f t="shared" si="3"/>
        <v>4.225405593679155</v>
      </c>
      <c r="J44" s="124">
        <f t="shared" si="3"/>
        <v>0</v>
      </c>
      <c r="K44" s="124" t="e">
        <f t="shared" si="3"/>
        <v>#DIV/0!</v>
      </c>
      <c r="L44" s="124">
        <f t="shared" si="3"/>
        <v>2.1866836874461675</v>
      </c>
      <c r="M44" s="124">
        <f t="shared" si="3"/>
        <v>4.7085792832854123</v>
      </c>
      <c r="N44" s="124">
        <f t="shared" si="3"/>
        <v>3.5830781501136491</v>
      </c>
    </row>
    <row r="45" spans="1:14" ht="15.75" customHeight="1">
      <c r="A45" s="124" t="s">
        <v>131</v>
      </c>
      <c r="B45" s="124">
        <f t="shared" ref="B45:N45" si="4">+B37/B29</f>
        <v>3.7141916420762384</v>
      </c>
      <c r="C45" s="124">
        <f t="shared" si="4"/>
        <v>2.1637348416930915</v>
      </c>
      <c r="D45" s="124">
        <f t="shared" si="4"/>
        <v>3.1002795345678904</v>
      </c>
      <c r="E45" s="124">
        <f t="shared" si="4"/>
        <v>2.7128996629562869</v>
      </c>
      <c r="F45" s="124">
        <f t="shared" si="4"/>
        <v>3.8391266476328938</v>
      </c>
      <c r="G45" s="124">
        <f t="shared" si="4"/>
        <v>3.0715428108134302</v>
      </c>
      <c r="H45" s="124">
        <f t="shared" si="4"/>
        <v>3.9895556248523119</v>
      </c>
      <c r="I45" s="124">
        <f t="shared" si="4"/>
        <v>2.9732571613871333</v>
      </c>
      <c r="J45" s="124">
        <f t="shared" si="4"/>
        <v>30.369290573372204</v>
      </c>
      <c r="K45" s="124" t="e">
        <f t="shared" si="4"/>
        <v>#DIV/0!</v>
      </c>
      <c r="L45" s="124">
        <f t="shared" si="4"/>
        <v>4.5720555961960496</v>
      </c>
      <c r="M45" s="124">
        <f t="shared" si="4"/>
        <v>5.6308684206821784</v>
      </c>
      <c r="N45" s="125">
        <f t="shared" si="4"/>
        <v>4.1381212527651723</v>
      </c>
    </row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600-000000000000}"/>
  </hyperlink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94"/>
  <sheetViews>
    <sheetView workbookViewId="0">
      <pane xSplit="1" ySplit="9" topLeftCell="B33" activePane="bottomRight" state="frozen"/>
      <selection pane="topRight" activeCell="B1" sqref="B1"/>
      <selection pane="bottomLeft" activeCell="A10" sqref="A10"/>
      <selection pane="bottomRight" activeCell="I55" sqref="I55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142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778.5</v>
      </c>
      <c r="C36" s="120">
        <v>778.5</v>
      </c>
      <c r="D36" s="120">
        <v>778.5</v>
      </c>
      <c r="E36" s="120">
        <v>778.5</v>
      </c>
      <c r="F36" s="120">
        <v>778.5</v>
      </c>
      <c r="G36" s="120">
        <v>778.5</v>
      </c>
      <c r="H36" s="120">
        <v>778.5</v>
      </c>
      <c r="I36" s="120">
        <v>778.5</v>
      </c>
      <c r="J36" s="120">
        <v>778.5</v>
      </c>
      <c r="K36" s="120">
        <v>778.5</v>
      </c>
      <c r="L36" s="120">
        <v>778.5</v>
      </c>
      <c r="M36" s="120">
        <v>778.5</v>
      </c>
      <c r="N36" s="121">
        <f t="shared" ref="N36:N38" si="0">SUM(B36:M36)</f>
        <v>9342</v>
      </c>
    </row>
    <row r="37" spans="1:14" ht="15.75" customHeight="1">
      <c r="A37" s="19" t="s">
        <v>124</v>
      </c>
      <c r="B37" s="120">
        <v>2988.2954216112498</v>
      </c>
      <c r="C37" s="120">
        <v>2207.0826780940388</v>
      </c>
      <c r="D37" s="120">
        <v>3171.7132345649629</v>
      </c>
      <c r="E37" s="120">
        <v>2096.9718503937011</v>
      </c>
      <c r="F37" s="120">
        <v>814.4908616700003</v>
      </c>
      <c r="G37" s="120">
        <v>645.62888565357684</v>
      </c>
      <c r="H37" s="120">
        <v>2120.9385069342002</v>
      </c>
      <c r="I37" s="120">
        <v>1361.652371134021</v>
      </c>
      <c r="J37" s="120">
        <v>144</v>
      </c>
      <c r="K37" s="120">
        <v>0</v>
      </c>
      <c r="L37" s="120">
        <v>745.2</v>
      </c>
      <c r="M37" s="120">
        <v>1874.8</v>
      </c>
      <c r="N37" s="121">
        <f t="shared" si="0"/>
        <v>18170.773810055751</v>
      </c>
    </row>
    <row r="38" spans="1:14" ht="15.75" customHeight="1">
      <c r="A38" s="122" t="s">
        <v>125</v>
      </c>
      <c r="B38" s="115">
        <f>+'Key Indicators'!C332</f>
        <v>4982.422896</v>
      </c>
      <c r="C38" s="115">
        <f>+'Key Indicators'!D332</f>
        <v>4469.8779840000007</v>
      </c>
      <c r="D38" s="115">
        <f>+'Key Indicators'!E332</f>
        <v>4309.5315119999996</v>
      </c>
      <c r="E38" s="115">
        <f>+'Key Indicators'!F332</f>
        <v>2530.99836</v>
      </c>
      <c r="F38" s="115">
        <f>+'Key Indicators'!G332</f>
        <v>1454.6288437241383</v>
      </c>
      <c r="G38" s="115">
        <f>+'Key Indicators'!H332</f>
        <v>1113.9714413793106</v>
      </c>
      <c r="H38" s="115">
        <f>+'Key Indicators'!I332</f>
        <v>2256.5454119999999</v>
      </c>
      <c r="I38" s="115">
        <f>+'Key Indicators'!J332</f>
        <v>1570.1002943999999</v>
      </c>
      <c r="J38" s="115">
        <f>+'Key Indicators'!K332</f>
        <v>479.6820864</v>
      </c>
      <c r="K38" s="115">
        <f>+'Key Indicators'!L332</f>
        <v>0</v>
      </c>
      <c r="L38" s="115">
        <f>+'Key Indicators'!M332</f>
        <v>2698.8226847999999</v>
      </c>
      <c r="M38" s="115">
        <f>+'Key Indicators'!N332</f>
        <v>5386.1831575200013</v>
      </c>
      <c r="N38" s="123">
        <f t="shared" si="0"/>
        <v>31252.764672223453</v>
      </c>
    </row>
    <row r="39" spans="1:14" ht="15.75" customHeight="1"/>
    <row r="40" spans="1:14" ht="15.75" customHeight="1">
      <c r="A40" s="390" t="s">
        <v>245</v>
      </c>
    </row>
    <row r="41" spans="1:14" ht="15.75" customHeight="1"/>
    <row r="42" spans="1:14" ht="15.75" customHeight="1">
      <c r="A42" s="19" t="s">
        <v>123</v>
      </c>
      <c r="B42" s="262">
        <f>+Rooms!C36</f>
        <v>154371.5603941757</v>
      </c>
      <c r="C42" s="262">
        <f>+Rooms!D36</f>
        <v>212125.96412141749</v>
      </c>
      <c r="D42" s="262">
        <f>+Rooms!E36</f>
        <v>174273.40861984529</v>
      </c>
      <c r="E42" s="262">
        <f>+Rooms!F36</f>
        <v>98148.619112695596</v>
      </c>
      <c r="F42" s="262">
        <f>+Rooms!G36</f>
        <v>40710.232130329721</v>
      </c>
      <c r="G42" s="262">
        <f>+Rooms!H36</f>
        <v>28529.99168430602</v>
      </c>
      <c r="H42" s="262">
        <f>+Rooms!I36</f>
        <v>106081.7246423435</v>
      </c>
      <c r="I42" s="262">
        <f>+Rooms!J36</f>
        <v>63316.353665466951</v>
      </c>
      <c r="J42" s="262">
        <f>+Rooms!K36</f>
        <v>2605.98075638113</v>
      </c>
      <c r="K42" s="262">
        <f>+Rooms!L36</f>
        <v>0</v>
      </c>
      <c r="L42" s="262">
        <f>+Rooms!M36</f>
        <v>84364.018444141155</v>
      </c>
      <c r="M42" s="262">
        <f>+Rooms!N36</f>
        <v>231094.18</v>
      </c>
      <c r="N42" s="262">
        <f>+Rooms!O36</f>
        <v>1195622.0335711027</v>
      </c>
    </row>
    <row r="43" spans="1:14" ht="15.75" customHeight="1">
      <c r="A43" s="19" t="s">
        <v>124</v>
      </c>
      <c r="B43" s="262">
        <f>+Rooms!C37</f>
        <v>214971.94626561698</v>
      </c>
      <c r="C43" s="262">
        <f>+Rooms!D37</f>
        <v>263450.50045211508</v>
      </c>
      <c r="D43" s="262">
        <f>+Rooms!E37</f>
        <v>248335.53941809959</v>
      </c>
      <c r="E43" s="262">
        <f>+Rooms!F37</f>
        <v>118997.86338582674</v>
      </c>
      <c r="F43" s="262">
        <f>+Rooms!G37</f>
        <v>55034.684100090206</v>
      </c>
      <c r="G43" s="262">
        <f>+Rooms!H37</f>
        <v>38706.67120484772</v>
      </c>
      <c r="H43" s="262">
        <f>+Rooms!I37</f>
        <v>139206.93701190126</v>
      </c>
      <c r="I43" s="262">
        <f>+Rooms!J37</f>
        <v>81750.604378988675</v>
      </c>
      <c r="J43" s="262">
        <f>+Rooms!K37</f>
        <v>11282.86</v>
      </c>
      <c r="K43" s="262">
        <f>+Rooms!L37</f>
        <v>19750</v>
      </c>
      <c r="L43" s="262">
        <f>+Rooms!M37</f>
        <v>93150</v>
      </c>
      <c r="M43" s="262">
        <f>+Rooms!N37</f>
        <v>256150</v>
      </c>
      <c r="N43" s="262">
        <f>+Rooms!O37</f>
        <v>1540787.6062174863</v>
      </c>
    </row>
    <row r="44" spans="1:14" ht="15.75" customHeight="1">
      <c r="A44" s="19" t="s">
        <v>125</v>
      </c>
      <c r="B44" s="262">
        <f>+Rooms!C38</f>
        <v>415201.908</v>
      </c>
      <c r="C44" s="262">
        <f>+Rooms!D38</f>
        <v>372489.83200000005</v>
      </c>
      <c r="D44" s="262">
        <f>+Rooms!E38</f>
        <v>359127.62599999999</v>
      </c>
      <c r="E44" s="262">
        <f>+Rooms!F38</f>
        <v>210916.53</v>
      </c>
      <c r="F44" s="262">
        <f>+Rooms!G38</f>
        <v>121219.07031034485</v>
      </c>
      <c r="G44" s="262">
        <f>+Rooms!H38</f>
        <v>92830.95344827589</v>
      </c>
      <c r="H44" s="262">
        <f>+Rooms!I38</f>
        <v>188045.451</v>
      </c>
      <c r="I44" s="262">
        <f>+Rooms!J38</f>
        <v>130841.6912</v>
      </c>
      <c r="J44" s="262">
        <f>+Rooms!K38</f>
        <v>39973.5072</v>
      </c>
      <c r="K44" s="262">
        <f>+Rooms!L38</f>
        <v>0</v>
      </c>
      <c r="L44" s="262">
        <f>+Rooms!M38</f>
        <v>224901.89039999997</v>
      </c>
      <c r="M44" s="262">
        <f>+Rooms!N38</f>
        <v>448848.59646000009</v>
      </c>
      <c r="N44" s="262">
        <f>+Rooms!O38</f>
        <v>2604397.0560186207</v>
      </c>
    </row>
    <row r="45" spans="1:14" ht="15.75" customHeight="1"/>
    <row r="46" spans="1:14" ht="15.75" customHeight="1"/>
    <row r="47" spans="1:14" ht="15.75" customHeight="1">
      <c r="A47" s="391" t="s">
        <v>246</v>
      </c>
    </row>
    <row r="48" spans="1:14" ht="15.75" customHeight="1"/>
    <row r="49" spans="1:14" ht="15.75" customHeight="1">
      <c r="A49" s="19" t="s">
        <v>123</v>
      </c>
      <c r="B49" s="198">
        <f>+B36/B42</f>
        <v>5.0430273426799671E-3</v>
      </c>
      <c r="C49" s="198">
        <f t="shared" ref="C49:M49" si="1">+C36/C42</f>
        <v>3.6699892124209704E-3</v>
      </c>
      <c r="D49" s="198">
        <f t="shared" si="1"/>
        <v>4.4671186853193203E-3</v>
      </c>
      <c r="E49" s="198">
        <f t="shared" si="1"/>
        <v>7.9318487314234704E-3</v>
      </c>
      <c r="F49" s="198">
        <f t="shared" si="1"/>
        <v>1.9122956545855854E-2</v>
      </c>
      <c r="G49" s="198">
        <f t="shared" si="1"/>
        <v>2.7287074199472787E-2</v>
      </c>
      <c r="H49" s="198">
        <f t="shared" si="1"/>
        <v>7.33868159312763E-3</v>
      </c>
      <c r="I49" s="198">
        <f t="shared" si="1"/>
        <v>1.2295401660576005E-2</v>
      </c>
      <c r="J49" s="198">
        <f t="shared" si="1"/>
        <v>0.29873589745193913</v>
      </c>
      <c r="K49" s="198"/>
      <c r="L49" s="198">
        <f t="shared" si="1"/>
        <v>9.2278676900088407E-3</v>
      </c>
      <c r="M49" s="198">
        <f t="shared" si="1"/>
        <v>3.3687564091834767E-3</v>
      </c>
      <c r="N49" s="198">
        <f>+N36/N42</f>
        <v>7.8135060560043101E-3</v>
      </c>
    </row>
    <row r="50" spans="1:14" ht="15.75" customHeight="1">
      <c r="A50" s="19" t="s">
        <v>124</v>
      </c>
      <c r="B50" s="198">
        <f t="shared" ref="B50:M51" si="2">+B37/B43</f>
        <v>1.3900862291672908E-2</v>
      </c>
      <c r="C50" s="198">
        <f t="shared" si="2"/>
        <v>8.3775991099140062E-3</v>
      </c>
      <c r="D50" s="198">
        <f t="shared" si="2"/>
        <v>1.277188614242218E-2</v>
      </c>
      <c r="E50" s="198">
        <f t="shared" si="2"/>
        <v>1.7621928585345181E-2</v>
      </c>
      <c r="F50" s="198">
        <f t="shared" si="2"/>
        <v>1.4799591839006582E-2</v>
      </c>
      <c r="G50" s="198">
        <f t="shared" si="2"/>
        <v>1.6680041593778713E-2</v>
      </c>
      <c r="H50" s="198">
        <f t="shared" si="2"/>
        <v>1.5235867927708762E-2</v>
      </c>
      <c r="I50" s="198">
        <f t="shared" si="2"/>
        <v>1.6656174978493362E-2</v>
      </c>
      <c r="J50" s="198">
        <f t="shared" si="2"/>
        <v>1.2762721508553681E-2</v>
      </c>
      <c r="K50" s="198"/>
      <c r="L50" s="198">
        <f t="shared" si="2"/>
        <v>8.0000000000000002E-3</v>
      </c>
      <c r="M50" s="198">
        <f t="shared" si="2"/>
        <v>7.3191489361702127E-3</v>
      </c>
      <c r="N50" s="198">
        <f>+N37/N43</f>
        <v>1.1793172359857947E-2</v>
      </c>
    </row>
    <row r="51" spans="1:14" ht="15.75" customHeight="1">
      <c r="A51" s="19" t="s">
        <v>125</v>
      </c>
      <c r="B51" s="198">
        <f t="shared" si="2"/>
        <v>1.2E-2</v>
      </c>
      <c r="C51" s="198">
        <f t="shared" si="2"/>
        <v>1.2E-2</v>
      </c>
      <c r="D51" s="198">
        <f t="shared" si="2"/>
        <v>1.1999999999999999E-2</v>
      </c>
      <c r="E51" s="198">
        <f t="shared" si="2"/>
        <v>1.2E-2</v>
      </c>
      <c r="F51" s="198">
        <f t="shared" si="2"/>
        <v>1.2E-2</v>
      </c>
      <c r="G51" s="198">
        <f t="shared" si="2"/>
        <v>1.1999999999999999E-2</v>
      </c>
      <c r="H51" s="198">
        <f t="shared" si="2"/>
        <v>1.2E-2</v>
      </c>
      <c r="I51" s="198">
        <f t="shared" si="2"/>
        <v>1.2E-2</v>
      </c>
      <c r="J51" s="198">
        <f t="shared" si="2"/>
        <v>1.2E-2</v>
      </c>
      <c r="K51" s="198"/>
      <c r="L51" s="198">
        <f t="shared" si="2"/>
        <v>1.2E-2</v>
      </c>
      <c r="M51" s="198">
        <f t="shared" si="2"/>
        <v>1.2E-2</v>
      </c>
      <c r="N51" s="198">
        <f>+N38/N44</f>
        <v>1.2000000000000002E-2</v>
      </c>
    </row>
    <row r="52" spans="1:14" ht="15.75" customHeight="1"/>
    <row r="53" spans="1:14" ht="15.75" customHeight="1">
      <c r="N53" s="268" t="s">
        <v>261</v>
      </c>
    </row>
    <row r="54" spans="1:14" ht="15.75" customHeight="1"/>
    <row r="55" spans="1:14" ht="15.75" customHeight="1"/>
    <row r="56" spans="1:14" ht="15.75" customHeight="1"/>
    <row r="57" spans="1:14" ht="15.75" customHeight="1"/>
    <row r="58" spans="1:14" ht="15.75" customHeight="1"/>
    <row r="59" spans="1:14" ht="15.75" customHeight="1"/>
    <row r="60" spans="1:14" ht="15.75" customHeight="1"/>
    <row r="61" spans="1:14" ht="15.75" customHeight="1"/>
    <row r="62" spans="1:14" ht="15.75" customHeight="1"/>
    <row r="63" spans="1:14" ht="15.75" customHeight="1"/>
    <row r="64" spans="1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ef="A1" location="Summary!A10" display="⟵ Back to Summary" xr:uid="{00000000-0004-0000-0700-000000000000}"/>
    <hyperlink ref="N53" location="ANALYSIS!E103" display="GO BACK" xr:uid="{F2B6C9CB-F297-49DE-91FE-808F310DCCCC}"/>
  </hyperlink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0"/>
  <sheetViews>
    <sheetView workbookViewId="0">
      <pane xSplit="1" ySplit="9" topLeftCell="D11" activePane="bottomRight" state="frozen"/>
      <selection pane="topRight" activeCell="B1" sqref="B1"/>
      <selection pane="bottomLeft" activeCell="A10" sqref="A10"/>
      <selection pane="bottomRight" activeCell="G48" sqref="G48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15" width="12.5703125" customWidth="1"/>
    <col min="16" max="16" width="13.85546875" customWidth="1"/>
    <col min="17" max="17" width="11.42578125" customWidth="1"/>
    <col min="18" max="26" width="8.7109375" customWidth="1"/>
  </cols>
  <sheetData>
    <row r="1" spans="1:14" ht="18.75" customHeight="1">
      <c r="A1" s="2" t="s">
        <v>116</v>
      </c>
      <c r="C1" s="7" t="s">
        <v>143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8" ht="15.75" customHeight="1"/>
    <row r="34" spans="1:18" ht="15.75" customHeight="1">
      <c r="A34" s="1" t="s">
        <v>121</v>
      </c>
    </row>
    <row r="35" spans="1:18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8" ht="15.75" customHeight="1">
      <c r="A36" s="19" t="s">
        <v>123</v>
      </c>
      <c r="B36" s="120">
        <v>23251.897556571519</v>
      </c>
      <c r="C36" s="120">
        <v>35457.988470348188</v>
      </c>
      <c r="D36" s="120">
        <v>29360.588774610638</v>
      </c>
      <c r="E36" s="120">
        <v>19914.132343038229</v>
      </c>
      <c r="F36" s="120">
        <v>4278.6450814560758</v>
      </c>
      <c r="G36" s="120">
        <v>4884.2610938917451</v>
      </c>
      <c r="H36" s="120">
        <v>12683.71463174627</v>
      </c>
      <c r="I36" s="120">
        <v>11513.627694639141</v>
      </c>
      <c r="J36" s="120">
        <v>513.19230255245225</v>
      </c>
      <c r="K36" s="120">
        <v>792.42503287183865</v>
      </c>
      <c r="L36" s="120">
        <v>15512.892708130241</v>
      </c>
      <c r="M36" s="120">
        <v>28389.368478133001</v>
      </c>
      <c r="N36" s="121">
        <f t="shared" ref="N36:N38" si="0">SUM(B36:M36)</f>
        <v>186552.73416798934</v>
      </c>
      <c r="O36" s="262">
        <f>+Innoceanna!N36</f>
        <v>141959.13454389494</v>
      </c>
      <c r="P36" s="262">
        <f>+N36+O36</f>
        <v>328511.86871188425</v>
      </c>
    </row>
    <row r="37" spans="1:18" ht="15.75" customHeight="1">
      <c r="A37" s="19" t="s">
        <v>124</v>
      </c>
      <c r="B37" s="120">
        <v>40198.405573179807</v>
      </c>
      <c r="C37" s="120">
        <v>42643.296725114029</v>
      </c>
      <c r="D37" s="120">
        <v>49187.766744015411</v>
      </c>
      <c r="E37" s="120">
        <v>27966.927499999991</v>
      </c>
      <c r="F37" s="120">
        <v>11004.492999176369</v>
      </c>
      <c r="G37" s="120">
        <v>8206.2238333202185</v>
      </c>
      <c r="H37" s="120">
        <v>25587.58076128651</v>
      </c>
      <c r="I37" s="120">
        <v>17736.76001963672</v>
      </c>
      <c r="J37" s="120">
        <v>5691.6</v>
      </c>
      <c r="K37" s="120">
        <v>0</v>
      </c>
      <c r="L37" s="120">
        <v>26181.360000000001</v>
      </c>
      <c r="M37" s="120">
        <v>48947.76</v>
      </c>
      <c r="N37" s="121">
        <f t="shared" si="0"/>
        <v>303352.17415572907</v>
      </c>
      <c r="O37" s="262">
        <f>+Innoceanna!N37</f>
        <v>178974.45758296567</v>
      </c>
      <c r="P37" s="222">
        <f>+N37+O37</f>
        <v>482326.63173869473</v>
      </c>
    </row>
    <row r="38" spans="1:18" ht="15.75" customHeight="1">
      <c r="A38" s="122" t="s">
        <v>125</v>
      </c>
      <c r="B38" s="115">
        <f>+'Key Indicators'!C333</f>
        <v>106009.39800000002</v>
      </c>
      <c r="C38" s="115">
        <f>+'Key Indicators'!D333</f>
        <v>97027.096320000011</v>
      </c>
      <c r="D38" s="115">
        <f>+'Key Indicators'!E333</f>
        <v>92361.162960000016</v>
      </c>
      <c r="E38" s="115">
        <f>+'Key Indicators'!F333</f>
        <v>50458.953600000008</v>
      </c>
      <c r="F38" s="115">
        <f>+'Key Indicators'!G333</f>
        <v>35334.369657931042</v>
      </c>
      <c r="G38" s="115">
        <f>+'Key Indicators'!H333</f>
        <v>25481.037848275868</v>
      </c>
      <c r="H38" s="115">
        <f>+'Key Indicators'!I333</f>
        <v>50474.152080000014</v>
      </c>
      <c r="I38" s="115">
        <f>+'Key Indicators'!J333</f>
        <v>38196.819936000007</v>
      </c>
      <c r="J38" s="115">
        <f>+'Key Indicators'!K333</f>
        <v>12511.388736000001</v>
      </c>
      <c r="K38" s="115">
        <f>+'Key Indicators'!L333</f>
        <v>0</v>
      </c>
      <c r="L38" s="115">
        <f>+'Key Indicators'!M333</f>
        <v>62328.96648000001</v>
      </c>
      <c r="M38" s="115">
        <f>+'Key Indicators'!N333</f>
        <v>92970.242046000028</v>
      </c>
      <c r="N38" s="123">
        <f t="shared" si="0"/>
        <v>663153.58766420698</v>
      </c>
      <c r="O38" s="31"/>
      <c r="P38" s="222">
        <f>+N38</f>
        <v>663153.58766420698</v>
      </c>
      <c r="Q38" s="225">
        <f>+P38-P37</f>
        <v>180826.95592551224</v>
      </c>
      <c r="R38" s="225"/>
    </row>
    <row r="39" spans="1:18" ht="15.75" customHeight="1"/>
    <row r="40" spans="1:18" ht="15.75" customHeight="1">
      <c r="A40" s="124" t="s">
        <v>127</v>
      </c>
      <c r="B40" s="124">
        <f t="shared" ref="B40:N40" si="1">+B36/B14</f>
        <v>54.200227404595616</v>
      </c>
      <c r="C40" s="124">
        <f t="shared" si="1"/>
        <v>77.758746645500409</v>
      </c>
      <c r="D40" s="124">
        <f t="shared" si="1"/>
        <v>65.537028514755889</v>
      </c>
      <c r="E40" s="124">
        <f t="shared" si="1"/>
        <v>76.888541865012471</v>
      </c>
      <c r="F40" s="124">
        <f t="shared" si="1"/>
        <v>24.310483417364068</v>
      </c>
      <c r="G40" s="124">
        <f t="shared" si="1"/>
        <v>49.839398917262706</v>
      </c>
      <c r="H40" s="124">
        <f t="shared" si="1"/>
        <v>50.938612978900686</v>
      </c>
      <c r="I40" s="124">
        <f t="shared" si="1"/>
        <v>73.335208246109175</v>
      </c>
      <c r="J40" s="124">
        <f t="shared" si="1"/>
        <v>85.532050425408713</v>
      </c>
      <c r="K40" s="124" t="e">
        <f t="shared" si="1"/>
        <v>#DIV/0!</v>
      </c>
      <c r="L40" s="124">
        <f t="shared" si="1"/>
        <v>86.664205073353301</v>
      </c>
      <c r="M40" s="124">
        <f t="shared" si="1"/>
        <v>89.556367438905369</v>
      </c>
      <c r="N40" s="124">
        <f t="shared" si="1"/>
        <v>67.25044490554771</v>
      </c>
    </row>
    <row r="41" spans="1:18" ht="15.75" customHeight="1">
      <c r="A41" s="124" t="s">
        <v>128</v>
      </c>
      <c r="B41" s="124">
        <f t="shared" ref="B41:N41" si="2">+B37/B21</f>
        <v>88.542743553259484</v>
      </c>
      <c r="C41" s="124">
        <f t="shared" si="2"/>
        <v>89.025671659945786</v>
      </c>
      <c r="D41" s="124">
        <f t="shared" si="2"/>
        <v>94.774117040492115</v>
      </c>
      <c r="E41" s="124">
        <f t="shared" si="2"/>
        <v>117.01643305439326</v>
      </c>
      <c r="F41" s="124">
        <f t="shared" si="2"/>
        <v>96.530640343652365</v>
      </c>
      <c r="G41" s="124">
        <f t="shared" si="2"/>
        <v>80.453174836472726</v>
      </c>
      <c r="H41" s="124">
        <f t="shared" si="2"/>
        <v>93.385331245571209</v>
      </c>
      <c r="I41" s="124">
        <f t="shared" si="2"/>
        <v>80.62163645289418</v>
      </c>
      <c r="J41" s="124">
        <f t="shared" si="2"/>
        <v>203.27142857142857</v>
      </c>
      <c r="K41" s="124">
        <f t="shared" si="2"/>
        <v>0</v>
      </c>
      <c r="L41" s="124">
        <f t="shared" si="2"/>
        <v>113.83200000000001</v>
      </c>
      <c r="M41" s="124">
        <f t="shared" si="2"/>
        <v>104.14417021276596</v>
      </c>
      <c r="N41" s="124">
        <f t="shared" si="2"/>
        <v>95.423772933541699</v>
      </c>
      <c r="O41" s="124">
        <f t="shared" ref="O41:O42" si="3">+N41-N40</f>
        <v>28.173328027993989</v>
      </c>
      <c r="P41" s="16">
        <f t="shared" ref="P41:P42" si="4">+O41/N40</f>
        <v>0.41893147424620053</v>
      </c>
    </row>
    <row r="42" spans="1:18" ht="15.75" customHeight="1">
      <c r="A42" s="124" t="s">
        <v>129</v>
      </c>
      <c r="B42" s="124">
        <f t="shared" ref="B42:N42" si="5">+B38/B28</f>
        <v>151.98480000000004</v>
      </c>
      <c r="C42" s="124">
        <f t="shared" si="5"/>
        <v>151.98480000000004</v>
      </c>
      <c r="D42" s="124">
        <f t="shared" si="5"/>
        <v>151.98480000000001</v>
      </c>
      <c r="E42" s="124">
        <f t="shared" si="5"/>
        <v>151.98480000000004</v>
      </c>
      <c r="F42" s="124">
        <f t="shared" si="5"/>
        <v>151.98480000000004</v>
      </c>
      <c r="G42" s="124">
        <f t="shared" si="5"/>
        <v>151.98480000000004</v>
      </c>
      <c r="H42" s="124">
        <f t="shared" si="5"/>
        <v>151.98480000000004</v>
      </c>
      <c r="I42" s="124">
        <f t="shared" si="5"/>
        <v>151.98480000000004</v>
      </c>
      <c r="J42" s="124">
        <f t="shared" si="5"/>
        <v>151.98480000000001</v>
      </c>
      <c r="K42" s="124" t="e">
        <f t="shared" si="5"/>
        <v>#DIV/0!</v>
      </c>
      <c r="L42" s="124">
        <f t="shared" si="5"/>
        <v>151.98480000000004</v>
      </c>
      <c r="M42" s="124">
        <f t="shared" si="5"/>
        <v>151.98480000000006</v>
      </c>
      <c r="N42" s="124">
        <f t="shared" si="5"/>
        <v>151.98480000000001</v>
      </c>
      <c r="O42" s="124">
        <f t="shared" si="3"/>
        <v>56.561027066458308</v>
      </c>
      <c r="P42" s="16">
        <f t="shared" si="4"/>
        <v>0.59273517832763201</v>
      </c>
    </row>
    <row r="43" spans="1:18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P43" s="16"/>
    </row>
    <row r="44" spans="1:18" ht="15.75" customHeight="1">
      <c r="A44" s="124" t="s">
        <v>130</v>
      </c>
      <c r="B44" s="124">
        <f t="shared" ref="B44:N44" si="6">+B36/B15</f>
        <v>32.703090796865709</v>
      </c>
      <c r="C44" s="124">
        <f t="shared" si="6"/>
        <v>42.515573705453463</v>
      </c>
      <c r="D44" s="124">
        <f t="shared" si="6"/>
        <v>35.162381766000763</v>
      </c>
      <c r="E44" s="124">
        <f t="shared" si="6"/>
        <v>36.60686092470263</v>
      </c>
      <c r="F44" s="124">
        <f t="shared" si="6"/>
        <v>13.757701226546867</v>
      </c>
      <c r="G44" s="124">
        <f t="shared" si="6"/>
        <v>30.526631836823405</v>
      </c>
      <c r="H44" s="124">
        <f t="shared" si="6"/>
        <v>29.565768372368929</v>
      </c>
      <c r="I44" s="124">
        <f t="shared" si="6"/>
        <v>37.14073449883594</v>
      </c>
      <c r="J44" s="124">
        <f t="shared" si="6"/>
        <v>42.766025212704356</v>
      </c>
      <c r="K44" s="124" t="e">
        <f t="shared" si="6"/>
        <v>#DIV/0!</v>
      </c>
      <c r="L44" s="124">
        <f t="shared" si="6"/>
        <v>49.091432620665316</v>
      </c>
      <c r="M44" s="124">
        <f t="shared" si="6"/>
        <v>46.236756479043976</v>
      </c>
      <c r="N44" s="124">
        <f t="shared" si="6"/>
        <v>36.751917684789078</v>
      </c>
      <c r="P44" s="16"/>
    </row>
    <row r="45" spans="1:18" ht="15.75" customHeight="1">
      <c r="A45" s="124" t="s">
        <v>131</v>
      </c>
      <c r="B45" s="124">
        <f t="shared" ref="B45:N45" si="7">+B37/B29</f>
        <v>32.017845936423583</v>
      </c>
      <c r="C45" s="124">
        <f t="shared" si="7"/>
        <v>37.109524440540618</v>
      </c>
      <c r="D45" s="124">
        <f t="shared" si="7"/>
        <v>44.967150041152806</v>
      </c>
      <c r="E45" s="124">
        <f t="shared" si="7"/>
        <v>46.798740796519397</v>
      </c>
      <c r="F45" s="124">
        <f t="shared" si="7"/>
        <v>26.296644877882979</v>
      </c>
      <c r="G45" s="124">
        <f t="shared" si="7"/>
        <v>27.192798021651623</v>
      </c>
      <c r="H45" s="124">
        <f t="shared" si="7"/>
        <v>42.804344008308249</v>
      </c>
      <c r="I45" s="124">
        <f t="shared" si="7"/>
        <v>39.208004004714482</v>
      </c>
      <c r="J45" s="124">
        <f t="shared" si="7"/>
        <v>38.411078717201164</v>
      </c>
      <c r="K45" s="124" t="e">
        <f t="shared" si="7"/>
        <v>#DIV/0!</v>
      </c>
      <c r="L45" s="124">
        <f t="shared" si="7"/>
        <v>35.467446964155087</v>
      </c>
      <c r="M45" s="124">
        <f t="shared" si="7"/>
        <v>44.454580007601663</v>
      </c>
      <c r="N45" s="125">
        <f t="shared" si="7"/>
        <v>38.624301599922745</v>
      </c>
      <c r="P45" s="16"/>
    </row>
    <row r="46" spans="1:18" ht="15.75" customHeight="1">
      <c r="A46" s="124" t="s">
        <v>132</v>
      </c>
      <c r="B46" s="127">
        <f t="shared" ref="B46:N46" si="8">+B38/B29</f>
        <v>84.436000000000007</v>
      </c>
      <c r="C46" s="127">
        <f t="shared" si="8"/>
        <v>84.436000000000021</v>
      </c>
      <c r="D46" s="127">
        <f t="shared" si="8"/>
        <v>84.436000000000007</v>
      </c>
      <c r="E46" s="127">
        <f t="shared" si="8"/>
        <v>84.436000000000007</v>
      </c>
      <c r="F46" s="127">
        <f t="shared" si="8"/>
        <v>84.436000000000007</v>
      </c>
      <c r="G46" s="127">
        <f t="shared" si="8"/>
        <v>84.436000000000021</v>
      </c>
      <c r="H46" s="127">
        <f t="shared" si="8"/>
        <v>84.436000000000007</v>
      </c>
      <c r="I46" s="127">
        <f t="shared" si="8"/>
        <v>84.436000000000007</v>
      </c>
      <c r="J46" s="127">
        <f t="shared" si="8"/>
        <v>84.435999999999993</v>
      </c>
      <c r="K46" s="127" t="e">
        <f t="shared" si="8"/>
        <v>#DIV/0!</v>
      </c>
      <c r="L46" s="127">
        <f t="shared" si="8"/>
        <v>84.436000000000021</v>
      </c>
      <c r="M46" s="127">
        <f t="shared" si="8"/>
        <v>84.436000000000007</v>
      </c>
      <c r="N46" s="127">
        <f t="shared" si="8"/>
        <v>84.435999999999993</v>
      </c>
      <c r="O46" s="124">
        <f>+N46-N45</f>
        <v>45.811698400077248</v>
      </c>
      <c r="P46" s="16">
        <f>+O46/N45</f>
        <v>1.1860848352574194</v>
      </c>
    </row>
    <row r="47" spans="1:18" ht="15.75" customHeight="1">
      <c r="N47" s="16"/>
    </row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800-000000000000}"/>
  </hyperlink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0"/>
  <sheetViews>
    <sheetView workbookViewId="0">
      <pane xSplit="1" ySplit="9" topLeftCell="B36" activePane="bottomRight" state="frozen"/>
      <selection pane="topRight" activeCell="B1" sqref="B1"/>
      <selection pane="bottomLeft" activeCell="A10" sqref="A10"/>
      <selection pane="bottomRight" activeCell="L52" sqref="L52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15" width="12.5703125" customWidth="1"/>
    <col min="16" max="26" width="8.7109375" customWidth="1"/>
  </cols>
  <sheetData>
    <row r="1" spans="1:14" ht="18.75" customHeight="1">
      <c r="A1" s="2" t="s">
        <v>116</v>
      </c>
      <c r="C1" s="7" t="s">
        <v>144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6" ht="15.75" customHeight="1"/>
    <row r="34" spans="1:16" ht="15.75" customHeight="1">
      <c r="A34" s="1" t="s">
        <v>121</v>
      </c>
    </row>
    <row r="35" spans="1:16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6" ht="15.75" customHeight="1">
      <c r="A36" s="19" t="s">
        <v>123</v>
      </c>
      <c r="B36" s="120">
        <v>6839.4117138576203</v>
      </c>
      <c r="C36" s="120">
        <v>8643.1189536696638</v>
      </c>
      <c r="D36" s="120">
        <v>9479.849485747869</v>
      </c>
      <c r="E36" s="120">
        <v>4705.2109130520903</v>
      </c>
      <c r="F36" s="120">
        <v>971.64708862732869</v>
      </c>
      <c r="G36" s="120">
        <v>1180.513210613849</v>
      </c>
      <c r="H36" s="120">
        <v>18097.012394973881</v>
      </c>
      <c r="I36" s="120">
        <v>2716.938738397424</v>
      </c>
      <c r="J36" s="120">
        <v>1088.308642446689</v>
      </c>
      <c r="K36" s="120">
        <v>68.442551628122828</v>
      </c>
      <c r="L36" s="120">
        <v>3294.4656073308638</v>
      </c>
      <c r="M36" s="120">
        <v>7363.2469896058064</v>
      </c>
      <c r="N36" s="121">
        <f t="shared" ref="N36:N38" si="0">SUM(B36:M36)</f>
        <v>64448.166289951216</v>
      </c>
    </row>
    <row r="37" spans="1:16" ht="15.75" customHeight="1">
      <c r="A37" s="19" t="s">
        <v>124</v>
      </c>
      <c r="B37" s="120">
        <v>11835.55582971056</v>
      </c>
      <c r="C37" s="120">
        <v>14786.667852649791</v>
      </c>
      <c r="D37" s="120">
        <v>17991.068602368079</v>
      </c>
      <c r="E37" s="120">
        <v>18846.318582677181</v>
      </c>
      <c r="F37" s="120">
        <v>4777.0944817037298</v>
      </c>
      <c r="G37" s="120">
        <v>5542.9628157708439</v>
      </c>
      <c r="H37" s="120">
        <v>10251.493164158561</v>
      </c>
      <c r="I37" s="120">
        <v>9337.314619538558</v>
      </c>
      <c r="J37" s="120">
        <v>1959.5</v>
      </c>
      <c r="K37" s="120">
        <v>0</v>
      </c>
      <c r="L37" s="120">
        <v>9013.7000000000007</v>
      </c>
      <c r="M37" s="120">
        <v>16851.7</v>
      </c>
      <c r="N37" s="121">
        <f t="shared" si="0"/>
        <v>121193.3759485773</v>
      </c>
    </row>
    <row r="38" spans="1:16" ht="15.75" customHeight="1">
      <c r="A38" s="122" t="s">
        <v>125</v>
      </c>
      <c r="B38" s="115">
        <f>+'Key Indicators'!C334</f>
        <v>36735.93</v>
      </c>
      <c r="C38" s="115">
        <f>+'Key Indicators'!D334</f>
        <v>33623.251199999999</v>
      </c>
      <c r="D38" s="115">
        <f>+'Key Indicators'!E334</f>
        <v>32006.343600000007</v>
      </c>
      <c r="E38" s="115">
        <f>+'Key Indicators'!F334</f>
        <v>17485.776000000002</v>
      </c>
      <c r="F38" s="115">
        <f>+'Key Indicators'!G334</f>
        <v>12244.583544827588</v>
      </c>
      <c r="G38" s="115">
        <f>+'Key Indicators'!H334</f>
        <v>8830.0626206896559</v>
      </c>
      <c r="H38" s="115">
        <f>+'Key Indicators'!I334</f>
        <v>17491.042800000003</v>
      </c>
      <c r="I38" s="115">
        <f>+'Key Indicators'!J334</f>
        <v>13236.521760000003</v>
      </c>
      <c r="J38" s="115">
        <f>+'Key Indicators'!K334</f>
        <v>4335.6297600000007</v>
      </c>
      <c r="K38" s="115">
        <f>+'Key Indicators'!L334</f>
        <v>0</v>
      </c>
      <c r="L38" s="115">
        <f>+'Key Indicators'!M334</f>
        <v>21599.146800000002</v>
      </c>
      <c r="M38" s="115">
        <f>+'Key Indicators'!N334</f>
        <v>32217.41061000001</v>
      </c>
      <c r="N38" s="123">
        <f t="shared" si="0"/>
        <v>229805.69869551726</v>
      </c>
      <c r="O38" s="31">
        <f>+N38-N37</f>
        <v>108612.32274693996</v>
      </c>
      <c r="P38" s="16">
        <f>+O38/N37</f>
        <v>0.89619025707332778</v>
      </c>
    </row>
    <row r="39" spans="1:16" ht="15.75" customHeight="1"/>
    <row r="40" spans="1:16" ht="15.75" customHeight="1">
      <c r="A40" s="124" t="s">
        <v>127</v>
      </c>
      <c r="B40" s="124">
        <f t="shared" ref="B40:N40" si="1">+B36/B14</f>
        <v>15.942684647686761</v>
      </c>
      <c r="C40" s="124">
        <f t="shared" si="1"/>
        <v>18.95420823173172</v>
      </c>
      <c r="D40" s="124">
        <f t="shared" si="1"/>
        <v>21.160378316401495</v>
      </c>
      <c r="E40" s="124">
        <f t="shared" si="1"/>
        <v>18.166837502131624</v>
      </c>
      <c r="F40" s="124">
        <f t="shared" si="1"/>
        <v>5.5207220944734585</v>
      </c>
      <c r="G40" s="124">
        <f t="shared" si="1"/>
        <v>12.04605316952907</v>
      </c>
      <c r="H40" s="124">
        <f t="shared" si="1"/>
        <v>72.678764638449323</v>
      </c>
      <c r="I40" s="124">
        <f t="shared" si="1"/>
        <v>17.305342282786139</v>
      </c>
      <c r="J40" s="124">
        <f t="shared" si="1"/>
        <v>181.38477374111483</v>
      </c>
      <c r="K40" s="124" t="e">
        <f t="shared" si="1"/>
        <v>#DIV/0!</v>
      </c>
      <c r="L40" s="124">
        <f t="shared" si="1"/>
        <v>18.404835795144489</v>
      </c>
      <c r="M40" s="124">
        <f t="shared" si="1"/>
        <v>23.227908484560903</v>
      </c>
      <c r="N40" s="124">
        <f t="shared" si="1"/>
        <v>23.232936658237641</v>
      </c>
    </row>
    <row r="41" spans="1:16" ht="15.75" customHeight="1">
      <c r="A41" s="124" t="s">
        <v>128</v>
      </c>
      <c r="B41" s="124">
        <f t="shared" ref="B41:N41" si="2">+B37/B21</f>
        <v>26.069506232842642</v>
      </c>
      <c r="C41" s="124">
        <f t="shared" si="2"/>
        <v>30.869870256053844</v>
      </c>
      <c r="D41" s="124">
        <f t="shared" si="2"/>
        <v>34.664872066219807</v>
      </c>
      <c r="E41" s="124">
        <f t="shared" si="2"/>
        <v>78.854889467268535</v>
      </c>
      <c r="F41" s="124">
        <f t="shared" si="2"/>
        <v>41.904337558804649</v>
      </c>
      <c r="G41" s="124">
        <f t="shared" si="2"/>
        <v>54.342772703635724</v>
      </c>
      <c r="H41" s="124">
        <f t="shared" si="2"/>
        <v>37.414208628315919</v>
      </c>
      <c r="I41" s="124">
        <f t="shared" si="2"/>
        <v>42.442339179720719</v>
      </c>
      <c r="J41" s="124">
        <f t="shared" si="2"/>
        <v>69.982142857142861</v>
      </c>
      <c r="K41" s="124">
        <f t="shared" si="2"/>
        <v>0</v>
      </c>
      <c r="L41" s="124">
        <f t="shared" si="2"/>
        <v>39.190000000000005</v>
      </c>
      <c r="M41" s="124">
        <f t="shared" si="2"/>
        <v>35.854680851063833</v>
      </c>
      <c r="N41" s="124">
        <f t="shared" si="2"/>
        <v>38.123112912418151</v>
      </c>
      <c r="O41" s="124">
        <f t="shared" ref="O41:O42" si="3">+N41-N40</f>
        <v>14.89017625418051</v>
      </c>
      <c r="P41" s="16">
        <f t="shared" ref="P41:P42" si="4">+O41/N40</f>
        <v>0.64090805537064721</v>
      </c>
    </row>
    <row r="42" spans="1:16" ht="15.75" customHeight="1">
      <c r="A42" s="124" t="s">
        <v>129</v>
      </c>
      <c r="B42" s="124">
        <f t="shared" ref="B42:N42" si="5">+B38/B28</f>
        <v>52.667999999999999</v>
      </c>
      <c r="C42" s="124">
        <f t="shared" si="5"/>
        <v>52.667999999999999</v>
      </c>
      <c r="D42" s="124">
        <f t="shared" si="5"/>
        <v>52.668000000000006</v>
      </c>
      <c r="E42" s="124">
        <f t="shared" si="5"/>
        <v>52.668000000000006</v>
      </c>
      <c r="F42" s="124">
        <f t="shared" si="5"/>
        <v>52.668000000000013</v>
      </c>
      <c r="G42" s="124">
        <f t="shared" si="5"/>
        <v>52.667999999999999</v>
      </c>
      <c r="H42" s="124">
        <f t="shared" si="5"/>
        <v>52.668000000000006</v>
      </c>
      <c r="I42" s="124">
        <f t="shared" si="5"/>
        <v>52.668000000000013</v>
      </c>
      <c r="J42" s="124">
        <f t="shared" si="5"/>
        <v>52.668000000000006</v>
      </c>
      <c r="K42" s="124" t="e">
        <f t="shared" si="5"/>
        <v>#DIV/0!</v>
      </c>
      <c r="L42" s="124">
        <f t="shared" si="5"/>
        <v>52.668000000000006</v>
      </c>
      <c r="M42" s="124">
        <f t="shared" si="5"/>
        <v>52.668000000000021</v>
      </c>
      <c r="N42" s="124">
        <f t="shared" si="5"/>
        <v>52.668000000000006</v>
      </c>
      <c r="O42" s="124">
        <f t="shared" si="3"/>
        <v>14.544887087581856</v>
      </c>
      <c r="P42" s="16">
        <f t="shared" si="4"/>
        <v>0.38152411952813098</v>
      </c>
    </row>
    <row r="43" spans="1:16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P43" s="16"/>
    </row>
    <row r="44" spans="1:16" ht="15.75" customHeight="1">
      <c r="A44" s="124" t="s">
        <v>130</v>
      </c>
      <c r="B44" s="124">
        <f t="shared" ref="B44:N44" si="6">+B36/B15</f>
        <v>9.6194257578869475</v>
      </c>
      <c r="C44" s="124">
        <f t="shared" si="6"/>
        <v>10.363451982817343</v>
      </c>
      <c r="D44" s="124">
        <f t="shared" si="6"/>
        <v>11.353113156584275</v>
      </c>
      <c r="E44" s="124">
        <f t="shared" si="6"/>
        <v>8.6492847666398713</v>
      </c>
      <c r="F44" s="124">
        <f t="shared" si="6"/>
        <v>3.1242671660042722</v>
      </c>
      <c r="G44" s="124">
        <f t="shared" si="6"/>
        <v>7.3782075663365561</v>
      </c>
      <c r="H44" s="124">
        <f t="shared" si="6"/>
        <v>42.184178076862196</v>
      </c>
      <c r="I44" s="124">
        <f t="shared" si="6"/>
        <v>8.7643185109594324</v>
      </c>
      <c r="J44" s="124">
        <f t="shared" si="6"/>
        <v>90.692386870557414</v>
      </c>
      <c r="K44" s="124" t="e">
        <f t="shared" si="6"/>
        <v>#DIV/0!</v>
      </c>
      <c r="L44" s="124">
        <f t="shared" si="6"/>
        <v>10.425524073831847</v>
      </c>
      <c r="M44" s="124">
        <f t="shared" si="6"/>
        <v>11.992258940726069</v>
      </c>
      <c r="N44" s="124">
        <f t="shared" si="6"/>
        <v>12.696644265159813</v>
      </c>
      <c r="P44" s="16"/>
    </row>
    <row r="45" spans="1:16" ht="15.75" customHeight="1">
      <c r="A45" s="124" t="s">
        <v>131</v>
      </c>
      <c r="B45" s="124">
        <f t="shared" ref="B45:N45" si="7">+B37/B29</f>
        <v>9.4269660133098849</v>
      </c>
      <c r="C45" s="124">
        <f t="shared" si="7"/>
        <v>12.867818724458536</v>
      </c>
      <c r="D45" s="124">
        <f t="shared" si="7"/>
        <v>16.447322877121458</v>
      </c>
      <c r="E45" s="124">
        <f t="shared" si="7"/>
        <v>31.536677681856059</v>
      </c>
      <c r="F45" s="124">
        <f t="shared" si="7"/>
        <v>11.415478854215234</v>
      </c>
      <c r="G45" s="124">
        <f t="shared" si="7"/>
        <v>18.367603827569184</v>
      </c>
      <c r="H45" s="124">
        <f t="shared" si="7"/>
        <v>17.149274255007793</v>
      </c>
      <c r="I45" s="124">
        <f t="shared" si="7"/>
        <v>20.640605645610194</v>
      </c>
      <c r="J45" s="124">
        <f t="shared" si="7"/>
        <v>13.224138861893962</v>
      </c>
      <c r="K45" s="124" t="e">
        <f t="shared" si="7"/>
        <v>#DIV/0!</v>
      </c>
      <c r="L45" s="124">
        <f t="shared" si="7"/>
        <v>12.210707415535508</v>
      </c>
      <c r="M45" s="124">
        <f t="shared" si="7"/>
        <v>15.30479118787256</v>
      </c>
      <c r="N45" s="125">
        <f t="shared" si="7"/>
        <v>15.430941009664982</v>
      </c>
      <c r="P45" s="16"/>
    </row>
    <row r="46" spans="1:16" ht="15.75" customHeight="1">
      <c r="A46" s="124" t="s">
        <v>132</v>
      </c>
      <c r="B46" s="127">
        <f t="shared" ref="B46:N46" si="8">+B38/B29</f>
        <v>29.26</v>
      </c>
      <c r="C46" s="127">
        <f t="shared" si="8"/>
        <v>29.26</v>
      </c>
      <c r="D46" s="127">
        <f t="shared" si="8"/>
        <v>29.260000000000005</v>
      </c>
      <c r="E46" s="127">
        <f t="shared" si="8"/>
        <v>29.26</v>
      </c>
      <c r="F46" s="127">
        <f t="shared" si="8"/>
        <v>29.26</v>
      </c>
      <c r="G46" s="127">
        <f t="shared" si="8"/>
        <v>29.26</v>
      </c>
      <c r="H46" s="127">
        <f>+H38/H29</f>
        <v>29.26</v>
      </c>
      <c r="I46" s="127">
        <f>+I38/I29</f>
        <v>29.260000000000005</v>
      </c>
      <c r="J46" s="127">
        <f t="shared" si="8"/>
        <v>29.26</v>
      </c>
      <c r="K46" s="127" t="e">
        <f t="shared" si="8"/>
        <v>#DIV/0!</v>
      </c>
      <c r="L46" s="127">
        <f t="shared" si="8"/>
        <v>29.260000000000005</v>
      </c>
      <c r="M46" s="127">
        <f t="shared" si="8"/>
        <v>29.260000000000005</v>
      </c>
      <c r="N46" s="127">
        <f t="shared" si="8"/>
        <v>29.259999999999998</v>
      </c>
      <c r="O46" s="124">
        <f>+N46-N45</f>
        <v>13.829058990335016</v>
      </c>
      <c r="P46" s="16">
        <f>+O46/N45</f>
        <v>0.89619025707332767</v>
      </c>
    </row>
    <row r="47" spans="1:16" ht="15.75" customHeight="1"/>
    <row r="48" spans="1:16" ht="15.75" customHeight="1">
      <c r="B48">
        <v>35</v>
      </c>
      <c r="C48">
        <v>35</v>
      </c>
      <c r="D48">
        <v>35</v>
      </c>
      <c r="E48">
        <v>35</v>
      </c>
      <c r="F48">
        <v>35</v>
      </c>
      <c r="G48">
        <v>35</v>
      </c>
      <c r="H48">
        <v>35</v>
      </c>
      <c r="I48">
        <v>35</v>
      </c>
      <c r="J48">
        <v>35</v>
      </c>
      <c r="K48">
        <v>35</v>
      </c>
      <c r="L48">
        <v>35</v>
      </c>
      <c r="M48">
        <v>35</v>
      </c>
    </row>
    <row r="49" spans="2:13" ht="15.75" customHeight="1">
      <c r="B49" s="223">
        <f>+B48*B22</f>
        <v>28315</v>
      </c>
      <c r="C49" s="223">
        <f t="shared" ref="C49:M49" si="9">+C48*C22</f>
        <v>31255</v>
      </c>
      <c r="D49" s="223">
        <f t="shared" si="9"/>
        <v>33670</v>
      </c>
      <c r="E49" s="223">
        <f t="shared" si="9"/>
        <v>14980</v>
      </c>
      <c r="F49" s="223">
        <f t="shared" si="9"/>
        <v>7980</v>
      </c>
      <c r="G49" s="223">
        <f t="shared" si="9"/>
        <v>6405</v>
      </c>
      <c r="H49" s="223">
        <f t="shared" si="9"/>
        <v>21385</v>
      </c>
      <c r="I49" s="223">
        <f t="shared" si="9"/>
        <v>14385</v>
      </c>
      <c r="J49" s="223">
        <f t="shared" si="9"/>
        <v>945</v>
      </c>
      <c r="K49" s="223">
        <f t="shared" si="9"/>
        <v>2625</v>
      </c>
      <c r="L49" s="223">
        <f t="shared" si="9"/>
        <v>12075</v>
      </c>
      <c r="M49" s="223">
        <f t="shared" si="9"/>
        <v>24675</v>
      </c>
    </row>
    <row r="50" spans="2:13" ht="15.75" customHeight="1"/>
    <row r="51" spans="2:13" ht="15.75" customHeight="1"/>
    <row r="52" spans="2:13" ht="15.75" customHeight="1"/>
    <row r="53" spans="2:13" ht="15.75" customHeight="1"/>
    <row r="54" spans="2:13" ht="15.75" customHeight="1"/>
    <row r="55" spans="2:13" ht="15.75" customHeight="1"/>
    <row r="56" spans="2:13" ht="15.75" customHeight="1"/>
    <row r="57" spans="2:13" ht="15.75" customHeight="1"/>
    <row r="58" spans="2:13" ht="15.75" customHeight="1"/>
    <row r="59" spans="2:13" ht="15.75" customHeight="1"/>
    <row r="60" spans="2:13" ht="15.75" customHeight="1"/>
    <row r="61" spans="2:13" ht="15.75" customHeight="1"/>
    <row r="62" spans="2:13" ht="15.75" customHeight="1"/>
    <row r="63" spans="2:13" ht="15.75" customHeight="1"/>
    <row r="64" spans="2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900-000000000000}"/>
  </hyperlink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96"/>
  <sheetViews>
    <sheetView workbookViewId="0">
      <pane xSplit="1" ySplit="9" topLeftCell="B34" activePane="bottomRight" state="frozen"/>
      <selection pane="topRight" activeCell="B1" sqref="B1"/>
      <selection pane="bottomLeft" activeCell="A10" sqref="A10"/>
      <selection pane="bottomRight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145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19035.440278151291</v>
      </c>
      <c r="C36" s="120">
        <v>24083.111119665849</v>
      </c>
      <c r="D36" s="120">
        <v>23552.044803604669</v>
      </c>
      <c r="E36" s="120">
        <v>14307.942701525049</v>
      </c>
      <c r="F36" s="120">
        <v>5683.7655896796332</v>
      </c>
      <c r="G36" s="120">
        <v>6108.9313577260345</v>
      </c>
      <c r="H36" s="120">
        <v>11978.497653470589</v>
      </c>
      <c r="I36" s="120">
        <v>9877.4202311043755</v>
      </c>
      <c r="J36" s="120">
        <v>514.0933162788034</v>
      </c>
      <c r="K36" s="120">
        <v>0</v>
      </c>
      <c r="L36" s="120">
        <v>7821.1374926886338</v>
      </c>
      <c r="M36" s="120">
        <v>18996.75</v>
      </c>
      <c r="N36" s="121">
        <f t="shared" ref="N36:N38" si="0">SUM(B36:M36)</f>
        <v>141959.13454389494</v>
      </c>
    </row>
    <row r="37" spans="1:14" ht="15.75" customHeight="1">
      <c r="A37" s="19" t="s">
        <v>124</v>
      </c>
      <c r="B37" s="120">
        <v>23824.916500215411</v>
      </c>
      <c r="C37" s="120">
        <v>29052.609883629499</v>
      </c>
      <c r="D37" s="120">
        <v>29098.835267051451</v>
      </c>
      <c r="E37" s="120">
        <v>17280.510452755909</v>
      </c>
      <c r="F37" s="120">
        <v>6406.4185394360111</v>
      </c>
      <c r="G37" s="120">
        <v>8041.9541984732814</v>
      </c>
      <c r="H37" s="120">
        <v>18147.842844496899</v>
      </c>
      <c r="I37" s="120">
        <v>12571.36989690721</v>
      </c>
      <c r="J37" s="120">
        <v>1800</v>
      </c>
      <c r="K37" s="120">
        <v>0</v>
      </c>
      <c r="L37" s="120">
        <v>9315</v>
      </c>
      <c r="M37" s="120">
        <v>23435</v>
      </c>
      <c r="N37" s="121">
        <f t="shared" si="0"/>
        <v>178974.45758296567</v>
      </c>
    </row>
    <row r="38" spans="1:14" ht="15.75" customHeight="1">
      <c r="A38" s="122" t="s">
        <v>125</v>
      </c>
      <c r="B38" s="115">
        <f>+'Key Indicators'!C335</f>
        <v>2076.00954</v>
      </c>
      <c r="C38" s="115">
        <f>+'Key Indicators'!D335</f>
        <v>1862.4491600000003</v>
      </c>
      <c r="D38" s="115">
        <f>+'Key Indicators'!E335</f>
        <v>1795.63813</v>
      </c>
      <c r="E38" s="115">
        <f>+'Key Indicators'!F335</f>
        <v>1054.5826500000001</v>
      </c>
      <c r="F38" s="115">
        <f>+'Key Indicators'!G335</f>
        <v>606.09535155172421</v>
      </c>
      <c r="G38" s="115">
        <f>+'Key Indicators'!H335</f>
        <v>464.15476724137943</v>
      </c>
      <c r="H38" s="115">
        <f>+'Key Indicators'!I335</f>
        <v>940.22725500000001</v>
      </c>
      <c r="I38" s="115">
        <f>+'Key Indicators'!J335</f>
        <v>654.20845600000007</v>
      </c>
      <c r="J38" s="115">
        <f>+'Key Indicators'!K335</f>
        <v>199.867536</v>
      </c>
      <c r="K38" s="115">
        <f>+'Key Indicators'!L335</f>
        <v>0</v>
      </c>
      <c r="L38" s="115">
        <f>+'Key Indicators'!M335</f>
        <v>1124.509452</v>
      </c>
      <c r="M38" s="115">
        <f>+'Key Indicators'!N335</f>
        <v>2244.2429823000007</v>
      </c>
      <c r="N38" s="411">
        <f t="shared" si="0"/>
        <v>13021.985280093104</v>
      </c>
    </row>
    <row r="39" spans="1:14" ht="15.75" customHeight="1"/>
    <row r="40" spans="1:14" ht="15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</row>
    <row r="41" spans="1:14" ht="15.75" customHeight="1" thickBot="1">
      <c r="A41" s="246" t="s">
        <v>184</v>
      </c>
    </row>
    <row r="42" spans="1:14" ht="15.75" customHeight="1" thickBot="1">
      <c r="A42" s="392" t="s">
        <v>122</v>
      </c>
      <c r="B42" s="393" t="s">
        <v>13</v>
      </c>
      <c r="C42" s="393" t="s">
        <v>14</v>
      </c>
      <c r="D42" s="393" t="s">
        <v>15</v>
      </c>
      <c r="E42" s="393" t="s">
        <v>16</v>
      </c>
      <c r="F42" s="393" t="s">
        <v>17</v>
      </c>
      <c r="G42" s="393" t="s">
        <v>18</v>
      </c>
      <c r="H42" s="393" t="s">
        <v>19</v>
      </c>
      <c r="I42" s="393" t="s">
        <v>20</v>
      </c>
      <c r="J42" s="393" t="s">
        <v>21</v>
      </c>
      <c r="K42" s="393" t="s">
        <v>22</v>
      </c>
      <c r="L42" s="393" t="s">
        <v>23</v>
      </c>
      <c r="M42" s="393" t="s">
        <v>24</v>
      </c>
      <c r="N42" s="394" t="s">
        <v>25</v>
      </c>
    </row>
    <row r="43" spans="1:14" ht="15.75" customHeight="1">
      <c r="A43" s="395" t="s">
        <v>123</v>
      </c>
      <c r="B43" s="396">
        <f>+Rooms!C36</f>
        <v>154371.5603941757</v>
      </c>
      <c r="C43" s="396">
        <f>+Rooms!D36</f>
        <v>212125.96412141749</v>
      </c>
      <c r="D43" s="396">
        <f>+Rooms!E36</f>
        <v>174273.40861984529</v>
      </c>
      <c r="E43" s="396">
        <f>+Rooms!F36</f>
        <v>98148.619112695596</v>
      </c>
      <c r="F43" s="396">
        <f>+Rooms!G36</f>
        <v>40710.232130329721</v>
      </c>
      <c r="G43" s="396">
        <f>+Rooms!H36</f>
        <v>28529.99168430602</v>
      </c>
      <c r="H43" s="396">
        <f>+Rooms!I36</f>
        <v>106081.7246423435</v>
      </c>
      <c r="I43" s="396">
        <f>+Rooms!J36</f>
        <v>63316.353665466951</v>
      </c>
      <c r="J43" s="396">
        <f>+Rooms!K36</f>
        <v>2605.98075638113</v>
      </c>
      <c r="K43" s="396">
        <f>+Rooms!L36</f>
        <v>0</v>
      </c>
      <c r="L43" s="396">
        <f>+Rooms!M36</f>
        <v>84364.018444141155</v>
      </c>
      <c r="M43" s="396">
        <f>+Rooms!N36</f>
        <v>231094.18</v>
      </c>
      <c r="N43" s="397">
        <f>+Rooms!O36</f>
        <v>1195622.0335711027</v>
      </c>
    </row>
    <row r="44" spans="1:14" ht="15.75" customHeight="1">
      <c r="A44" s="398" t="s">
        <v>124</v>
      </c>
      <c r="B44" s="120">
        <f>+Rooms!C37</f>
        <v>214971.94626561698</v>
      </c>
      <c r="C44" s="120">
        <f>+Rooms!D37</f>
        <v>263450.50045211508</v>
      </c>
      <c r="D44" s="120">
        <f>+Rooms!E37</f>
        <v>248335.53941809959</v>
      </c>
      <c r="E44" s="120">
        <f>+Rooms!F37</f>
        <v>118997.86338582674</v>
      </c>
      <c r="F44" s="120">
        <f>+Rooms!G37</f>
        <v>55034.684100090206</v>
      </c>
      <c r="G44" s="120">
        <f>+Rooms!H37</f>
        <v>38706.67120484772</v>
      </c>
      <c r="H44" s="120">
        <f>+Rooms!I37</f>
        <v>139206.93701190126</v>
      </c>
      <c r="I44" s="120">
        <f>+Rooms!J37</f>
        <v>81750.604378988675</v>
      </c>
      <c r="J44" s="120">
        <f>+Rooms!K37</f>
        <v>11282.86</v>
      </c>
      <c r="K44" s="120">
        <f>+Rooms!L37</f>
        <v>19750</v>
      </c>
      <c r="L44" s="120">
        <f>+Rooms!M37</f>
        <v>93150</v>
      </c>
      <c r="M44" s="120">
        <f>+Rooms!N37</f>
        <v>256150</v>
      </c>
      <c r="N44" s="399">
        <f>+Rooms!O37</f>
        <v>1540787.6062174863</v>
      </c>
    </row>
    <row r="45" spans="1:14" ht="15.75" customHeight="1" thickBot="1">
      <c r="A45" s="400" t="s">
        <v>125</v>
      </c>
      <c r="B45" s="401">
        <f>+Rooms!C38</f>
        <v>415201.908</v>
      </c>
      <c r="C45" s="401">
        <f>+Rooms!D38</f>
        <v>372489.83200000005</v>
      </c>
      <c r="D45" s="401">
        <f>+Rooms!E38</f>
        <v>359127.62599999999</v>
      </c>
      <c r="E45" s="401">
        <f>+Rooms!F38</f>
        <v>210916.53</v>
      </c>
      <c r="F45" s="401">
        <f>+Rooms!G38</f>
        <v>121219.07031034485</v>
      </c>
      <c r="G45" s="401">
        <f>+Rooms!H38</f>
        <v>92830.95344827589</v>
      </c>
      <c r="H45" s="401">
        <f>+Rooms!I38</f>
        <v>188045.451</v>
      </c>
      <c r="I45" s="401">
        <f>+Rooms!J38</f>
        <v>130841.6912</v>
      </c>
      <c r="J45" s="401">
        <f>+Rooms!K38</f>
        <v>39973.5072</v>
      </c>
      <c r="K45" s="401">
        <f>+Rooms!L38</f>
        <v>0</v>
      </c>
      <c r="L45" s="401">
        <f>+Rooms!M38</f>
        <v>224901.89039999997</v>
      </c>
      <c r="M45" s="401">
        <f>+Rooms!N38</f>
        <v>448848.59646000009</v>
      </c>
      <c r="N45" s="402">
        <f>+Rooms!O38</f>
        <v>2604397.0560186207</v>
      </c>
    </row>
    <row r="46" spans="1:14" ht="15.75" customHeight="1"/>
    <row r="47" spans="1:14" ht="15.75" customHeight="1" thickBot="1"/>
    <row r="48" spans="1:14" ht="15.75" customHeight="1" thickBot="1">
      <c r="A48" s="404" t="s">
        <v>125</v>
      </c>
      <c r="B48" s="403">
        <f>+B38/B45</f>
        <v>5.0000000000000001E-3</v>
      </c>
      <c r="C48" s="403">
        <f t="shared" ref="C48:N48" si="1">+C38/C45</f>
        <v>5.0000000000000001E-3</v>
      </c>
      <c r="D48" s="403">
        <f>+D38/D45</f>
        <v>5.0000000000000001E-3</v>
      </c>
      <c r="E48" s="403">
        <f t="shared" si="1"/>
        <v>5.0000000000000001E-3</v>
      </c>
      <c r="F48" s="403">
        <f t="shared" si="1"/>
        <v>5.0000000000000001E-3</v>
      </c>
      <c r="G48" s="403">
        <f t="shared" si="1"/>
        <v>5.0000000000000001E-3</v>
      </c>
      <c r="H48" s="403">
        <f t="shared" si="1"/>
        <v>5.0000000000000001E-3</v>
      </c>
      <c r="I48" s="403">
        <f t="shared" si="1"/>
        <v>5.0000000000000001E-3</v>
      </c>
      <c r="J48" s="403">
        <f t="shared" si="1"/>
        <v>5.0000000000000001E-3</v>
      </c>
      <c r="K48" s="403"/>
      <c r="L48" s="403">
        <f t="shared" si="1"/>
        <v>5.000000000000001E-3</v>
      </c>
      <c r="M48" s="403">
        <f t="shared" si="1"/>
        <v>5.0000000000000001E-3</v>
      </c>
      <c r="N48" s="403">
        <f t="shared" si="1"/>
        <v>5.0000000000000001E-3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ef="A1" location="Summary!A10" display="⟵ Back to Summary" xr:uid="{00000000-0004-0000-0A00-000000000000}"/>
  </hyperlink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00"/>
  <sheetViews>
    <sheetView workbookViewId="0">
      <pane xSplit="1" ySplit="9" topLeftCell="B27" activePane="bottomRight" state="frozen"/>
      <selection pane="topRight" activeCell="B1" sqref="B1"/>
      <selection pane="bottomLeft" activeCell="A10" sqref="A10"/>
      <selection pane="bottomRight" activeCell="N38" sqref="N38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146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0</v>
      </c>
      <c r="C36" s="120">
        <v>0</v>
      </c>
      <c r="D36" s="120">
        <v>0</v>
      </c>
      <c r="E36" s="120">
        <v>0</v>
      </c>
      <c r="F36" s="120">
        <v>0</v>
      </c>
      <c r="G36" s="120">
        <v>44.357877230117928</v>
      </c>
      <c r="H36" s="120">
        <v>753.07830595715689</v>
      </c>
      <c r="I36" s="120">
        <v>1265.73205152491</v>
      </c>
      <c r="J36" s="120">
        <v>0</v>
      </c>
      <c r="K36" s="120">
        <v>0</v>
      </c>
      <c r="L36" s="120">
        <v>4006.181438876974</v>
      </c>
      <c r="M36" s="120">
        <v>7524.7718376152197</v>
      </c>
      <c r="N36" s="121">
        <f t="shared" ref="N36:N38" si="0">SUM(B36:M36)</f>
        <v>13594.121511204379</v>
      </c>
    </row>
    <row r="37" spans="1:14" ht="15.75" customHeight="1">
      <c r="A37" s="19" t="s">
        <v>124</v>
      </c>
      <c r="B37" s="120">
        <v>12471.268299847259</v>
      </c>
      <c r="C37" s="120">
        <v>15628.97169366253</v>
      </c>
      <c r="D37" s="120">
        <v>16011.263560817921</v>
      </c>
      <c r="E37" s="120">
        <v>10939.195275590549</v>
      </c>
      <c r="F37" s="120">
        <v>5052.0297093775735</v>
      </c>
      <c r="G37" s="120">
        <v>3797.2237546234401</v>
      </c>
      <c r="H37" s="120">
        <v>8661.523084489032</v>
      </c>
      <c r="I37" s="120">
        <v>6901.8360922925885</v>
      </c>
      <c r="J37" s="120">
        <v>1842.9203539823011</v>
      </c>
      <c r="K37" s="120">
        <v>0</v>
      </c>
      <c r="L37" s="120">
        <v>8477.4336283185839</v>
      </c>
      <c r="M37" s="120">
        <v>15849.11504424779</v>
      </c>
      <c r="N37" s="121">
        <f t="shared" si="0"/>
        <v>105632.78049724958</v>
      </c>
    </row>
    <row r="38" spans="1:14" ht="15.75" customHeight="1">
      <c r="A38" s="122" t="s">
        <v>125</v>
      </c>
      <c r="B38" s="115">
        <f>+'Key Indicators'!C336</f>
        <v>35154</v>
      </c>
      <c r="C38" s="115">
        <f>+'Key Indicators'!D336</f>
        <v>32175.360000000001</v>
      </c>
      <c r="D38" s="115">
        <f>+'Key Indicators'!E336</f>
        <v>30628.080000000005</v>
      </c>
      <c r="E38" s="115">
        <f>+'Key Indicators'!F336</f>
        <v>16732.8</v>
      </c>
      <c r="F38" s="115">
        <f>+'Key Indicators'!G336</f>
        <v>11717.304827586209</v>
      </c>
      <c r="G38" s="115">
        <f>+'Key Indicators'!H336</f>
        <v>8449.8206896551728</v>
      </c>
      <c r="H38" s="115">
        <f>+'Key Indicators'!I336</f>
        <v>16737.840000000004</v>
      </c>
      <c r="I38" s="115">
        <f>+'Key Indicators'!J336</f>
        <v>12666.528000000002</v>
      </c>
      <c r="J38" s="115">
        <f>+'Key Indicators'!K336</f>
        <v>4148.9280000000008</v>
      </c>
      <c r="K38" s="115">
        <f>+'Key Indicators'!L336</f>
        <v>0</v>
      </c>
      <c r="L38" s="115">
        <f>+'Key Indicators'!M336</f>
        <v>20669.04</v>
      </c>
      <c r="M38" s="115">
        <f>+'Key Indicators'!N336</f>
        <v>30830.058000000008</v>
      </c>
      <c r="N38" s="123">
        <f t="shared" si="0"/>
        <v>219909.75951724141</v>
      </c>
    </row>
    <row r="39" spans="1:14" ht="15.75" customHeight="1"/>
    <row r="40" spans="1:14" ht="15.75" customHeight="1">
      <c r="A40" s="124" t="s">
        <v>127</v>
      </c>
      <c r="B40" s="124">
        <f t="shared" ref="B40:N40" si="1">+B36/B14</f>
        <v>0</v>
      </c>
      <c r="C40" s="124">
        <f t="shared" si="1"/>
        <v>0</v>
      </c>
      <c r="D40" s="124">
        <f t="shared" si="1"/>
        <v>0</v>
      </c>
      <c r="E40" s="124">
        <f t="shared" si="1"/>
        <v>0</v>
      </c>
      <c r="F40" s="124">
        <f t="shared" si="1"/>
        <v>0</v>
      </c>
      <c r="G40" s="124">
        <f t="shared" si="1"/>
        <v>0.45263140030732579</v>
      </c>
      <c r="H40" s="124">
        <f t="shared" si="1"/>
        <v>3.0244108672978189</v>
      </c>
      <c r="I40" s="124">
        <f t="shared" si="1"/>
        <v>8.0619875893306379</v>
      </c>
      <c r="J40" s="124">
        <f t="shared" si="1"/>
        <v>0</v>
      </c>
      <c r="K40" s="124" t="e">
        <f t="shared" si="1"/>
        <v>#DIV/0!</v>
      </c>
      <c r="L40" s="124">
        <f t="shared" si="1"/>
        <v>22.380901893167451</v>
      </c>
      <c r="M40" s="124">
        <f t="shared" si="1"/>
        <v>23.73745059184612</v>
      </c>
      <c r="N40" s="124">
        <f t="shared" si="1"/>
        <v>4.9005484899799496</v>
      </c>
    </row>
    <row r="41" spans="1:14" ht="15.75" customHeight="1">
      <c r="A41" s="124" t="s">
        <v>128</v>
      </c>
      <c r="B41" s="124">
        <f t="shared" ref="B41:N41" si="2">+B37/B21</f>
        <v>27.469753964421276</v>
      </c>
      <c r="C41" s="124">
        <f t="shared" si="2"/>
        <v>32.628333389692131</v>
      </c>
      <c r="D41" s="124">
        <f t="shared" si="2"/>
        <v>30.850218806970947</v>
      </c>
      <c r="E41" s="124">
        <f t="shared" si="2"/>
        <v>45.770691529667573</v>
      </c>
      <c r="F41" s="124">
        <f t="shared" si="2"/>
        <v>44.316050082259416</v>
      </c>
      <c r="G41" s="124">
        <f t="shared" si="2"/>
        <v>37.227683868857255</v>
      </c>
      <c r="H41" s="124">
        <f t="shared" si="2"/>
        <v>31.61139811857311</v>
      </c>
      <c r="I41" s="124">
        <f t="shared" si="2"/>
        <v>31.371982237693583</v>
      </c>
      <c r="J41" s="124">
        <f t="shared" si="2"/>
        <v>65.818584070796462</v>
      </c>
      <c r="K41" s="124">
        <f t="shared" si="2"/>
        <v>0</v>
      </c>
      <c r="L41" s="124">
        <f t="shared" si="2"/>
        <v>36.858407079646014</v>
      </c>
      <c r="M41" s="124">
        <f t="shared" si="2"/>
        <v>33.721521370739978</v>
      </c>
      <c r="N41" s="124">
        <f t="shared" si="2"/>
        <v>33.228304654686873</v>
      </c>
    </row>
    <row r="42" spans="1:14" ht="15.75" customHeight="1">
      <c r="A42" s="124" t="s">
        <v>129</v>
      </c>
      <c r="B42" s="124">
        <f t="shared" ref="B42:N42" si="3">+B38/B28</f>
        <v>50.4</v>
      </c>
      <c r="C42" s="124">
        <f t="shared" si="3"/>
        <v>50.400000000000006</v>
      </c>
      <c r="D42" s="124">
        <f t="shared" si="3"/>
        <v>50.400000000000006</v>
      </c>
      <c r="E42" s="124">
        <f t="shared" si="3"/>
        <v>50.4</v>
      </c>
      <c r="F42" s="124">
        <f t="shared" si="3"/>
        <v>50.400000000000013</v>
      </c>
      <c r="G42" s="124">
        <f t="shared" si="3"/>
        <v>50.4</v>
      </c>
      <c r="H42" s="124">
        <f t="shared" si="3"/>
        <v>50.400000000000006</v>
      </c>
      <c r="I42" s="124">
        <f t="shared" si="3"/>
        <v>50.400000000000013</v>
      </c>
      <c r="J42" s="124">
        <f t="shared" si="3"/>
        <v>50.400000000000006</v>
      </c>
      <c r="K42" s="124" t="e">
        <f t="shared" si="3"/>
        <v>#DIV/0!</v>
      </c>
      <c r="L42" s="124">
        <f t="shared" si="3"/>
        <v>50.400000000000006</v>
      </c>
      <c r="M42" s="124">
        <f t="shared" si="3"/>
        <v>50.400000000000013</v>
      </c>
      <c r="N42" s="124">
        <f t="shared" si="3"/>
        <v>50.400000000000006</v>
      </c>
    </row>
    <row r="43" spans="1:14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</row>
    <row r="44" spans="1:14" ht="15.75" customHeight="1">
      <c r="A44" s="124" t="s">
        <v>130</v>
      </c>
      <c r="B44" s="124">
        <f t="shared" ref="B44:N44" si="4">+B36/B15</f>
        <v>0</v>
      </c>
      <c r="C44" s="124">
        <f t="shared" si="4"/>
        <v>0</v>
      </c>
      <c r="D44" s="124">
        <f t="shared" si="4"/>
        <v>0</v>
      </c>
      <c r="E44" s="124">
        <f t="shared" si="4"/>
        <v>0</v>
      </c>
      <c r="F44" s="124">
        <f t="shared" si="4"/>
        <v>0</v>
      </c>
      <c r="G44" s="124">
        <f t="shared" si="4"/>
        <v>0.27723673268823706</v>
      </c>
      <c r="H44" s="124">
        <f t="shared" si="4"/>
        <v>1.7554272866134193</v>
      </c>
      <c r="I44" s="124">
        <f t="shared" si="4"/>
        <v>4.0830066178222904</v>
      </c>
      <c r="J44" s="124">
        <f t="shared" si="4"/>
        <v>0</v>
      </c>
      <c r="K44" s="124" t="e">
        <f t="shared" si="4"/>
        <v>#DIV/0!</v>
      </c>
      <c r="L44" s="124">
        <f t="shared" si="4"/>
        <v>12.677789363534728</v>
      </c>
      <c r="M44" s="124">
        <f t="shared" si="4"/>
        <v>12.255328725757687</v>
      </c>
      <c r="N44" s="124">
        <f t="shared" si="4"/>
        <v>2.6781169249811621</v>
      </c>
    </row>
    <row r="45" spans="1:14" ht="15.75" customHeight="1">
      <c r="A45" s="124" t="s">
        <v>131</v>
      </c>
      <c r="B45" s="124">
        <f t="shared" ref="B45:N45" si="5">+B37/B29</f>
        <v>9.9333080843068569</v>
      </c>
      <c r="C45" s="124">
        <f t="shared" si="5"/>
        <v>13.600817750680983</v>
      </c>
      <c r="D45" s="124">
        <f t="shared" si="5"/>
        <v>14.637397437348397</v>
      </c>
      <c r="E45" s="124">
        <f t="shared" si="5"/>
        <v>18.305212977895831</v>
      </c>
      <c r="F45" s="124">
        <f t="shared" si="5"/>
        <v>12.072471779477679</v>
      </c>
      <c r="G45" s="124">
        <f t="shared" si="5"/>
        <v>12.582783592038</v>
      </c>
      <c r="H45" s="124">
        <f t="shared" si="5"/>
        <v>14.489482894190221</v>
      </c>
      <c r="I45" s="124">
        <f t="shared" si="5"/>
        <v>15.25685733171651</v>
      </c>
      <c r="J45" s="124">
        <f t="shared" si="5"/>
        <v>12.43737416303788</v>
      </c>
      <c r="K45" s="124" t="e">
        <f t="shared" si="5"/>
        <v>#DIV/0!</v>
      </c>
      <c r="L45" s="124">
        <f t="shared" si="5"/>
        <v>11.484236403476908</v>
      </c>
      <c r="M45" s="124">
        <f t="shared" si="5"/>
        <v>14.394238935228019</v>
      </c>
      <c r="N45" s="125">
        <f t="shared" si="5"/>
        <v>13.449688910651084</v>
      </c>
    </row>
    <row r="46" spans="1:14" ht="15.75" customHeight="1">
      <c r="A46" s="124" t="s">
        <v>132</v>
      </c>
      <c r="B46" s="127">
        <f t="shared" ref="B46:N46" si="6">+B38/B29</f>
        <v>28</v>
      </c>
      <c r="C46" s="127">
        <f t="shared" si="6"/>
        <v>28.000000000000004</v>
      </c>
      <c r="D46" s="127">
        <f t="shared" si="6"/>
        <v>28</v>
      </c>
      <c r="E46" s="127">
        <f t="shared" si="6"/>
        <v>27.999999999999996</v>
      </c>
      <c r="F46" s="127">
        <f t="shared" si="6"/>
        <v>28.000000000000004</v>
      </c>
      <c r="G46" s="127">
        <f t="shared" si="6"/>
        <v>28</v>
      </c>
      <c r="H46" s="127">
        <f t="shared" si="6"/>
        <v>28.000000000000004</v>
      </c>
      <c r="I46" s="127">
        <f t="shared" si="6"/>
        <v>28.000000000000004</v>
      </c>
      <c r="J46" s="127">
        <f t="shared" si="6"/>
        <v>28.000000000000004</v>
      </c>
      <c r="K46" s="127" t="e">
        <f t="shared" si="6"/>
        <v>#DIV/0!</v>
      </c>
      <c r="L46" s="127">
        <f t="shared" si="6"/>
        <v>28.000000000000004</v>
      </c>
      <c r="M46" s="127">
        <f t="shared" si="6"/>
        <v>28.000000000000004</v>
      </c>
      <c r="N46" s="127">
        <f t="shared" si="6"/>
        <v>28</v>
      </c>
    </row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B00-000000000000}"/>
  </hyperlink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>
      <pane xSplit="1" ySplit="9" topLeftCell="B27" activePane="bottomRight" state="frozen"/>
      <selection pane="topRight" activeCell="B1" sqref="B1"/>
      <selection pane="bottomLeft" activeCell="A10" sqref="A10"/>
      <selection pane="bottomRight" activeCell="B46" sqref="B46"/>
    </sheetView>
  </sheetViews>
  <sheetFormatPr defaultColWidth="14.42578125" defaultRowHeight="15" customHeight="1"/>
  <cols>
    <col min="1" max="1" width="28.7109375" customWidth="1"/>
    <col min="2" max="14" width="16.7109375" customWidth="1"/>
    <col min="15" max="26" width="8.7109375" customWidth="1"/>
  </cols>
  <sheetData>
    <row r="1" spans="1:14" ht="18.75" customHeight="1">
      <c r="A1" s="2" t="s">
        <v>116</v>
      </c>
      <c r="C1" s="7" t="s">
        <v>147</v>
      </c>
    </row>
    <row r="11" spans="1:14">
      <c r="A11" s="1" t="s">
        <v>118</v>
      </c>
    </row>
    <row r="12" spans="1:14">
      <c r="A12" s="109" t="s">
        <v>28</v>
      </c>
      <c r="B12" s="110" t="s">
        <v>13</v>
      </c>
      <c r="C12" s="110" t="s">
        <v>14</v>
      </c>
      <c r="D12" s="110" t="s">
        <v>15</v>
      </c>
      <c r="E12" s="110" t="s">
        <v>16</v>
      </c>
      <c r="F12" s="110" t="s">
        <v>17</v>
      </c>
      <c r="G12" s="110" t="s">
        <v>18</v>
      </c>
      <c r="H12" s="110" t="s">
        <v>19</v>
      </c>
      <c r="I12" s="110" t="s">
        <v>20</v>
      </c>
      <c r="J12" s="110" t="s">
        <v>21</v>
      </c>
      <c r="K12" s="110" t="s">
        <v>22</v>
      </c>
      <c r="L12" s="110" t="s">
        <v>23</v>
      </c>
      <c r="M12" s="110" t="s">
        <v>24</v>
      </c>
      <c r="N12" s="111" t="s">
        <v>25</v>
      </c>
    </row>
    <row r="13" spans="1:14">
      <c r="A13" s="12" t="s">
        <v>29</v>
      </c>
      <c r="B13" s="112">
        <f>Rooms!C13</f>
        <v>930</v>
      </c>
      <c r="C13" s="112">
        <f>Rooms!D13</f>
        <v>870</v>
      </c>
      <c r="D13" s="112">
        <f>Rooms!E13</f>
        <v>930</v>
      </c>
      <c r="E13" s="112">
        <f>Rooms!F13</f>
        <v>900</v>
      </c>
      <c r="F13" s="112">
        <f>Rooms!G13</f>
        <v>930</v>
      </c>
      <c r="G13" s="112">
        <f>Rooms!H13</f>
        <v>900</v>
      </c>
      <c r="H13" s="112">
        <f>Rooms!I13</f>
        <v>930</v>
      </c>
      <c r="I13" s="112">
        <f>Rooms!J13</f>
        <v>930</v>
      </c>
      <c r="J13" s="112">
        <f>Rooms!K13</f>
        <v>900</v>
      </c>
      <c r="K13" s="112">
        <f>Rooms!L13</f>
        <v>930</v>
      </c>
      <c r="L13" s="112">
        <f>Rooms!M13</f>
        <v>900</v>
      </c>
      <c r="M13" s="112">
        <f>Rooms!N13</f>
        <v>930</v>
      </c>
      <c r="N13" s="15">
        <f>Rooms!O13</f>
        <v>10980</v>
      </c>
    </row>
    <row r="14" spans="1:14">
      <c r="A14" s="12" t="s">
        <v>30</v>
      </c>
      <c r="B14" s="112">
        <f>Rooms!C14</f>
        <v>429</v>
      </c>
      <c r="C14" s="112">
        <f>Rooms!D14</f>
        <v>456</v>
      </c>
      <c r="D14" s="112">
        <f>Rooms!E14</f>
        <v>448</v>
      </c>
      <c r="E14" s="112">
        <f>Rooms!F14</f>
        <v>259</v>
      </c>
      <c r="F14" s="112">
        <f>Rooms!G14</f>
        <v>176</v>
      </c>
      <c r="G14" s="112">
        <f>Rooms!H14</f>
        <v>98</v>
      </c>
      <c r="H14" s="112">
        <f>Rooms!I14</f>
        <v>249</v>
      </c>
      <c r="I14" s="112">
        <f>Rooms!J14</f>
        <v>157</v>
      </c>
      <c r="J14" s="112">
        <f>Rooms!K14</f>
        <v>6</v>
      </c>
      <c r="K14" s="112">
        <f>Rooms!L14</f>
        <v>0</v>
      </c>
      <c r="L14" s="112">
        <f>Rooms!M14</f>
        <v>179</v>
      </c>
      <c r="M14" s="112">
        <f>Rooms!N14</f>
        <v>317</v>
      </c>
      <c r="N14" s="15">
        <f>Rooms!O14</f>
        <v>2774</v>
      </c>
    </row>
    <row r="15" spans="1:14">
      <c r="A15" s="12" t="s">
        <v>31</v>
      </c>
      <c r="B15" s="112">
        <f>Rooms!C15</f>
        <v>711</v>
      </c>
      <c r="C15" s="112">
        <f>Rooms!D15</f>
        <v>834</v>
      </c>
      <c r="D15" s="112">
        <f>Rooms!E15</f>
        <v>835</v>
      </c>
      <c r="E15" s="112">
        <f>Rooms!F15</f>
        <v>544</v>
      </c>
      <c r="F15" s="112">
        <f>Rooms!G15</f>
        <v>311</v>
      </c>
      <c r="G15" s="112">
        <f>Rooms!H15</f>
        <v>160</v>
      </c>
      <c r="H15" s="112">
        <f>Rooms!I15</f>
        <v>429</v>
      </c>
      <c r="I15" s="112">
        <f>Rooms!J15</f>
        <v>310</v>
      </c>
      <c r="J15" s="112">
        <f>Rooms!K15</f>
        <v>12</v>
      </c>
      <c r="K15" s="112">
        <f>Rooms!L15</f>
        <v>0</v>
      </c>
      <c r="L15" s="112">
        <f>Rooms!M15</f>
        <v>316</v>
      </c>
      <c r="M15" s="112">
        <f>Rooms!N15</f>
        <v>614</v>
      </c>
      <c r="N15" s="15">
        <f>Rooms!O15</f>
        <v>5076</v>
      </c>
    </row>
    <row r="16" spans="1:14">
      <c r="A16" s="12" t="s">
        <v>32</v>
      </c>
      <c r="B16" s="113">
        <f>Rooms!C16</f>
        <v>0.46129999999999999</v>
      </c>
      <c r="C16" s="113">
        <f>Rooms!D16</f>
        <v>0.52410000000000001</v>
      </c>
      <c r="D16" s="113">
        <f>Rooms!E16</f>
        <v>0.48170000000000002</v>
      </c>
      <c r="E16" s="113">
        <f>Rooms!F16</f>
        <v>0.2878</v>
      </c>
      <c r="F16" s="113">
        <f>Rooms!G16</f>
        <v>0.18920000000000001</v>
      </c>
      <c r="G16" s="113">
        <f>Rooms!H16</f>
        <v>0.1089</v>
      </c>
      <c r="H16" s="113">
        <f>Rooms!I16</f>
        <v>0.26769999999999999</v>
      </c>
      <c r="I16" s="113">
        <f>Rooms!J16</f>
        <v>0.16880000000000001</v>
      </c>
      <c r="J16" s="113">
        <f>Rooms!K16</f>
        <v>6.7000000000000002E-3</v>
      </c>
      <c r="K16" s="22">
        <f>Rooms!L16</f>
        <v>0</v>
      </c>
      <c r="L16" s="113">
        <f>Rooms!M16</f>
        <v>0.19889999999999999</v>
      </c>
      <c r="M16" s="113">
        <f>Rooms!N16</f>
        <v>0.34089999999999998</v>
      </c>
      <c r="N16" s="17">
        <f>Rooms!O16</f>
        <v>0.25264116575591983</v>
      </c>
    </row>
    <row r="17" spans="1:14">
      <c r="A17" s="114" t="s">
        <v>119</v>
      </c>
      <c r="B17" s="115">
        <f>Rooms!C17</f>
        <v>359.84046711929068</v>
      </c>
      <c r="C17" s="115">
        <f>Rooms!D17</f>
        <v>465.18851781012609</v>
      </c>
      <c r="D17" s="115">
        <f>Rooms!E17</f>
        <v>389.0031442407261</v>
      </c>
      <c r="E17" s="115">
        <f>Rooms!F17</f>
        <v>378.95219734631502</v>
      </c>
      <c r="F17" s="115">
        <f>Rooms!G17</f>
        <v>231.30813710414614</v>
      </c>
      <c r="G17" s="115">
        <f>Rooms!H17</f>
        <v>291.12236412557161</v>
      </c>
      <c r="H17" s="115">
        <f>Rooms!I17</f>
        <v>426.03102266001406</v>
      </c>
      <c r="I17" s="115">
        <f>Rooms!J17</f>
        <v>403.28887685010795</v>
      </c>
      <c r="J17" s="115">
        <f>Rooms!K17</f>
        <v>434.33012606352167</v>
      </c>
      <c r="K17" s="115">
        <f>Rooms!L17</f>
        <v>0</v>
      </c>
      <c r="L17" s="115">
        <f>Rooms!M17</f>
        <v>471.30736560972713</v>
      </c>
      <c r="M17" s="115">
        <f>Rooms!N17</f>
        <v>729.00372239747628</v>
      </c>
      <c r="N17" s="116">
        <f>Rooms!O17</f>
        <v>431.01010582952512</v>
      </c>
    </row>
    <row r="18" spans="1:14">
      <c r="A18" s="1" t="s">
        <v>120</v>
      </c>
    </row>
    <row r="19" spans="1:14">
      <c r="A19" s="109" t="s">
        <v>28</v>
      </c>
      <c r="B19" s="110" t="s">
        <v>13</v>
      </c>
      <c r="C19" s="110" t="s">
        <v>14</v>
      </c>
      <c r="D19" s="110" t="s">
        <v>15</v>
      </c>
      <c r="E19" s="110" t="s">
        <v>16</v>
      </c>
      <c r="F19" s="110" t="s">
        <v>17</v>
      </c>
      <c r="G19" s="110" t="s">
        <v>18</v>
      </c>
      <c r="H19" s="110" t="s">
        <v>19</v>
      </c>
      <c r="I19" s="110" t="s">
        <v>20</v>
      </c>
      <c r="J19" s="110" t="s">
        <v>21</v>
      </c>
      <c r="K19" s="110" t="s">
        <v>22</v>
      </c>
      <c r="L19" s="110" t="s">
        <v>23</v>
      </c>
      <c r="M19" s="110" t="s">
        <v>24</v>
      </c>
      <c r="N19" s="111" t="s">
        <v>25</v>
      </c>
    </row>
    <row r="20" spans="1:14">
      <c r="A20" s="12" t="s">
        <v>29</v>
      </c>
      <c r="B20" s="112">
        <f>Rooms!C20</f>
        <v>930</v>
      </c>
      <c r="C20" s="112">
        <f>Rooms!D20</f>
        <v>840</v>
      </c>
      <c r="D20" s="112">
        <f>Rooms!E20</f>
        <v>930</v>
      </c>
      <c r="E20" s="112">
        <f>Rooms!F20</f>
        <v>900</v>
      </c>
      <c r="F20" s="112">
        <f>Rooms!G20</f>
        <v>930</v>
      </c>
      <c r="G20" s="112">
        <f>Rooms!H20</f>
        <v>900</v>
      </c>
      <c r="H20" s="112">
        <f>Rooms!I20</f>
        <v>930</v>
      </c>
      <c r="I20" s="112">
        <f>Rooms!J20</f>
        <v>930</v>
      </c>
      <c r="J20" s="112">
        <f>Rooms!K20</f>
        <v>900</v>
      </c>
      <c r="K20" s="112">
        <f>Rooms!L20</f>
        <v>930</v>
      </c>
      <c r="L20" s="112">
        <f>Rooms!M20</f>
        <v>900</v>
      </c>
      <c r="M20" s="112">
        <f>Rooms!N20</f>
        <v>930</v>
      </c>
      <c r="N20" s="15">
        <f>Rooms!O20</f>
        <v>10950</v>
      </c>
    </row>
    <row r="21" spans="1:14" ht="15.75" customHeight="1">
      <c r="A21" s="12" t="s">
        <v>30</v>
      </c>
      <c r="B21" s="112">
        <f>Rooms!C21</f>
        <v>454</v>
      </c>
      <c r="C21" s="112">
        <f>Rooms!D21</f>
        <v>479</v>
      </c>
      <c r="D21" s="112">
        <f>Rooms!E21</f>
        <v>519</v>
      </c>
      <c r="E21" s="112">
        <f>Rooms!F21</f>
        <v>239</v>
      </c>
      <c r="F21" s="112">
        <f>Rooms!G21</f>
        <v>114</v>
      </c>
      <c r="G21" s="112">
        <f>Rooms!H21</f>
        <v>102</v>
      </c>
      <c r="H21" s="112">
        <f>Rooms!I21</f>
        <v>274</v>
      </c>
      <c r="I21" s="112">
        <f>Rooms!J21</f>
        <v>220</v>
      </c>
      <c r="J21" s="112">
        <f>Rooms!K21</f>
        <v>28</v>
      </c>
      <c r="K21" s="112">
        <f>Rooms!L21</f>
        <v>50</v>
      </c>
      <c r="L21" s="112">
        <f>Rooms!M21</f>
        <v>230</v>
      </c>
      <c r="M21" s="112">
        <f>Rooms!N21</f>
        <v>470</v>
      </c>
      <c r="N21" s="15">
        <f>Rooms!O21</f>
        <v>3179</v>
      </c>
    </row>
    <row r="22" spans="1:14" ht="15.75" customHeight="1">
      <c r="A22" s="12" t="s">
        <v>31</v>
      </c>
      <c r="B22" s="112">
        <f>Rooms!C22</f>
        <v>809</v>
      </c>
      <c r="C22" s="112">
        <f>Rooms!D22</f>
        <v>893</v>
      </c>
      <c r="D22" s="112">
        <f>Rooms!E22</f>
        <v>962</v>
      </c>
      <c r="E22" s="112">
        <f>Rooms!F22</f>
        <v>428</v>
      </c>
      <c r="F22" s="112">
        <f>Rooms!G22</f>
        <v>228</v>
      </c>
      <c r="G22" s="112">
        <f>Rooms!H22</f>
        <v>183</v>
      </c>
      <c r="H22" s="112">
        <f>Rooms!I22</f>
        <v>611</v>
      </c>
      <c r="I22" s="112">
        <f>Rooms!J22</f>
        <v>411</v>
      </c>
      <c r="J22" s="112">
        <f>Rooms!K22</f>
        <v>27</v>
      </c>
      <c r="K22" s="112">
        <f>Rooms!L22</f>
        <v>75</v>
      </c>
      <c r="L22" s="112">
        <f>Rooms!M22</f>
        <v>345</v>
      </c>
      <c r="M22" s="112">
        <f>Rooms!N22</f>
        <v>705</v>
      </c>
      <c r="N22" s="15">
        <f>Rooms!O22</f>
        <v>5677</v>
      </c>
    </row>
    <row r="23" spans="1:14" ht="15.75" customHeight="1">
      <c r="A23" s="12" t="s">
        <v>32</v>
      </c>
      <c r="B23" s="113">
        <f>Rooms!C23</f>
        <v>0.48817204301075268</v>
      </c>
      <c r="C23" s="113">
        <f>Rooms!D23</f>
        <v>0.57023809523809521</v>
      </c>
      <c r="D23" s="113">
        <f>Rooms!E23</f>
        <v>0.5580645161290323</v>
      </c>
      <c r="E23" s="113">
        <f>Rooms!F23</f>
        <v>0.26555555555555554</v>
      </c>
      <c r="F23" s="113">
        <f>Rooms!G23</f>
        <v>0.12258064516129032</v>
      </c>
      <c r="G23" s="113">
        <f>Rooms!H23</f>
        <v>0.11333333333333333</v>
      </c>
      <c r="H23" s="113">
        <f>Rooms!I23</f>
        <v>0.29462365591397849</v>
      </c>
      <c r="I23" s="113">
        <f>Rooms!J23</f>
        <v>0.23655913978494625</v>
      </c>
      <c r="J23" s="113">
        <f>Rooms!K23</f>
        <v>3.111111111111111E-2</v>
      </c>
      <c r="K23" s="22">
        <f>Rooms!L23</f>
        <v>5.3763440860215055E-2</v>
      </c>
      <c r="L23" s="113">
        <f>Rooms!M23</f>
        <v>0.25555555555555554</v>
      </c>
      <c r="M23" s="113">
        <f>Rooms!N23</f>
        <v>0.5053763440860215</v>
      </c>
      <c r="N23" s="17">
        <f>Rooms!O23</f>
        <v>0.29031963470319633</v>
      </c>
    </row>
    <row r="24" spans="1:14" ht="15.75" customHeight="1">
      <c r="A24" s="114" t="s">
        <v>119</v>
      </c>
      <c r="B24" s="115">
        <f>Rooms!C24</f>
        <v>473.50648957184359</v>
      </c>
      <c r="C24" s="115">
        <f>Rooms!D24</f>
        <v>550.00104478520893</v>
      </c>
      <c r="D24" s="115">
        <f>Rooms!E24</f>
        <v>478.48851525645392</v>
      </c>
      <c r="E24" s="115">
        <f>Rooms!F24</f>
        <v>497.89900998253864</v>
      </c>
      <c r="F24" s="115">
        <f>Rooms!G24</f>
        <v>482.76038684289654</v>
      </c>
      <c r="G24" s="115">
        <f>Rooms!H24</f>
        <v>379.47716867497763</v>
      </c>
      <c r="H24" s="115">
        <f>Rooms!I24</f>
        <v>508.0545146419754</v>
      </c>
      <c r="I24" s="115">
        <f>Rooms!J24</f>
        <v>371.59365626813036</v>
      </c>
      <c r="J24" s="115">
        <f>Rooms!K24</f>
        <v>402.95928571428573</v>
      </c>
      <c r="K24" s="115">
        <f>Rooms!L24</f>
        <v>395</v>
      </c>
      <c r="L24" s="115">
        <f>Rooms!M24</f>
        <v>405</v>
      </c>
      <c r="M24" s="115">
        <f>Rooms!N24</f>
        <v>545</v>
      </c>
      <c r="N24" s="116">
        <f>Rooms!O24</f>
        <v>484.67681856479595</v>
      </c>
    </row>
    <row r="25" spans="1:14" ht="15.75" customHeight="1">
      <c r="A25" s="1" t="s">
        <v>27</v>
      </c>
    </row>
    <row r="26" spans="1:14" ht="15.75" customHeight="1">
      <c r="A26" s="109" t="s">
        <v>28</v>
      </c>
      <c r="B26" s="110" t="s">
        <v>13</v>
      </c>
      <c r="C26" s="110" t="s">
        <v>14</v>
      </c>
      <c r="D26" s="110" t="s">
        <v>15</v>
      </c>
      <c r="E26" s="110" t="s">
        <v>16</v>
      </c>
      <c r="F26" s="110" t="s">
        <v>17</v>
      </c>
      <c r="G26" s="110" t="s">
        <v>18</v>
      </c>
      <c r="H26" s="110" t="s">
        <v>19</v>
      </c>
      <c r="I26" s="110" t="s">
        <v>20</v>
      </c>
      <c r="J26" s="110" t="s">
        <v>21</v>
      </c>
      <c r="K26" s="110" t="s">
        <v>22</v>
      </c>
      <c r="L26" s="110" t="s">
        <v>23</v>
      </c>
      <c r="M26" s="110" t="s">
        <v>24</v>
      </c>
      <c r="N26" s="111" t="s">
        <v>25</v>
      </c>
    </row>
    <row r="27" spans="1:14" ht="15.75" customHeight="1">
      <c r="A27" s="12" t="s">
        <v>29</v>
      </c>
      <c r="B27" s="112">
        <f>Rooms!C27</f>
        <v>930</v>
      </c>
      <c r="C27" s="112">
        <f>Rooms!D27</f>
        <v>840</v>
      </c>
      <c r="D27" s="112">
        <f>Rooms!E27</f>
        <v>930</v>
      </c>
      <c r="E27" s="112">
        <f>Rooms!F27</f>
        <v>900</v>
      </c>
      <c r="F27" s="112">
        <f>Rooms!G27</f>
        <v>930</v>
      </c>
      <c r="G27" s="112">
        <f>Rooms!H27</f>
        <v>900</v>
      </c>
      <c r="H27" s="112">
        <f>Rooms!I27</f>
        <v>930</v>
      </c>
      <c r="I27" s="112">
        <f>Rooms!J27</f>
        <v>930</v>
      </c>
      <c r="J27" s="112">
        <f>Rooms!K27</f>
        <v>900</v>
      </c>
      <c r="K27" s="112">
        <f>Rooms!L27</f>
        <v>0</v>
      </c>
      <c r="L27" s="112">
        <f>Rooms!M27</f>
        <v>900</v>
      </c>
      <c r="M27" s="112">
        <f>Rooms!N27</f>
        <v>930</v>
      </c>
      <c r="N27" s="15">
        <f>Rooms!O27</f>
        <v>10020</v>
      </c>
    </row>
    <row r="28" spans="1:14" ht="15.75" customHeight="1">
      <c r="A28" s="12" t="s">
        <v>30</v>
      </c>
      <c r="B28" s="112">
        <f>Rooms!C28</f>
        <v>697.5</v>
      </c>
      <c r="C28" s="112">
        <f>Rooms!D28</f>
        <v>638.4</v>
      </c>
      <c r="D28" s="112">
        <f>Rooms!E28</f>
        <v>607.70000000000005</v>
      </c>
      <c r="E28" s="112">
        <f>Rooms!F28</f>
        <v>332</v>
      </c>
      <c r="F28" s="112">
        <f>Rooms!G28</f>
        <v>232.48620689655172</v>
      </c>
      <c r="G28" s="112">
        <f>Rooms!H28</f>
        <v>167.65517241379311</v>
      </c>
      <c r="H28" s="112">
        <f>Rooms!I28</f>
        <v>332.1</v>
      </c>
      <c r="I28" s="112">
        <f>Rooms!J28</f>
        <v>251.32</v>
      </c>
      <c r="J28" s="112">
        <f>Rooms!K28</f>
        <v>82.320000000000007</v>
      </c>
      <c r="K28" s="112">
        <f>Rooms!L28</f>
        <v>0</v>
      </c>
      <c r="L28" s="112">
        <f>Rooms!M28</f>
        <v>410.09999999999997</v>
      </c>
      <c r="M28" s="112">
        <f>Rooms!N28</f>
        <v>611.70749999999998</v>
      </c>
      <c r="N28" s="15">
        <f>Rooms!O28</f>
        <v>4363.2888793103448</v>
      </c>
    </row>
    <row r="29" spans="1:14" ht="15.75" customHeight="1">
      <c r="A29" s="12" t="s">
        <v>31</v>
      </c>
      <c r="B29" s="112">
        <f>Rooms!C29</f>
        <v>1255.5</v>
      </c>
      <c r="C29" s="112">
        <f>Rooms!D29</f>
        <v>1149.1199999999999</v>
      </c>
      <c r="D29" s="112">
        <f>Rooms!E29</f>
        <v>1093.8600000000001</v>
      </c>
      <c r="E29" s="112">
        <f>Rooms!F29</f>
        <v>597.6</v>
      </c>
      <c r="F29" s="112">
        <f>Rooms!G29</f>
        <v>418.47517241379313</v>
      </c>
      <c r="G29" s="112">
        <f>Rooms!H29</f>
        <v>301.77931034482759</v>
      </c>
      <c r="H29" s="112">
        <f>Rooms!I29</f>
        <v>597.78000000000009</v>
      </c>
      <c r="I29" s="112">
        <f>Rooms!J29</f>
        <v>452.37600000000003</v>
      </c>
      <c r="J29" s="112">
        <f>Rooms!K29</f>
        <v>148.17600000000002</v>
      </c>
      <c r="K29" s="112">
        <f>Rooms!L29</f>
        <v>0</v>
      </c>
      <c r="L29" s="112">
        <f>Rooms!M29</f>
        <v>738.18</v>
      </c>
      <c r="M29" s="112">
        <f>Rooms!N29</f>
        <v>1101.0735000000002</v>
      </c>
      <c r="N29" s="15">
        <f>Rooms!O29</f>
        <v>7853.9199827586217</v>
      </c>
    </row>
    <row r="30" spans="1:14" ht="15.75" customHeight="1">
      <c r="A30" s="12" t="s">
        <v>32</v>
      </c>
      <c r="B30" s="113">
        <f>Rooms!C30</f>
        <v>0.75</v>
      </c>
      <c r="C30" s="113">
        <f>Rooms!D30</f>
        <v>0.76</v>
      </c>
      <c r="D30" s="113">
        <f>Rooms!E30</f>
        <v>0.65344086021505376</v>
      </c>
      <c r="E30" s="113">
        <f>Rooms!F30</f>
        <v>0.36888888888888888</v>
      </c>
      <c r="F30" s="113">
        <f>Rooms!G30</f>
        <v>0.2499851687059696</v>
      </c>
      <c r="G30" s="113">
        <f>Rooms!H30</f>
        <v>0.18628352490421457</v>
      </c>
      <c r="H30" s="113">
        <f>Rooms!I30</f>
        <v>0.35709677419354841</v>
      </c>
      <c r="I30" s="113">
        <f>Rooms!J30</f>
        <v>0.27023655913978495</v>
      </c>
      <c r="J30" s="113">
        <f>Rooms!K30</f>
        <v>9.1466666666666668E-2</v>
      </c>
      <c r="K30" s="22">
        <f>Rooms!L30</f>
        <v>0</v>
      </c>
      <c r="L30" s="113">
        <f>Rooms!M30</f>
        <v>0.45566666666666661</v>
      </c>
      <c r="M30" s="113">
        <f>Rooms!N30</f>
        <v>0.65774999999999995</v>
      </c>
      <c r="N30" s="17">
        <f>Rooms!O30</f>
        <v>0.43545797198706038</v>
      </c>
    </row>
    <row r="31" spans="1:14" ht="15.75" customHeight="1">
      <c r="A31" s="114" t="s">
        <v>119</v>
      </c>
      <c r="B31" s="115">
        <f>Rooms!C31</f>
        <v>595.27155268817205</v>
      </c>
      <c r="C31" s="115">
        <f>Rooms!D31</f>
        <v>583.47404761904772</v>
      </c>
      <c r="D31" s="115">
        <f>Rooms!E31</f>
        <v>590.96203060720745</v>
      </c>
      <c r="E31" s="115">
        <f>Rooms!F31</f>
        <v>635.29075301204819</v>
      </c>
      <c r="F31" s="115">
        <f>Rooms!G31</f>
        <v>521.40327776212166</v>
      </c>
      <c r="G31" s="115">
        <f>Rooms!H31</f>
        <v>553.70169683257927</v>
      </c>
      <c r="H31" s="115">
        <f>Rooms!I31</f>
        <v>566.23140921409208</v>
      </c>
      <c r="I31" s="115">
        <f>Rooms!J31</f>
        <v>520.61790227598283</v>
      </c>
      <c r="J31" s="115">
        <f>Rooms!K31</f>
        <v>485.58682215743437</v>
      </c>
      <c r="K31" s="115">
        <f>Rooms!L31</f>
        <v>0</v>
      </c>
      <c r="L31" s="115">
        <f>Rooms!M31</f>
        <v>548.40743818580836</v>
      </c>
      <c r="M31" s="115">
        <f>Rooms!N31</f>
        <v>733.76343507313561</v>
      </c>
      <c r="N31" s="116">
        <f>Rooms!O31</f>
        <v>596.88852332652982</v>
      </c>
    </row>
    <row r="32" spans="1:14" ht="15.75" customHeight="1"/>
    <row r="33" spans="1:14" ht="15.75" customHeight="1"/>
    <row r="34" spans="1:14" ht="15.75" customHeight="1">
      <c r="A34" s="1" t="s">
        <v>121</v>
      </c>
    </row>
    <row r="35" spans="1:14" ht="15.75" customHeight="1">
      <c r="A35" s="117" t="s">
        <v>122</v>
      </c>
      <c r="B35" s="118" t="s">
        <v>13</v>
      </c>
      <c r="C35" s="118" t="s">
        <v>14</v>
      </c>
      <c r="D35" s="118" t="s">
        <v>15</v>
      </c>
      <c r="E35" s="118" t="s">
        <v>16</v>
      </c>
      <c r="F35" s="118" t="s">
        <v>17</v>
      </c>
      <c r="G35" s="118" t="s">
        <v>18</v>
      </c>
      <c r="H35" s="118" t="s">
        <v>19</v>
      </c>
      <c r="I35" s="118" t="s">
        <v>20</v>
      </c>
      <c r="J35" s="118" t="s">
        <v>21</v>
      </c>
      <c r="K35" s="118" t="s">
        <v>22</v>
      </c>
      <c r="L35" s="118" t="s">
        <v>23</v>
      </c>
      <c r="M35" s="118" t="s">
        <v>24</v>
      </c>
      <c r="N35" s="119" t="s">
        <v>25</v>
      </c>
    </row>
    <row r="36" spans="1:14" ht="15.75" customHeight="1">
      <c r="A36" s="19" t="s">
        <v>123</v>
      </c>
      <c r="B36" s="120">
        <v>1057.577740212839</v>
      </c>
      <c r="C36" s="120">
        <v>1705.9949762285139</v>
      </c>
      <c r="D36" s="120">
        <v>2060.9847781369381</v>
      </c>
      <c r="E36" s="120">
        <v>1412.549990097049</v>
      </c>
      <c r="F36" s="120">
        <v>445.89118403616811</v>
      </c>
      <c r="G36" s="120">
        <v>569.43434381614748</v>
      </c>
      <c r="H36" s="120">
        <v>421.22070622965703</v>
      </c>
      <c r="I36" s="120">
        <v>338.19588937298732</v>
      </c>
      <c r="J36" s="120">
        <v>44.072602661270309</v>
      </c>
      <c r="K36" s="120">
        <v>1065.1839276046101</v>
      </c>
      <c r="L36" s="120">
        <v>762.07087151491521</v>
      </c>
      <c r="M36" s="120">
        <v>33.479999999999997</v>
      </c>
      <c r="N36" s="121">
        <f t="shared" ref="N36:N38" si="0">SUM(B36:M36)</f>
        <v>9916.6570099110941</v>
      </c>
    </row>
    <row r="37" spans="1:14" ht="15.75" customHeight="1">
      <c r="A37" s="19" t="s">
        <v>124</v>
      </c>
      <c r="B37" s="120">
        <v>639.97342654603847</v>
      </c>
      <c r="C37" s="120">
        <v>509.78357446139341</v>
      </c>
      <c r="D37" s="120">
        <v>575.97723170901031</v>
      </c>
      <c r="E37" s="120">
        <v>309.64348425196852</v>
      </c>
      <c r="F37" s="120">
        <v>331.48464525238268</v>
      </c>
      <c r="G37" s="120">
        <v>88.58093963956874</v>
      </c>
      <c r="H37" s="120">
        <v>450.38697747614827</v>
      </c>
      <c r="I37" s="120">
        <v>474.10849288168879</v>
      </c>
      <c r="J37" s="120">
        <v>900</v>
      </c>
      <c r="K37" s="120">
        <v>0</v>
      </c>
      <c r="L37" s="120">
        <v>900</v>
      </c>
      <c r="M37" s="120">
        <v>900</v>
      </c>
      <c r="N37" s="121">
        <f t="shared" si="0"/>
        <v>6079.9387722181991</v>
      </c>
    </row>
    <row r="38" spans="1:14" ht="15.75" customHeight="1">
      <c r="A38" s="122" t="s">
        <v>125</v>
      </c>
      <c r="B38" s="115">
        <f>+'Key Indicators'!C337</f>
        <v>900</v>
      </c>
      <c r="C38" s="115">
        <f>+'Key Indicators'!D337</f>
        <v>900</v>
      </c>
      <c r="D38" s="115">
        <f>+'Key Indicators'!E337</f>
        <v>900</v>
      </c>
      <c r="E38" s="115">
        <f>+'Key Indicators'!F337</f>
        <v>900</v>
      </c>
      <c r="F38" s="115">
        <f>+'Key Indicators'!G337</f>
        <v>900</v>
      </c>
      <c r="G38" s="115">
        <f>+'Key Indicators'!H337</f>
        <v>900</v>
      </c>
      <c r="H38" s="115">
        <f>+'Key Indicators'!I337</f>
        <v>900</v>
      </c>
      <c r="I38" s="115">
        <f>+'Key Indicators'!J337</f>
        <v>900</v>
      </c>
      <c r="J38" s="115">
        <f>+'Key Indicators'!K337</f>
        <v>900</v>
      </c>
      <c r="K38" s="115">
        <f>+'Key Indicators'!L337</f>
        <v>0</v>
      </c>
      <c r="L38" s="115">
        <f>+'Key Indicators'!M337</f>
        <v>900</v>
      </c>
      <c r="M38" s="115">
        <f>+'Key Indicators'!N337</f>
        <v>900</v>
      </c>
      <c r="N38" s="123">
        <f t="shared" si="0"/>
        <v>9900</v>
      </c>
    </row>
    <row r="39" spans="1:14" ht="15.75" customHeight="1"/>
    <row r="40" spans="1:14" ht="15.75" customHeight="1">
      <c r="A40" s="124" t="s">
        <v>127</v>
      </c>
      <c r="B40" s="124">
        <f t="shared" ref="B40:N40" si="1">+B36/B14</f>
        <v>2.4652161776523052</v>
      </c>
      <c r="C40" s="124">
        <f t="shared" si="1"/>
        <v>3.741217053132706</v>
      </c>
      <c r="D40" s="124">
        <f t="shared" si="1"/>
        <v>4.6004124511985225</v>
      </c>
      <c r="E40" s="124">
        <f t="shared" si="1"/>
        <v>5.4538609656256716</v>
      </c>
      <c r="F40" s="124">
        <f t="shared" si="1"/>
        <v>2.5334726365691371</v>
      </c>
      <c r="G40" s="124">
        <f t="shared" si="1"/>
        <v>5.8105545287361986</v>
      </c>
      <c r="H40" s="124">
        <f t="shared" si="1"/>
        <v>1.6916494226090644</v>
      </c>
      <c r="I40" s="124">
        <f t="shared" si="1"/>
        <v>2.1541139450508746</v>
      </c>
      <c r="J40" s="124">
        <f t="shared" si="1"/>
        <v>7.3454337768783846</v>
      </c>
      <c r="K40" s="124" t="e">
        <f t="shared" si="1"/>
        <v>#DIV/0!</v>
      </c>
      <c r="L40" s="124">
        <f t="shared" si="1"/>
        <v>4.2573791704743869</v>
      </c>
      <c r="M40" s="124">
        <f t="shared" si="1"/>
        <v>0.10561514195583595</v>
      </c>
      <c r="N40" s="124">
        <f t="shared" si="1"/>
        <v>3.5748583308980151</v>
      </c>
    </row>
    <row r="41" spans="1:14" ht="15.75" customHeight="1">
      <c r="A41" s="124" t="s">
        <v>128</v>
      </c>
      <c r="B41" s="124">
        <f t="shared" ref="B41:N41" si="2">+B37/B21</f>
        <v>1.4096330981190275</v>
      </c>
      <c r="C41" s="124">
        <f t="shared" si="2"/>
        <v>1.0642663349924706</v>
      </c>
      <c r="D41" s="124">
        <f t="shared" si="2"/>
        <v>1.1097827200558965</v>
      </c>
      <c r="E41" s="124">
        <f t="shared" si="2"/>
        <v>1.2955794320166047</v>
      </c>
      <c r="F41" s="124">
        <f t="shared" si="2"/>
        <v>2.9077600460735322</v>
      </c>
      <c r="G41" s="124">
        <f t="shared" si="2"/>
        <v>0.86844058470165431</v>
      </c>
      <c r="H41" s="124">
        <f t="shared" si="2"/>
        <v>1.6437480929786434</v>
      </c>
      <c r="I41" s="124">
        <f t="shared" si="2"/>
        <v>2.1550386040076761</v>
      </c>
      <c r="J41" s="124">
        <f t="shared" si="2"/>
        <v>32.142857142857146</v>
      </c>
      <c r="K41" s="124">
        <f t="shared" si="2"/>
        <v>0</v>
      </c>
      <c r="L41" s="124">
        <f t="shared" si="2"/>
        <v>3.9130434782608696</v>
      </c>
      <c r="M41" s="124">
        <f t="shared" si="2"/>
        <v>1.9148936170212767</v>
      </c>
      <c r="N41" s="124">
        <f t="shared" si="2"/>
        <v>1.912531856627304</v>
      </c>
    </row>
    <row r="42" spans="1:14" ht="15.75" customHeight="1">
      <c r="A42" s="124" t="s">
        <v>129</v>
      </c>
      <c r="B42" s="124">
        <f t="shared" ref="B42:N42" si="3">+B38/B28</f>
        <v>1.2903225806451613</v>
      </c>
      <c r="C42" s="124">
        <f t="shared" si="3"/>
        <v>1.4097744360902256</v>
      </c>
      <c r="D42" s="124">
        <f t="shared" si="3"/>
        <v>1.480993911469475</v>
      </c>
      <c r="E42" s="124">
        <f t="shared" si="3"/>
        <v>2.7108433734939759</v>
      </c>
      <c r="F42" s="124">
        <f t="shared" si="3"/>
        <v>3.8711974014031236</v>
      </c>
      <c r="G42" s="124">
        <f t="shared" si="3"/>
        <v>5.3681612505141914</v>
      </c>
      <c r="H42" s="124">
        <f t="shared" si="3"/>
        <v>2.7100271002710024</v>
      </c>
      <c r="I42" s="124">
        <f t="shared" si="3"/>
        <v>3.581091835110616</v>
      </c>
      <c r="J42" s="124">
        <f t="shared" si="3"/>
        <v>10.932944606413994</v>
      </c>
      <c r="K42" s="124" t="e">
        <f t="shared" si="3"/>
        <v>#DIV/0!</v>
      </c>
      <c r="L42" s="124">
        <f t="shared" si="3"/>
        <v>2.1945866861741039</v>
      </c>
      <c r="M42" s="124">
        <f t="shared" si="3"/>
        <v>1.4712914260492147</v>
      </c>
      <c r="N42" s="124">
        <f t="shared" si="3"/>
        <v>2.2689306790901225</v>
      </c>
    </row>
    <row r="43" spans="1:14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</row>
    <row r="44" spans="1:14" ht="15.75" customHeight="1">
      <c r="A44" s="124" t="s">
        <v>130</v>
      </c>
      <c r="B44" s="124">
        <f t="shared" ref="B44:N44" si="4">+B36/B15</f>
        <v>1.4874511114104627</v>
      </c>
      <c r="C44" s="124">
        <f t="shared" si="4"/>
        <v>2.0455575254538534</v>
      </c>
      <c r="D44" s="124">
        <f t="shared" si="4"/>
        <v>2.46824524327777</v>
      </c>
      <c r="E44" s="124">
        <f t="shared" si="4"/>
        <v>2.5965992465019281</v>
      </c>
      <c r="F44" s="124">
        <f t="shared" si="4"/>
        <v>1.4337337107272285</v>
      </c>
      <c r="G44" s="124">
        <f t="shared" si="4"/>
        <v>3.5589646488509219</v>
      </c>
      <c r="H44" s="124">
        <f t="shared" si="4"/>
        <v>0.98186644808777856</v>
      </c>
      <c r="I44" s="124">
        <f t="shared" si="4"/>
        <v>1.0909544818483463</v>
      </c>
      <c r="J44" s="124">
        <f t="shared" si="4"/>
        <v>3.6727168884391923</v>
      </c>
      <c r="K44" s="124" t="e">
        <f t="shared" si="4"/>
        <v>#DIV/0!</v>
      </c>
      <c r="L44" s="124">
        <f t="shared" si="4"/>
        <v>2.4116166820092255</v>
      </c>
      <c r="M44" s="124">
        <f t="shared" si="4"/>
        <v>5.4527687296416931E-2</v>
      </c>
      <c r="N44" s="124">
        <f t="shared" si="4"/>
        <v>1.9536361327642029</v>
      </c>
    </row>
    <row r="45" spans="1:14" ht="15.75" customHeight="1">
      <c r="A45" s="124" t="s">
        <v>131</v>
      </c>
      <c r="B45" s="124">
        <f t="shared" ref="B45:N45" si="5">+B37/B29</f>
        <v>0.50973590326247586</v>
      </c>
      <c r="C45" s="124">
        <f t="shared" si="5"/>
        <v>0.44362953778664843</v>
      </c>
      <c r="D45" s="124">
        <f t="shared" si="5"/>
        <v>0.52655479833709085</v>
      </c>
      <c r="E45" s="124">
        <f t="shared" si="5"/>
        <v>0.51814505396915744</v>
      </c>
      <c r="F45" s="124">
        <f t="shared" si="5"/>
        <v>0.79212499833707406</v>
      </c>
      <c r="G45" s="124">
        <f t="shared" si="5"/>
        <v>0.2935288689551046</v>
      </c>
      <c r="H45" s="124">
        <f t="shared" si="5"/>
        <v>0.75343266331451075</v>
      </c>
      <c r="I45" s="124">
        <f t="shared" si="5"/>
        <v>1.0480407733427255</v>
      </c>
      <c r="J45" s="124">
        <f t="shared" si="5"/>
        <v>6.0738581146744401</v>
      </c>
      <c r="K45" s="124" t="e">
        <f t="shared" si="5"/>
        <v>#DIV/0!</v>
      </c>
      <c r="L45" s="124">
        <f t="shared" si="5"/>
        <v>1.2192148256522801</v>
      </c>
      <c r="M45" s="124">
        <f t="shared" si="5"/>
        <v>0.81738412558289686</v>
      </c>
      <c r="N45" s="124">
        <f t="shared" si="5"/>
        <v>0.77412792408952869</v>
      </c>
    </row>
    <row r="46" spans="1:14" ht="15.75" customHeight="1">
      <c r="A46" s="124" t="s">
        <v>132</v>
      </c>
      <c r="B46" s="124">
        <f t="shared" ref="B46:N46" si="6">+B38/B29</f>
        <v>0.71684587813620071</v>
      </c>
      <c r="C46" s="124">
        <f t="shared" si="6"/>
        <v>0.78320802005012535</v>
      </c>
      <c r="D46" s="124">
        <f t="shared" si="6"/>
        <v>0.82277439526081941</v>
      </c>
      <c r="E46" s="124">
        <f t="shared" si="6"/>
        <v>1.506024096385542</v>
      </c>
      <c r="F46" s="124">
        <f t="shared" si="6"/>
        <v>2.1506652230017353</v>
      </c>
      <c r="G46" s="124">
        <f t="shared" si="6"/>
        <v>2.9823118058412175</v>
      </c>
      <c r="H46" s="124">
        <f t="shared" si="6"/>
        <v>1.505570611261668</v>
      </c>
      <c r="I46" s="124">
        <f t="shared" si="6"/>
        <v>1.9894954639503422</v>
      </c>
      <c r="J46" s="124">
        <f t="shared" si="6"/>
        <v>6.0738581146744401</v>
      </c>
      <c r="K46" s="124" t="e">
        <f t="shared" si="6"/>
        <v>#DIV/0!</v>
      </c>
      <c r="L46" s="124">
        <f t="shared" si="6"/>
        <v>1.2192148256522801</v>
      </c>
      <c r="M46" s="124">
        <f t="shared" si="6"/>
        <v>0.81738412558289686</v>
      </c>
      <c r="N46" s="124">
        <f t="shared" si="6"/>
        <v>1.2605170439389568</v>
      </c>
    </row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1" location="Summary!A10" display="⟵ Back to Summary" xr:uid="{00000000-0004-0000-0C00-000000000000}"/>
  </hyperlinks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pane xSplit="3" ySplit="7" topLeftCell="D83" activePane="bottomRight" state="frozen"/>
      <selection pane="topRight" activeCell="D1" sqref="D1"/>
      <selection pane="bottomLeft" activeCell="A8" sqref="A8"/>
      <selection pane="bottomRight" activeCell="C2" sqref="C2"/>
    </sheetView>
  </sheetViews>
  <sheetFormatPr defaultColWidth="14.42578125" defaultRowHeight="15" customHeight="1"/>
  <cols>
    <col min="1" max="1" width="2" customWidth="1"/>
    <col min="2" max="2" width="1.7109375" customWidth="1"/>
    <col min="3" max="3" width="34.5703125" customWidth="1"/>
    <col min="4" max="4" width="13.7109375" customWidth="1"/>
    <col min="5" max="11" width="11.5703125" customWidth="1"/>
    <col min="12" max="12" width="15.140625" customWidth="1"/>
    <col min="13" max="26" width="11.5703125" customWidth="1"/>
  </cols>
  <sheetData>
    <row r="1" spans="1:26" ht="12.75" customHeight="1">
      <c r="A1" s="128"/>
      <c r="B1" s="128"/>
      <c r="C1" s="2" t="s">
        <v>1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29.25" customHeight="1" thickBot="1">
      <c r="A2" s="128"/>
      <c r="B2" s="128"/>
      <c r="C2" s="268" t="s">
        <v>202</v>
      </c>
      <c r="D2" s="555" t="s">
        <v>148</v>
      </c>
      <c r="E2" s="549"/>
      <c r="F2" s="549"/>
      <c r="G2" s="549"/>
      <c r="H2" s="549"/>
      <c r="I2" s="549"/>
      <c r="J2" s="549"/>
      <c r="K2" s="549"/>
      <c r="L2" s="128"/>
      <c r="M2" s="555" t="s">
        <v>149</v>
      </c>
      <c r="N2" s="549"/>
      <c r="O2" s="549"/>
      <c r="P2" s="549"/>
      <c r="Q2" s="549"/>
      <c r="R2" s="549"/>
      <c r="S2" s="549"/>
      <c r="T2" s="549"/>
      <c r="U2" s="128"/>
      <c r="V2" s="128"/>
      <c r="W2" s="128"/>
      <c r="X2" s="128"/>
      <c r="Y2" s="128"/>
      <c r="Z2" s="128"/>
    </row>
    <row r="3" spans="1:26" ht="13.5" customHeight="1" thickBot="1">
      <c r="A3" s="128"/>
      <c r="B3" s="128"/>
      <c r="C3" s="128"/>
      <c r="D3" s="553" t="s">
        <v>150</v>
      </c>
      <c r="E3" s="554"/>
      <c r="F3" s="554"/>
      <c r="G3" s="554"/>
      <c r="H3" s="554"/>
      <c r="I3" s="554"/>
      <c r="J3" s="554"/>
      <c r="K3" s="543"/>
      <c r="L3" s="128"/>
      <c r="M3" s="562" t="s">
        <v>150</v>
      </c>
      <c r="N3" s="557"/>
      <c r="O3" s="557"/>
      <c r="P3" s="557"/>
      <c r="Q3" s="557"/>
      <c r="R3" s="557"/>
      <c r="S3" s="557"/>
      <c r="T3" s="558"/>
      <c r="U3" s="128"/>
      <c r="V3" s="128"/>
      <c r="W3" s="128"/>
      <c r="X3" s="128"/>
      <c r="Y3" s="128"/>
      <c r="Z3" s="128"/>
    </row>
    <row r="4" spans="1:26" ht="13.5" customHeight="1">
      <c r="A4" s="128"/>
      <c r="B4" s="128"/>
      <c r="C4" s="128"/>
      <c r="D4" s="553" t="s">
        <v>151</v>
      </c>
      <c r="E4" s="554"/>
      <c r="F4" s="554"/>
      <c r="G4" s="554"/>
      <c r="H4" s="554"/>
      <c r="I4" s="554"/>
      <c r="J4" s="554"/>
      <c r="K4" s="543"/>
      <c r="L4" s="128"/>
      <c r="M4" s="562" t="s">
        <v>152</v>
      </c>
      <c r="N4" s="557"/>
      <c r="O4" s="557"/>
      <c r="P4" s="557"/>
      <c r="Q4" s="557"/>
      <c r="R4" s="557"/>
      <c r="S4" s="557"/>
      <c r="T4" s="558"/>
      <c r="U4" s="128"/>
      <c r="V4" s="128"/>
      <c r="W4" s="128"/>
      <c r="X4" s="128"/>
      <c r="Y4" s="128"/>
      <c r="Z4" s="128"/>
    </row>
    <row r="5" spans="1:26" ht="12.75" customHeight="1">
      <c r="A5" s="128"/>
      <c r="B5" s="128"/>
      <c r="C5" s="128"/>
      <c r="D5" s="553"/>
      <c r="E5" s="554"/>
      <c r="F5" s="554"/>
      <c r="G5" s="554"/>
      <c r="H5" s="554"/>
      <c r="I5" s="554"/>
      <c r="J5" s="554"/>
      <c r="K5" s="543"/>
      <c r="L5" s="128"/>
      <c r="M5" s="553"/>
      <c r="N5" s="554"/>
      <c r="O5" s="554"/>
      <c r="P5" s="554"/>
      <c r="Q5" s="554"/>
      <c r="R5" s="554"/>
      <c r="S5" s="554"/>
      <c r="T5" s="543"/>
      <c r="U5" s="128"/>
      <c r="V5" s="128"/>
      <c r="W5" s="128"/>
      <c r="X5" s="128"/>
      <c r="Y5" s="128"/>
      <c r="Z5" s="128"/>
    </row>
    <row r="6" spans="1:26" ht="12.75" customHeight="1">
      <c r="A6" s="128"/>
      <c r="B6" s="128"/>
      <c r="C6" s="128"/>
      <c r="D6" s="560" t="s">
        <v>153</v>
      </c>
      <c r="E6" s="543"/>
      <c r="F6" s="561" t="s">
        <v>154</v>
      </c>
      <c r="G6" s="543"/>
      <c r="H6" s="559" t="s">
        <v>155</v>
      </c>
      <c r="I6" s="543"/>
      <c r="J6" s="544" t="s">
        <v>156</v>
      </c>
      <c r="K6" s="543"/>
      <c r="L6" s="128"/>
      <c r="M6" s="560" t="s">
        <v>153</v>
      </c>
      <c r="N6" s="543"/>
      <c r="O6" s="561" t="s">
        <v>154</v>
      </c>
      <c r="P6" s="543"/>
      <c r="Q6" s="559" t="s">
        <v>155</v>
      </c>
      <c r="R6" s="543"/>
      <c r="S6" s="544" t="s">
        <v>156</v>
      </c>
      <c r="T6" s="543"/>
      <c r="U6" s="128"/>
      <c r="V6" s="128"/>
      <c r="W6" s="128"/>
      <c r="X6" s="128"/>
      <c r="Y6" s="128"/>
      <c r="Z6" s="128"/>
    </row>
    <row r="7" spans="1:26" ht="12.75" customHeight="1">
      <c r="A7" s="128"/>
      <c r="B7" s="128"/>
      <c r="C7" s="128"/>
      <c r="D7" s="129" t="s">
        <v>62</v>
      </c>
      <c r="E7" s="129" t="s">
        <v>157</v>
      </c>
      <c r="F7" s="129" t="s">
        <v>62</v>
      </c>
      <c r="G7" s="129" t="s">
        <v>157</v>
      </c>
      <c r="H7" s="129" t="s">
        <v>62</v>
      </c>
      <c r="I7" s="129" t="s">
        <v>157</v>
      </c>
      <c r="J7" s="129" t="s">
        <v>62</v>
      </c>
      <c r="K7" s="129" t="s">
        <v>157</v>
      </c>
      <c r="L7" s="128"/>
      <c r="M7" s="129" t="s">
        <v>62</v>
      </c>
      <c r="N7" s="129" t="s">
        <v>157</v>
      </c>
      <c r="O7" s="129" t="s">
        <v>62</v>
      </c>
      <c r="P7" s="129" t="s">
        <v>157</v>
      </c>
      <c r="Q7" s="129" t="s">
        <v>158</v>
      </c>
      <c r="R7" s="129" t="s">
        <v>157</v>
      </c>
      <c r="S7" s="129" t="s">
        <v>62</v>
      </c>
      <c r="T7" s="129" t="s">
        <v>157</v>
      </c>
      <c r="U7" s="128"/>
      <c r="V7" s="128"/>
      <c r="W7" s="128"/>
      <c r="X7" s="128"/>
      <c r="Y7" s="128"/>
      <c r="Z7" s="128"/>
    </row>
    <row r="8" spans="1:26" ht="12.75" customHeight="1">
      <c r="A8" s="128"/>
      <c r="B8" s="128"/>
      <c r="C8" s="128" t="s">
        <v>159</v>
      </c>
      <c r="D8" s="130">
        <f>2227.5+(2227.5*0.15)</f>
        <v>2561.625</v>
      </c>
      <c r="E8" s="130">
        <f t="shared" ref="E8:E16" si="0">D8-(D8*0.3)</f>
        <v>1793.1375</v>
      </c>
      <c r="F8" s="130">
        <f>2164.32+(2164.32*0.1)</f>
        <v>2380.7520000000004</v>
      </c>
      <c r="G8" s="130">
        <f t="shared" ref="G8:G16" si="1">F8-(F8*0.3)</f>
        <v>1666.5264000000002</v>
      </c>
      <c r="H8" s="131" t="s">
        <v>160</v>
      </c>
      <c r="I8" s="131" t="s">
        <v>160</v>
      </c>
      <c r="J8" s="131" t="s">
        <v>160</v>
      </c>
      <c r="K8" s="131" t="s">
        <v>160</v>
      </c>
      <c r="L8" s="128"/>
      <c r="M8" s="132">
        <v>3586.2749999999996</v>
      </c>
      <c r="N8" s="132">
        <v>2510.3924999999999</v>
      </c>
      <c r="O8" s="133">
        <v>3333.0528000000004</v>
      </c>
      <c r="P8" s="132">
        <v>2333.1369600000003</v>
      </c>
      <c r="Q8" s="134" t="s">
        <v>160</v>
      </c>
      <c r="R8" s="134" t="s">
        <v>160</v>
      </c>
      <c r="S8" s="134" t="s">
        <v>160</v>
      </c>
      <c r="T8" s="134" t="s">
        <v>160</v>
      </c>
      <c r="U8" s="128"/>
      <c r="V8" s="128"/>
      <c r="W8" s="135">
        <f>+M8</f>
        <v>3586.2749999999996</v>
      </c>
      <c r="X8" s="135">
        <f>+O8*2</f>
        <v>6666.1056000000008</v>
      </c>
      <c r="Y8" s="128">
        <f>+X8/3</f>
        <v>2222.0352000000003</v>
      </c>
      <c r="Z8" s="128"/>
    </row>
    <row r="9" spans="1:26" ht="12.75" customHeight="1">
      <c r="A9" s="128"/>
      <c r="B9" s="128"/>
      <c r="C9" s="128" t="s">
        <v>161</v>
      </c>
      <c r="D9" s="130">
        <f t="shared" ref="D9:D10" si="2">2127.5+(2127.5*0.15)</f>
        <v>2446.625</v>
      </c>
      <c r="E9" s="130">
        <f t="shared" si="0"/>
        <v>1712.6375</v>
      </c>
      <c r="F9" s="130">
        <f t="shared" ref="F9:F10" si="3">2064.32+(2064.32*0.1)</f>
        <v>2270.7520000000004</v>
      </c>
      <c r="G9" s="130">
        <f t="shared" si="1"/>
        <v>1589.5264000000002</v>
      </c>
      <c r="H9" s="131" t="s">
        <v>160</v>
      </c>
      <c r="I9" s="131" t="s">
        <v>160</v>
      </c>
      <c r="J9" s="131" t="s">
        <v>160</v>
      </c>
      <c r="K9" s="130" t="s">
        <v>160</v>
      </c>
      <c r="L9" s="128"/>
      <c r="M9" s="132">
        <v>3180.6125000000002</v>
      </c>
      <c r="N9" s="132">
        <v>2226.42875</v>
      </c>
      <c r="O9" s="132">
        <v>2951.9776000000006</v>
      </c>
      <c r="P9" s="132">
        <v>2066.3843200000001</v>
      </c>
      <c r="Q9" s="134" t="s">
        <v>160</v>
      </c>
      <c r="R9" s="134" t="s">
        <v>160</v>
      </c>
      <c r="S9" s="134" t="s">
        <v>160</v>
      </c>
      <c r="T9" s="134" t="s">
        <v>160</v>
      </c>
      <c r="U9" s="128"/>
      <c r="V9" s="128"/>
      <c r="W9" s="135">
        <f t="shared" ref="W9:X9" si="4">+W8/3</f>
        <v>1195.425</v>
      </c>
      <c r="X9" s="135">
        <f t="shared" si="4"/>
        <v>2222.0352000000003</v>
      </c>
      <c r="Y9" s="128"/>
      <c r="Z9" s="128"/>
    </row>
    <row r="10" spans="1:26" ht="12.75" customHeight="1">
      <c r="A10" s="128"/>
      <c r="B10" s="128"/>
      <c r="C10" s="128" t="s">
        <v>162</v>
      </c>
      <c r="D10" s="130">
        <f t="shared" si="2"/>
        <v>2446.625</v>
      </c>
      <c r="E10" s="130">
        <f t="shared" si="0"/>
        <v>1712.6375</v>
      </c>
      <c r="F10" s="130">
        <f t="shared" si="3"/>
        <v>2270.7520000000004</v>
      </c>
      <c r="G10" s="130">
        <f t="shared" si="1"/>
        <v>1589.5264000000002</v>
      </c>
      <c r="H10" s="131" t="s">
        <v>160</v>
      </c>
      <c r="I10" s="131" t="s">
        <v>160</v>
      </c>
      <c r="J10" s="131" t="s">
        <v>160</v>
      </c>
      <c r="K10" s="131" t="s">
        <v>160</v>
      </c>
      <c r="L10" s="128"/>
      <c r="M10" s="132">
        <v>2935.95</v>
      </c>
      <c r="N10" s="132">
        <v>2055.165</v>
      </c>
      <c r="O10" s="132">
        <v>2724.9024000000004</v>
      </c>
      <c r="P10" s="132">
        <v>1907.4316800000001</v>
      </c>
      <c r="Q10" s="134" t="s">
        <v>160</v>
      </c>
      <c r="R10" s="134" t="s">
        <v>160</v>
      </c>
      <c r="S10" s="134" t="s">
        <v>160</v>
      </c>
      <c r="T10" s="134" t="s">
        <v>160</v>
      </c>
      <c r="U10" s="128"/>
      <c r="V10" s="128"/>
      <c r="W10" s="128"/>
      <c r="X10" s="128"/>
      <c r="Y10" s="128"/>
      <c r="Z10" s="128"/>
    </row>
    <row r="11" spans="1:26" ht="12.75" customHeight="1">
      <c r="A11" s="136"/>
      <c r="B11" s="136"/>
      <c r="C11" s="136" t="s">
        <v>163</v>
      </c>
      <c r="D11" s="137">
        <f>1850+(1850*0.15)</f>
        <v>2127.5</v>
      </c>
      <c r="E11" s="137">
        <f t="shared" si="0"/>
        <v>1489.25</v>
      </c>
      <c r="F11" s="137">
        <f>1795+(1795*0.1)</f>
        <v>1974.5</v>
      </c>
      <c r="G11" s="137">
        <f t="shared" si="1"/>
        <v>1382.15</v>
      </c>
      <c r="H11" s="138" t="s">
        <v>160</v>
      </c>
      <c r="I11" s="138" t="s">
        <v>160</v>
      </c>
      <c r="J11" s="138" t="s">
        <v>160</v>
      </c>
      <c r="K11" s="138" t="s">
        <v>160</v>
      </c>
      <c r="L11" s="136"/>
      <c r="M11" s="133">
        <v>2659.375</v>
      </c>
      <c r="N11" s="133">
        <v>1861.5625</v>
      </c>
      <c r="O11" s="133">
        <v>2468.125</v>
      </c>
      <c r="P11" s="133">
        <v>1727.6875</v>
      </c>
      <c r="Q11" s="133" t="s">
        <v>160</v>
      </c>
      <c r="R11" s="133" t="s">
        <v>160</v>
      </c>
      <c r="S11" s="133" t="s">
        <v>160</v>
      </c>
      <c r="T11" s="133" t="s">
        <v>160</v>
      </c>
      <c r="U11" s="136"/>
      <c r="V11" s="136"/>
      <c r="W11" s="136">
        <v>100</v>
      </c>
      <c r="X11" s="136">
        <v>200</v>
      </c>
      <c r="Y11" s="136"/>
      <c r="Z11" s="139"/>
    </row>
    <row r="12" spans="1:26" ht="12.75" customHeight="1">
      <c r="A12" s="128"/>
      <c r="B12" s="128"/>
      <c r="C12" s="128" t="s">
        <v>164</v>
      </c>
      <c r="D12" s="130">
        <f t="shared" ref="D12:D13" si="5">1745+(1745*0.15)</f>
        <v>2006.75</v>
      </c>
      <c r="E12" s="130">
        <f t="shared" si="0"/>
        <v>1404.7249999999999</v>
      </c>
      <c r="F12" s="130">
        <f t="shared" ref="F12:F13" si="6">1580+(1580*0.1)</f>
        <v>1738</v>
      </c>
      <c r="G12" s="130">
        <f t="shared" si="1"/>
        <v>1216.5999999999999</v>
      </c>
      <c r="H12" s="131" t="s">
        <v>160</v>
      </c>
      <c r="I12" s="131" t="s">
        <v>160</v>
      </c>
      <c r="J12" s="131" t="s">
        <v>160</v>
      </c>
      <c r="K12" s="131" t="s">
        <v>160</v>
      </c>
      <c r="L12" s="128"/>
      <c r="M12" s="132">
        <v>2508.4375</v>
      </c>
      <c r="N12" s="132">
        <v>1755.90625</v>
      </c>
      <c r="O12" s="133">
        <v>2172.5</v>
      </c>
      <c r="P12" s="132">
        <v>1520.75</v>
      </c>
      <c r="Q12" s="134" t="s">
        <v>160</v>
      </c>
      <c r="R12" s="134" t="s">
        <v>160</v>
      </c>
      <c r="S12" s="134" t="s">
        <v>160</v>
      </c>
      <c r="T12" s="134" t="s">
        <v>160</v>
      </c>
      <c r="U12" s="128"/>
      <c r="V12" s="128"/>
      <c r="W12" s="128"/>
      <c r="X12" s="128"/>
      <c r="Y12" s="128"/>
      <c r="Z12" s="128"/>
    </row>
    <row r="13" spans="1:26" ht="12.75" customHeight="1">
      <c r="A13" s="128"/>
      <c r="B13" s="128"/>
      <c r="C13" s="128" t="s">
        <v>165</v>
      </c>
      <c r="D13" s="130">
        <f t="shared" si="5"/>
        <v>2006.75</v>
      </c>
      <c r="E13" s="130">
        <f t="shared" si="0"/>
        <v>1404.7249999999999</v>
      </c>
      <c r="F13" s="130">
        <f t="shared" si="6"/>
        <v>1738</v>
      </c>
      <c r="G13" s="130">
        <f t="shared" si="1"/>
        <v>1216.5999999999999</v>
      </c>
      <c r="H13" s="130">
        <f>1580+(1580*0.1)</f>
        <v>1738</v>
      </c>
      <c r="I13" s="130">
        <f t="shared" ref="I13:I14" si="7">H13-(H13*0.3)</f>
        <v>1216.5999999999999</v>
      </c>
      <c r="J13" s="130">
        <v>850</v>
      </c>
      <c r="K13" s="130">
        <v>595</v>
      </c>
      <c r="L13" s="128"/>
      <c r="M13" s="132">
        <v>2408.1</v>
      </c>
      <c r="N13" s="132">
        <v>1685.6699999999998</v>
      </c>
      <c r="O13" s="133">
        <v>2085.6</v>
      </c>
      <c r="P13" s="132">
        <v>1459.9199999999998</v>
      </c>
      <c r="Q13" s="132">
        <v>2085.6</v>
      </c>
      <c r="R13" s="140">
        <v>1459.9199999999998</v>
      </c>
      <c r="S13" s="132">
        <v>1020</v>
      </c>
      <c r="T13" s="132">
        <v>714</v>
      </c>
      <c r="U13" s="128"/>
      <c r="V13" s="128"/>
      <c r="W13" s="141">
        <f t="shared" ref="W13:X13" si="8">+W9-W11</f>
        <v>1095.425</v>
      </c>
      <c r="X13" s="141">
        <f t="shared" si="8"/>
        <v>2022.0352000000003</v>
      </c>
      <c r="Y13" s="128"/>
      <c r="Z13" s="128"/>
    </row>
    <row r="14" spans="1:26" ht="12.75" customHeight="1">
      <c r="A14" s="128"/>
      <c r="B14" s="128"/>
      <c r="C14" s="142" t="s">
        <v>166</v>
      </c>
      <c r="D14" s="130">
        <v>1690</v>
      </c>
      <c r="E14" s="130">
        <f t="shared" si="0"/>
        <v>1183</v>
      </c>
      <c r="F14" s="130">
        <v>1525</v>
      </c>
      <c r="G14" s="130">
        <f t="shared" si="1"/>
        <v>1067.5</v>
      </c>
      <c r="H14" s="130">
        <v>1525</v>
      </c>
      <c r="I14" s="130">
        <f t="shared" si="7"/>
        <v>1067.5</v>
      </c>
      <c r="J14" s="130">
        <v>850</v>
      </c>
      <c r="K14" s="130">
        <v>595</v>
      </c>
      <c r="L14" s="128"/>
      <c r="M14" s="132">
        <v>2028</v>
      </c>
      <c r="N14" s="132">
        <v>1419.6</v>
      </c>
      <c r="O14" s="133">
        <v>1830</v>
      </c>
      <c r="P14" s="132">
        <v>1281</v>
      </c>
      <c r="Q14" s="132">
        <v>1830</v>
      </c>
      <c r="R14" s="140">
        <v>1281</v>
      </c>
      <c r="S14" s="132">
        <v>1020</v>
      </c>
      <c r="T14" s="132">
        <v>714</v>
      </c>
      <c r="U14" s="128"/>
      <c r="V14" s="128"/>
      <c r="W14" s="128"/>
      <c r="X14" s="141"/>
      <c r="Y14" s="128"/>
      <c r="Z14" s="128"/>
    </row>
    <row r="15" spans="1:26" ht="12.75" customHeight="1">
      <c r="A15" s="128"/>
      <c r="B15" s="128"/>
      <c r="C15" s="142" t="s">
        <v>167</v>
      </c>
      <c r="D15" s="130">
        <v>1690</v>
      </c>
      <c r="E15" s="130">
        <f t="shared" si="0"/>
        <v>1183</v>
      </c>
      <c r="F15" s="130">
        <v>1525</v>
      </c>
      <c r="G15" s="130">
        <f t="shared" si="1"/>
        <v>1067.5</v>
      </c>
      <c r="H15" s="131" t="s">
        <v>160</v>
      </c>
      <c r="I15" s="131" t="s">
        <v>160</v>
      </c>
      <c r="J15" s="131" t="s">
        <v>160</v>
      </c>
      <c r="K15" s="131" t="s">
        <v>160</v>
      </c>
      <c r="L15" s="128"/>
      <c r="M15" s="132">
        <v>2028</v>
      </c>
      <c r="N15" s="132">
        <v>1419.6</v>
      </c>
      <c r="O15" s="133">
        <v>1830</v>
      </c>
      <c r="P15" s="132">
        <v>1281</v>
      </c>
      <c r="Q15" s="132" t="s">
        <v>160</v>
      </c>
      <c r="R15" s="134" t="s">
        <v>160</v>
      </c>
      <c r="S15" s="134" t="s">
        <v>160</v>
      </c>
      <c r="T15" s="134" t="s">
        <v>160</v>
      </c>
      <c r="U15" s="128"/>
      <c r="V15" s="128"/>
      <c r="W15" s="128">
        <f t="shared" ref="W15:X15" si="9">+W13*0.85</f>
        <v>931.11124999999993</v>
      </c>
      <c r="X15" s="128">
        <f t="shared" si="9"/>
        <v>1718.7299200000002</v>
      </c>
      <c r="Y15" s="128"/>
      <c r="Z15" s="128"/>
    </row>
    <row r="16" spans="1:26" ht="12.75" customHeight="1">
      <c r="A16" s="128"/>
      <c r="B16" s="128"/>
      <c r="C16" s="142" t="s">
        <v>168</v>
      </c>
      <c r="D16" s="130">
        <v>1690</v>
      </c>
      <c r="E16" s="130">
        <f t="shared" si="0"/>
        <v>1183</v>
      </c>
      <c r="F16" s="130">
        <v>1525</v>
      </c>
      <c r="G16" s="130">
        <f t="shared" si="1"/>
        <v>1067.5</v>
      </c>
      <c r="H16" s="131" t="s">
        <v>160</v>
      </c>
      <c r="I16" s="131" t="s">
        <v>160</v>
      </c>
      <c r="J16" s="131" t="s">
        <v>160</v>
      </c>
      <c r="K16" s="131" t="s">
        <v>160</v>
      </c>
      <c r="L16" s="128"/>
      <c r="M16" s="132">
        <v>2028</v>
      </c>
      <c r="N16" s="132">
        <v>1419.6</v>
      </c>
      <c r="O16" s="133">
        <v>1830</v>
      </c>
      <c r="P16" s="132">
        <v>1281</v>
      </c>
      <c r="Q16" s="132" t="s">
        <v>160</v>
      </c>
      <c r="R16" s="134" t="s">
        <v>160</v>
      </c>
      <c r="S16" s="134" t="s">
        <v>160</v>
      </c>
      <c r="T16" s="134" t="s">
        <v>160</v>
      </c>
      <c r="U16" s="128"/>
      <c r="V16" s="128"/>
      <c r="W16" s="128"/>
      <c r="X16" s="128"/>
      <c r="Y16" s="128"/>
      <c r="Z16" s="128"/>
    </row>
    <row r="17" spans="1:26" ht="12.75" customHeight="1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>
        <f t="shared" ref="W17:X17" si="10">+W15+W11</f>
        <v>1031.1112499999999</v>
      </c>
      <c r="X17" s="128">
        <f t="shared" si="10"/>
        <v>1918.7299200000002</v>
      </c>
      <c r="Y17" s="128"/>
      <c r="Z17" s="128"/>
    </row>
    <row r="18" spans="1:26" ht="12.75" customHeight="1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30.75" customHeight="1">
      <c r="A19" s="128"/>
      <c r="B19" s="128"/>
      <c r="C19" s="128"/>
      <c r="D19" s="535" t="s">
        <v>169</v>
      </c>
      <c r="E19" s="507"/>
      <c r="F19" s="507"/>
      <c r="G19" s="507"/>
      <c r="H19" s="507"/>
      <c r="I19" s="507"/>
      <c r="J19" s="507"/>
      <c r="K19" s="507"/>
      <c r="L19" s="128"/>
      <c r="M19" s="535" t="s">
        <v>170</v>
      </c>
      <c r="N19" s="507"/>
      <c r="O19" s="507"/>
      <c r="P19" s="507"/>
      <c r="Q19" s="507"/>
      <c r="R19" s="507"/>
      <c r="S19" s="507"/>
      <c r="T19" s="507"/>
      <c r="U19" s="128"/>
      <c r="V19" s="128"/>
      <c r="W19" s="128"/>
      <c r="X19" s="128"/>
      <c r="Y19" s="128"/>
      <c r="Z19" s="128"/>
    </row>
    <row r="20" spans="1:26" ht="12.75" customHeight="1">
      <c r="A20" s="128"/>
      <c r="B20" s="128"/>
      <c r="C20" s="128" t="s">
        <v>159</v>
      </c>
      <c r="D20" s="143">
        <f t="shared" ref="D20:G20" si="11">+M8-D8</f>
        <v>1024.6499999999996</v>
      </c>
      <c r="E20" s="143">
        <f t="shared" si="11"/>
        <v>717.25499999999988</v>
      </c>
      <c r="F20" s="144">
        <f t="shared" si="11"/>
        <v>952.30079999999998</v>
      </c>
      <c r="G20" s="143">
        <f t="shared" si="11"/>
        <v>666.61056000000008</v>
      </c>
      <c r="H20" s="143"/>
      <c r="I20" s="143"/>
      <c r="J20" s="143"/>
      <c r="K20" s="143"/>
      <c r="L20" s="145">
        <v>0.4</v>
      </c>
      <c r="M20" s="80">
        <f t="shared" ref="M20:P20" si="12">+D20/D8</f>
        <v>0.39999999999999986</v>
      </c>
      <c r="N20" s="80">
        <f t="shared" si="12"/>
        <v>0.39999999999999991</v>
      </c>
      <c r="O20" s="146">
        <f t="shared" si="12"/>
        <v>0.39999999999999991</v>
      </c>
      <c r="P20" s="147">
        <f t="shared" si="12"/>
        <v>0.4</v>
      </c>
      <c r="Q20" s="80"/>
      <c r="R20" s="80"/>
      <c r="S20" s="80"/>
      <c r="T20" s="80"/>
      <c r="U20" s="128"/>
      <c r="V20" s="128"/>
      <c r="W20" s="128"/>
      <c r="X20" s="128"/>
      <c r="Y20" s="128"/>
      <c r="Z20" s="128"/>
    </row>
    <row r="21" spans="1:26" ht="12.75" customHeight="1">
      <c r="A21" s="128"/>
      <c r="B21" s="128"/>
      <c r="C21" s="128" t="s">
        <v>161</v>
      </c>
      <c r="D21" s="143">
        <f t="shared" ref="D21:G21" si="13">+M9-D9</f>
        <v>733.98750000000018</v>
      </c>
      <c r="E21" s="143">
        <f t="shared" si="13"/>
        <v>513.79124999999999</v>
      </c>
      <c r="F21" s="144">
        <f t="shared" si="13"/>
        <v>681.22560000000021</v>
      </c>
      <c r="G21" s="143">
        <f t="shared" si="13"/>
        <v>476.85791999999992</v>
      </c>
      <c r="H21" s="143"/>
      <c r="I21" s="143"/>
      <c r="J21" s="143"/>
      <c r="K21" s="143"/>
      <c r="L21" s="145">
        <v>0.3</v>
      </c>
      <c r="M21" s="148">
        <f t="shared" ref="M21:P21" si="14">+D21/D9</f>
        <v>0.3000000000000001</v>
      </c>
      <c r="N21" s="148">
        <f t="shared" si="14"/>
        <v>0.3</v>
      </c>
      <c r="O21" s="149">
        <f t="shared" si="14"/>
        <v>0.30000000000000004</v>
      </c>
      <c r="P21" s="150">
        <f t="shared" si="14"/>
        <v>0.29999999999999993</v>
      </c>
      <c r="Q21" s="148"/>
      <c r="R21" s="148"/>
      <c r="S21" s="148"/>
      <c r="T21" s="148"/>
      <c r="U21" s="128"/>
      <c r="V21" s="128"/>
      <c r="W21" s="128"/>
      <c r="X21" s="128"/>
      <c r="Y21" s="128"/>
      <c r="Z21" s="128"/>
    </row>
    <row r="22" spans="1:26" ht="12.75" customHeight="1">
      <c r="A22" s="128"/>
      <c r="B22" s="128"/>
      <c r="C22" s="128" t="s">
        <v>162</v>
      </c>
      <c r="D22" s="143">
        <f t="shared" ref="D22:G22" si="15">+M10-D10</f>
        <v>489.32499999999982</v>
      </c>
      <c r="E22" s="143">
        <f t="shared" si="15"/>
        <v>342.52749999999992</v>
      </c>
      <c r="F22" s="144">
        <f t="shared" si="15"/>
        <v>454.15039999999999</v>
      </c>
      <c r="G22" s="143">
        <f t="shared" si="15"/>
        <v>317.90527999999995</v>
      </c>
      <c r="H22" s="143"/>
      <c r="I22" s="143"/>
      <c r="J22" s="143"/>
      <c r="K22" s="143"/>
      <c r="L22" s="151">
        <v>0.2</v>
      </c>
      <c r="M22" s="148">
        <f t="shared" ref="M22:P22" si="16">+D22/D10</f>
        <v>0.19999999999999993</v>
      </c>
      <c r="N22" s="148">
        <f t="shared" si="16"/>
        <v>0.19999999999999996</v>
      </c>
      <c r="O22" s="149">
        <f t="shared" si="16"/>
        <v>0.19999999999999996</v>
      </c>
      <c r="P22" s="150">
        <f t="shared" si="16"/>
        <v>0.19999999999999996</v>
      </c>
      <c r="Q22" s="148"/>
      <c r="R22" s="148"/>
      <c r="S22" s="148"/>
      <c r="T22" s="148"/>
      <c r="U22" s="128"/>
      <c r="V22" s="128"/>
      <c r="W22" s="128"/>
      <c r="X22" s="128"/>
      <c r="Y22" s="128"/>
      <c r="Z22" s="128"/>
    </row>
    <row r="23" spans="1:26" ht="12.75" customHeight="1">
      <c r="A23" s="128"/>
      <c r="B23" s="128"/>
      <c r="C23" s="128" t="s">
        <v>163</v>
      </c>
      <c r="D23" s="143">
        <f t="shared" ref="D23:G23" si="17">+M11-D11</f>
        <v>531.875</v>
      </c>
      <c r="E23" s="143">
        <f t="shared" si="17"/>
        <v>372.3125</v>
      </c>
      <c r="F23" s="144">
        <f t="shared" si="17"/>
        <v>493.625</v>
      </c>
      <c r="G23" s="143">
        <f t="shared" si="17"/>
        <v>345.53749999999991</v>
      </c>
      <c r="H23" s="143"/>
      <c r="I23" s="143"/>
      <c r="J23" s="143"/>
      <c r="K23" s="143"/>
      <c r="L23" s="145">
        <v>0.25</v>
      </c>
      <c r="M23" s="148">
        <f t="shared" ref="M23:P23" si="18">+D23/D11</f>
        <v>0.25</v>
      </c>
      <c r="N23" s="148">
        <f t="shared" si="18"/>
        <v>0.25</v>
      </c>
      <c r="O23" s="149">
        <f t="shared" si="18"/>
        <v>0.25</v>
      </c>
      <c r="P23" s="150">
        <f t="shared" si="18"/>
        <v>0.24999999999999992</v>
      </c>
      <c r="Q23" s="148"/>
      <c r="R23" s="148"/>
      <c r="S23" s="148"/>
      <c r="T23" s="148"/>
      <c r="U23" s="128"/>
      <c r="V23" s="128"/>
      <c r="W23" s="128"/>
      <c r="X23" s="128"/>
      <c r="Y23" s="128"/>
      <c r="Z23" s="128"/>
    </row>
    <row r="24" spans="1:26" ht="12.75" customHeight="1">
      <c r="A24" s="128"/>
      <c r="B24" s="128"/>
      <c r="C24" s="128" t="s">
        <v>164</v>
      </c>
      <c r="D24" s="143">
        <f t="shared" ref="D24:G24" si="19">+M12-D12</f>
        <v>501.6875</v>
      </c>
      <c r="E24" s="143">
        <f t="shared" si="19"/>
        <v>351.18125000000009</v>
      </c>
      <c r="F24" s="144">
        <f t="shared" si="19"/>
        <v>434.5</v>
      </c>
      <c r="G24" s="143">
        <f t="shared" si="19"/>
        <v>304.15000000000009</v>
      </c>
      <c r="H24" s="143"/>
      <c r="I24" s="143"/>
      <c r="J24" s="143"/>
      <c r="K24" s="143"/>
      <c r="L24" s="145">
        <v>0.25</v>
      </c>
      <c r="M24" s="148">
        <f t="shared" ref="M24:P24" si="20">+D24/D12</f>
        <v>0.25</v>
      </c>
      <c r="N24" s="148">
        <f t="shared" si="20"/>
        <v>0.25000000000000006</v>
      </c>
      <c r="O24" s="149">
        <f t="shared" si="20"/>
        <v>0.25</v>
      </c>
      <c r="P24" s="150">
        <f t="shared" si="20"/>
        <v>0.25000000000000011</v>
      </c>
      <c r="Q24" s="148"/>
      <c r="R24" s="148"/>
      <c r="S24" s="148"/>
      <c r="T24" s="148"/>
      <c r="U24" s="128"/>
      <c r="V24" s="128"/>
      <c r="W24" s="128"/>
      <c r="X24" s="128"/>
      <c r="Y24" s="128"/>
      <c r="Z24" s="128"/>
    </row>
    <row r="25" spans="1:26" ht="12.75" customHeight="1">
      <c r="A25" s="152"/>
      <c r="B25" s="153"/>
      <c r="C25" s="153" t="s">
        <v>165</v>
      </c>
      <c r="D25" s="154">
        <f t="shared" ref="D25:K25" si="21">+M13-D13</f>
        <v>401.34999999999991</v>
      </c>
      <c r="E25" s="154">
        <f t="shared" si="21"/>
        <v>280.94499999999994</v>
      </c>
      <c r="F25" s="155">
        <f t="shared" si="21"/>
        <v>347.59999999999991</v>
      </c>
      <c r="G25" s="154">
        <f t="shared" si="21"/>
        <v>243.31999999999994</v>
      </c>
      <c r="H25" s="154">
        <f t="shared" si="21"/>
        <v>347.59999999999991</v>
      </c>
      <c r="I25" s="154">
        <f t="shared" si="21"/>
        <v>243.31999999999994</v>
      </c>
      <c r="J25" s="154">
        <f t="shared" si="21"/>
        <v>170</v>
      </c>
      <c r="K25" s="154">
        <f t="shared" si="21"/>
        <v>119</v>
      </c>
      <c r="L25" s="156">
        <v>0.2</v>
      </c>
      <c r="M25" s="157">
        <f t="shared" ref="M25:T25" si="22">+D25/D13</f>
        <v>0.19999999999999996</v>
      </c>
      <c r="N25" s="157">
        <f t="shared" si="22"/>
        <v>0.19999999999999996</v>
      </c>
      <c r="O25" s="146">
        <f t="shared" si="22"/>
        <v>0.19999999999999996</v>
      </c>
      <c r="P25" s="158">
        <f t="shared" si="22"/>
        <v>0.19999999999999996</v>
      </c>
      <c r="Q25" s="157">
        <f t="shared" si="22"/>
        <v>0.19999999999999996</v>
      </c>
      <c r="R25" s="157">
        <f t="shared" si="22"/>
        <v>0.19999999999999996</v>
      </c>
      <c r="S25" s="157">
        <f t="shared" si="22"/>
        <v>0.2</v>
      </c>
      <c r="T25" s="157">
        <f t="shared" si="22"/>
        <v>0.2</v>
      </c>
      <c r="U25" s="153"/>
      <c r="V25" s="153"/>
      <c r="W25" s="153"/>
      <c r="X25" s="153"/>
      <c r="Y25" s="153"/>
      <c r="Z25" s="153"/>
    </row>
    <row r="26" spans="1:26" ht="12.75" customHeight="1">
      <c r="A26" s="159"/>
      <c r="B26" s="128"/>
      <c r="C26" s="128" t="s">
        <v>166</v>
      </c>
      <c r="D26" s="143">
        <f t="shared" ref="D26:K26" si="23">+M14-D14</f>
        <v>338</v>
      </c>
      <c r="E26" s="143">
        <f t="shared" si="23"/>
        <v>236.59999999999991</v>
      </c>
      <c r="F26" s="144">
        <f t="shared" si="23"/>
        <v>305</v>
      </c>
      <c r="G26" s="143">
        <f t="shared" si="23"/>
        <v>213.5</v>
      </c>
      <c r="H26" s="143">
        <f t="shared" si="23"/>
        <v>305</v>
      </c>
      <c r="I26" s="143">
        <f t="shared" si="23"/>
        <v>213.5</v>
      </c>
      <c r="J26" s="143">
        <f t="shared" si="23"/>
        <v>170</v>
      </c>
      <c r="K26" s="143">
        <f t="shared" si="23"/>
        <v>119</v>
      </c>
      <c r="L26" s="145">
        <v>0.2</v>
      </c>
      <c r="M26" s="80">
        <f t="shared" ref="M26:T26" si="24">+D26/D14</f>
        <v>0.2</v>
      </c>
      <c r="N26" s="80">
        <f t="shared" si="24"/>
        <v>0.19999999999999993</v>
      </c>
      <c r="O26" s="160">
        <f t="shared" si="24"/>
        <v>0.2</v>
      </c>
      <c r="P26" s="147">
        <f t="shared" si="24"/>
        <v>0.2</v>
      </c>
      <c r="Q26" s="80">
        <f t="shared" si="24"/>
        <v>0.2</v>
      </c>
      <c r="R26" s="80">
        <f t="shared" si="24"/>
        <v>0.2</v>
      </c>
      <c r="S26" s="80">
        <f t="shared" si="24"/>
        <v>0.2</v>
      </c>
      <c r="T26" s="80">
        <f t="shared" si="24"/>
        <v>0.2</v>
      </c>
      <c r="U26" s="128"/>
      <c r="V26" s="128"/>
      <c r="W26" s="128"/>
      <c r="X26" s="128"/>
      <c r="Y26" s="128"/>
      <c r="Z26" s="128"/>
    </row>
    <row r="27" spans="1:26" ht="12.75" customHeight="1">
      <c r="A27" s="159"/>
      <c r="B27" s="128"/>
      <c r="C27" s="128" t="s">
        <v>167</v>
      </c>
      <c r="D27" s="143">
        <f t="shared" ref="D27:G27" si="25">+M15-D15</f>
        <v>338</v>
      </c>
      <c r="E27" s="143">
        <f t="shared" si="25"/>
        <v>236.59999999999991</v>
      </c>
      <c r="F27" s="144">
        <f t="shared" si="25"/>
        <v>305</v>
      </c>
      <c r="G27" s="143">
        <f t="shared" si="25"/>
        <v>213.5</v>
      </c>
      <c r="H27" s="143"/>
      <c r="I27" s="143"/>
      <c r="J27" s="143"/>
      <c r="K27" s="143"/>
      <c r="L27" s="145">
        <v>0.2</v>
      </c>
      <c r="M27" s="80">
        <f t="shared" ref="M27:P27" si="26">+D27/D15</f>
        <v>0.2</v>
      </c>
      <c r="N27" s="80">
        <f t="shared" si="26"/>
        <v>0.19999999999999993</v>
      </c>
      <c r="O27" s="160">
        <f t="shared" si="26"/>
        <v>0.2</v>
      </c>
      <c r="P27" s="147">
        <f t="shared" si="26"/>
        <v>0.2</v>
      </c>
      <c r="Q27" s="80"/>
      <c r="R27" s="80"/>
      <c r="S27" s="80"/>
      <c r="T27" s="80"/>
      <c r="U27" s="128"/>
      <c r="V27" s="128"/>
      <c r="W27" s="128"/>
      <c r="X27" s="128"/>
      <c r="Y27" s="128"/>
      <c r="Z27" s="128"/>
    </row>
    <row r="28" spans="1:26" ht="12.75" customHeight="1">
      <c r="A28" s="161"/>
      <c r="B28" s="162"/>
      <c r="C28" s="162" t="s">
        <v>168</v>
      </c>
      <c r="D28" s="163">
        <f t="shared" ref="D28:G28" si="27">+M16-D16</f>
        <v>338</v>
      </c>
      <c r="E28" s="163">
        <f t="shared" si="27"/>
        <v>236.59999999999991</v>
      </c>
      <c r="F28" s="164">
        <f t="shared" si="27"/>
        <v>305</v>
      </c>
      <c r="G28" s="163">
        <f t="shared" si="27"/>
        <v>213.5</v>
      </c>
      <c r="H28" s="163"/>
      <c r="I28" s="163"/>
      <c r="J28" s="163"/>
      <c r="K28" s="163"/>
      <c r="L28" s="145">
        <v>0.2</v>
      </c>
      <c r="M28" s="165">
        <f t="shared" ref="M28:P28" si="28">+D28/D16</f>
        <v>0.2</v>
      </c>
      <c r="N28" s="165">
        <f t="shared" si="28"/>
        <v>0.19999999999999993</v>
      </c>
      <c r="O28" s="166">
        <f t="shared" si="28"/>
        <v>0.2</v>
      </c>
      <c r="P28" s="167">
        <f t="shared" si="28"/>
        <v>0.2</v>
      </c>
      <c r="Q28" s="165"/>
      <c r="R28" s="165"/>
      <c r="S28" s="165"/>
      <c r="T28" s="165"/>
      <c r="U28" s="162"/>
      <c r="V28" s="162"/>
      <c r="W28" s="162"/>
      <c r="X28" s="162"/>
      <c r="Y28" s="162"/>
      <c r="Z28" s="162"/>
    </row>
    <row r="29" spans="1:26" ht="12.75" customHeight="1" thickBo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spans="1:26" ht="12.75" customHeight="1" thickBo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269" t="s">
        <v>171</v>
      </c>
      <c r="N30" s="270"/>
      <c r="O30" s="271">
        <f>AVERAGE(O20:O29)</f>
        <v>0.24444444444444441</v>
      </c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2.7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spans="1:26" ht="28.5" customHeight="1">
      <c r="A32" s="128"/>
      <c r="B32" s="128"/>
      <c r="C32" s="128"/>
      <c r="D32" s="555" t="s">
        <v>148</v>
      </c>
      <c r="E32" s="549"/>
      <c r="F32" s="549"/>
      <c r="G32" s="549"/>
      <c r="H32" s="549"/>
      <c r="I32" s="549"/>
      <c r="J32" s="549"/>
      <c r="K32" s="549"/>
      <c r="L32" s="128"/>
      <c r="M32" s="555" t="s">
        <v>149</v>
      </c>
      <c r="N32" s="549"/>
      <c r="O32" s="549"/>
      <c r="P32" s="549"/>
      <c r="Q32" s="549"/>
      <c r="R32" s="549"/>
      <c r="S32" s="549"/>
      <c r="T32" s="549"/>
      <c r="U32" s="128"/>
      <c r="V32" s="128"/>
      <c r="W32" s="128"/>
      <c r="X32" s="128"/>
      <c r="Y32" s="128"/>
      <c r="Z32" s="128"/>
    </row>
    <row r="33" spans="1:26" ht="13.5" customHeight="1">
      <c r="A33" s="128"/>
      <c r="B33" s="128"/>
      <c r="C33" s="128"/>
      <c r="D33" s="553" t="s">
        <v>150</v>
      </c>
      <c r="E33" s="554"/>
      <c r="F33" s="554"/>
      <c r="G33" s="554"/>
      <c r="H33" s="554"/>
      <c r="I33" s="554"/>
      <c r="J33" s="554"/>
      <c r="K33" s="543"/>
      <c r="L33" s="128"/>
      <c r="M33" s="556" t="s">
        <v>172</v>
      </c>
      <c r="N33" s="557"/>
      <c r="O33" s="557"/>
      <c r="P33" s="557"/>
      <c r="Q33" s="557"/>
      <c r="R33" s="557"/>
      <c r="S33" s="557"/>
      <c r="T33" s="558"/>
      <c r="U33" s="128"/>
      <c r="V33" s="128"/>
      <c r="W33" s="128"/>
      <c r="X33" s="128"/>
      <c r="Y33" s="128"/>
      <c r="Z33" s="128"/>
    </row>
    <row r="34" spans="1:26" ht="12.75" customHeight="1">
      <c r="A34" s="128"/>
      <c r="B34" s="128"/>
      <c r="C34" s="128"/>
      <c r="D34" s="545" t="s">
        <v>173</v>
      </c>
      <c r="E34" s="546"/>
      <c r="F34" s="546"/>
      <c r="G34" s="546"/>
      <c r="H34" s="546"/>
      <c r="I34" s="546"/>
      <c r="J34" s="546"/>
      <c r="K34" s="547"/>
      <c r="L34" s="128"/>
      <c r="M34" s="536" t="s">
        <v>174</v>
      </c>
      <c r="N34" s="537"/>
      <c r="O34" s="537"/>
      <c r="P34" s="537"/>
      <c r="Q34" s="537"/>
      <c r="R34" s="537"/>
      <c r="S34" s="537"/>
      <c r="T34" s="538"/>
      <c r="U34" s="128"/>
      <c r="V34" s="128"/>
      <c r="W34" s="128"/>
      <c r="X34" s="128"/>
      <c r="Y34" s="128"/>
      <c r="Z34" s="128"/>
    </row>
    <row r="35" spans="1:26" ht="12.75" customHeight="1">
      <c r="A35" s="128"/>
      <c r="B35" s="128"/>
      <c r="C35" s="128"/>
      <c r="D35" s="548"/>
      <c r="E35" s="549"/>
      <c r="F35" s="549"/>
      <c r="G35" s="549"/>
      <c r="H35" s="549"/>
      <c r="I35" s="549"/>
      <c r="J35" s="549"/>
      <c r="K35" s="550"/>
      <c r="L35" s="128"/>
      <c r="M35" s="539"/>
      <c r="N35" s="540"/>
      <c r="O35" s="540"/>
      <c r="P35" s="540"/>
      <c r="Q35" s="540"/>
      <c r="R35" s="540"/>
      <c r="S35" s="540"/>
      <c r="T35" s="541"/>
      <c r="U35" s="128"/>
      <c r="V35" s="128"/>
      <c r="W35" s="128"/>
      <c r="X35" s="128"/>
      <c r="Y35" s="128"/>
      <c r="Z35" s="128"/>
    </row>
    <row r="36" spans="1:26" ht="12.75" customHeight="1">
      <c r="A36" s="128"/>
      <c r="B36" s="128"/>
      <c r="C36" s="128"/>
      <c r="D36" s="551" t="s">
        <v>153</v>
      </c>
      <c r="E36" s="543"/>
      <c r="F36" s="552" t="s">
        <v>154</v>
      </c>
      <c r="G36" s="543"/>
      <c r="H36" s="542" t="s">
        <v>155</v>
      </c>
      <c r="I36" s="543"/>
      <c r="J36" s="544" t="s">
        <v>156</v>
      </c>
      <c r="K36" s="543"/>
      <c r="L36" s="128"/>
      <c r="M36" s="551" t="s">
        <v>153</v>
      </c>
      <c r="N36" s="543"/>
      <c r="O36" s="552" t="s">
        <v>154</v>
      </c>
      <c r="P36" s="543"/>
      <c r="Q36" s="542" t="s">
        <v>155</v>
      </c>
      <c r="R36" s="543"/>
      <c r="S36" s="544" t="s">
        <v>156</v>
      </c>
      <c r="T36" s="543"/>
      <c r="U36" s="128"/>
      <c r="V36" s="128"/>
      <c r="W36" s="128"/>
      <c r="X36" s="128"/>
      <c r="Y36" s="128"/>
      <c r="Z36" s="128"/>
    </row>
    <row r="37" spans="1:26" ht="12.75" customHeight="1">
      <c r="A37" s="128"/>
      <c r="B37" s="128"/>
      <c r="C37" s="128"/>
      <c r="D37" s="168" t="s">
        <v>62</v>
      </c>
      <c r="E37" s="168" t="s">
        <v>157</v>
      </c>
      <c r="F37" s="168" t="s">
        <v>62</v>
      </c>
      <c r="G37" s="168" t="s">
        <v>157</v>
      </c>
      <c r="H37" s="168" t="s">
        <v>62</v>
      </c>
      <c r="I37" s="168" t="s">
        <v>157</v>
      </c>
      <c r="J37" s="168" t="s">
        <v>62</v>
      </c>
      <c r="K37" s="168" t="s">
        <v>157</v>
      </c>
      <c r="L37" s="128"/>
      <c r="M37" s="168" t="s">
        <v>62</v>
      </c>
      <c r="N37" s="168" t="s">
        <v>157</v>
      </c>
      <c r="O37" s="168" t="s">
        <v>62</v>
      </c>
      <c r="P37" s="168" t="s">
        <v>157</v>
      </c>
      <c r="Q37" s="168" t="s">
        <v>62</v>
      </c>
      <c r="R37" s="168" t="s">
        <v>157</v>
      </c>
      <c r="S37" s="168" t="s">
        <v>62</v>
      </c>
      <c r="T37" s="168" t="s">
        <v>157</v>
      </c>
      <c r="U37" s="128"/>
      <c r="V37" s="128"/>
      <c r="W37" s="128"/>
      <c r="X37" s="128"/>
      <c r="Y37" s="128"/>
      <c r="Z37" s="128"/>
    </row>
    <row r="38" spans="1:26" ht="12.75" customHeight="1">
      <c r="A38" s="128"/>
      <c r="B38" s="128"/>
      <c r="C38" s="128" t="s">
        <v>159</v>
      </c>
      <c r="D38" s="130">
        <f>2043.5+(2043.5*0.15)</f>
        <v>2350.0250000000001</v>
      </c>
      <c r="E38" s="130">
        <f t="shared" ref="E38:E46" si="29">D38-(D38*0.3)</f>
        <v>1645.0174999999999</v>
      </c>
      <c r="F38" s="130">
        <f>1997.5+(1997*0.1)</f>
        <v>2197.1999999999998</v>
      </c>
      <c r="G38" s="130">
        <f t="shared" ref="G38:G46" si="30">F38-(F38*0.3)</f>
        <v>1538.04</v>
      </c>
      <c r="H38" s="131" t="s">
        <v>160</v>
      </c>
      <c r="I38" s="131" t="s">
        <v>160</v>
      </c>
      <c r="J38" s="131" t="s">
        <v>160</v>
      </c>
      <c r="K38" s="169" t="s">
        <v>160</v>
      </c>
      <c r="L38" s="128"/>
      <c r="M38" s="132">
        <v>3290.0349999999999</v>
      </c>
      <c r="N38" s="132">
        <v>2303.0244999999995</v>
      </c>
      <c r="O38" s="132">
        <v>3076.0799999999995</v>
      </c>
      <c r="P38" s="134">
        <v>2153.2559999999999</v>
      </c>
      <c r="Q38" s="134" t="s">
        <v>160</v>
      </c>
      <c r="R38" s="134" t="s">
        <v>160</v>
      </c>
      <c r="S38" s="134" t="s">
        <v>160</v>
      </c>
      <c r="T38" s="134" t="s">
        <v>160</v>
      </c>
      <c r="U38" s="128"/>
      <c r="V38" s="128"/>
      <c r="W38" s="128"/>
      <c r="X38" s="128"/>
      <c r="Y38" s="128"/>
      <c r="Z38" s="128"/>
    </row>
    <row r="39" spans="1:26" ht="12.75" customHeight="1">
      <c r="A39" s="128"/>
      <c r="B39" s="128"/>
      <c r="C39" s="128" t="s">
        <v>161</v>
      </c>
      <c r="D39" s="130">
        <f t="shared" ref="D39:D40" si="31">1943.5+(1943.5*0.15)</f>
        <v>2235.0250000000001</v>
      </c>
      <c r="E39" s="130">
        <f t="shared" si="29"/>
        <v>1564.5174999999999</v>
      </c>
      <c r="F39" s="130">
        <f t="shared" ref="F39:F40" si="32">1897.5+(1897*0.1)</f>
        <v>2087.1999999999998</v>
      </c>
      <c r="G39" s="130">
        <f t="shared" si="30"/>
        <v>1461.04</v>
      </c>
      <c r="H39" s="131" t="s">
        <v>160</v>
      </c>
      <c r="I39" s="131" t="s">
        <v>160</v>
      </c>
      <c r="J39" s="131" t="s">
        <v>160</v>
      </c>
      <c r="K39" s="169" t="s">
        <v>160</v>
      </c>
      <c r="L39" s="128"/>
      <c r="M39" s="132">
        <v>2905.5325000000003</v>
      </c>
      <c r="N39" s="132">
        <v>2033.87275</v>
      </c>
      <c r="O39" s="132">
        <v>2713.3599999999997</v>
      </c>
      <c r="P39" s="134">
        <v>1899.3520000000001</v>
      </c>
      <c r="Q39" s="134" t="s">
        <v>160</v>
      </c>
      <c r="R39" s="134" t="s">
        <v>160</v>
      </c>
      <c r="S39" s="134" t="s">
        <v>160</v>
      </c>
      <c r="T39" s="134" t="s">
        <v>160</v>
      </c>
      <c r="U39" s="128"/>
      <c r="V39" s="128"/>
      <c r="W39" s="128"/>
      <c r="X39" s="128"/>
      <c r="Y39" s="128"/>
      <c r="Z39" s="128"/>
    </row>
    <row r="40" spans="1:26" ht="12.75" customHeight="1">
      <c r="A40" s="128"/>
      <c r="B40" s="128"/>
      <c r="C40" s="128" t="s">
        <v>162</v>
      </c>
      <c r="D40" s="130">
        <f t="shared" si="31"/>
        <v>2235.0250000000001</v>
      </c>
      <c r="E40" s="130">
        <f t="shared" si="29"/>
        <v>1564.5174999999999</v>
      </c>
      <c r="F40" s="130">
        <f t="shared" si="32"/>
        <v>2087.1999999999998</v>
      </c>
      <c r="G40" s="130">
        <f t="shared" si="30"/>
        <v>1461.04</v>
      </c>
      <c r="H40" s="131" t="s">
        <v>160</v>
      </c>
      <c r="I40" s="131" t="s">
        <v>160</v>
      </c>
      <c r="J40" s="131" t="s">
        <v>160</v>
      </c>
      <c r="K40" s="169" t="s">
        <v>160</v>
      </c>
      <c r="L40" s="128"/>
      <c r="M40" s="132">
        <v>2682.03</v>
      </c>
      <c r="N40" s="132">
        <v>1877.4209999999998</v>
      </c>
      <c r="O40" s="132">
        <v>2504.64</v>
      </c>
      <c r="P40" s="134">
        <v>1753.2479999999998</v>
      </c>
      <c r="Q40" s="134" t="s">
        <v>160</v>
      </c>
      <c r="R40" s="134" t="s">
        <v>160</v>
      </c>
      <c r="S40" s="134" t="s">
        <v>160</v>
      </c>
      <c r="T40" s="134" t="s">
        <v>160</v>
      </c>
      <c r="U40" s="128"/>
      <c r="V40" s="128"/>
      <c r="W40" s="128"/>
      <c r="X40" s="128"/>
      <c r="Y40" s="128"/>
      <c r="Z40" s="128"/>
    </row>
    <row r="41" spans="1:26" ht="12.75" customHeight="1">
      <c r="A41" s="128"/>
      <c r="B41" s="128"/>
      <c r="C41" s="128" t="s">
        <v>163</v>
      </c>
      <c r="D41" s="130">
        <f>1690+(1690*0.15)</f>
        <v>1943.5</v>
      </c>
      <c r="E41" s="130">
        <f t="shared" si="29"/>
        <v>1360.45</v>
      </c>
      <c r="F41" s="130">
        <f>1650+(1650*0.1)</f>
        <v>1815</v>
      </c>
      <c r="G41" s="130">
        <f t="shared" si="30"/>
        <v>1270.5</v>
      </c>
      <c r="H41" s="131" t="s">
        <v>160</v>
      </c>
      <c r="I41" s="131" t="s">
        <v>160</v>
      </c>
      <c r="J41" s="131" t="s">
        <v>160</v>
      </c>
      <c r="K41" s="169" t="s">
        <v>160</v>
      </c>
      <c r="L41" s="128"/>
      <c r="M41" s="134">
        <v>2429.375</v>
      </c>
      <c r="N41" s="132">
        <v>1700.5625</v>
      </c>
      <c r="O41" s="134">
        <v>2268.75</v>
      </c>
      <c r="P41" s="134">
        <v>1588.125</v>
      </c>
      <c r="Q41" s="134" t="s">
        <v>160</v>
      </c>
      <c r="R41" s="134" t="s">
        <v>160</v>
      </c>
      <c r="S41" s="134" t="s">
        <v>160</v>
      </c>
      <c r="T41" s="134" t="s">
        <v>160</v>
      </c>
      <c r="U41" s="128"/>
      <c r="V41" s="128"/>
      <c r="W41" s="128"/>
      <c r="X41" s="128"/>
      <c r="Y41" s="128"/>
      <c r="Z41" s="128"/>
    </row>
    <row r="42" spans="1:26" ht="12.75" customHeight="1">
      <c r="A42" s="128"/>
      <c r="B42" s="128"/>
      <c r="C42" s="128" t="s">
        <v>164</v>
      </c>
      <c r="D42" s="130">
        <f t="shared" ref="D42:D43" si="33">1580+(1580*0.15)</f>
        <v>1817</v>
      </c>
      <c r="E42" s="130">
        <f t="shared" si="29"/>
        <v>1271.9000000000001</v>
      </c>
      <c r="F42" s="130">
        <f t="shared" ref="F42:F43" si="34">1415+(1415*0.1)</f>
        <v>1556.5</v>
      </c>
      <c r="G42" s="130">
        <f t="shared" si="30"/>
        <v>1089.55</v>
      </c>
      <c r="H42" s="131" t="s">
        <v>160</v>
      </c>
      <c r="I42" s="131" t="s">
        <v>160</v>
      </c>
      <c r="J42" s="131" t="s">
        <v>160</v>
      </c>
      <c r="K42" s="169" t="s">
        <v>160</v>
      </c>
      <c r="L42" s="128"/>
      <c r="M42" s="134">
        <v>2271.25</v>
      </c>
      <c r="N42" s="132">
        <v>1589.875</v>
      </c>
      <c r="O42" s="134">
        <v>1945.625</v>
      </c>
      <c r="P42" s="134">
        <v>1361.9375</v>
      </c>
      <c r="Q42" s="134" t="s">
        <v>160</v>
      </c>
      <c r="R42" s="134" t="s">
        <v>160</v>
      </c>
      <c r="S42" s="134" t="s">
        <v>160</v>
      </c>
      <c r="T42" s="134" t="s">
        <v>160</v>
      </c>
      <c r="U42" s="128"/>
      <c r="V42" s="128"/>
      <c r="W42" s="128"/>
      <c r="X42" s="128"/>
      <c r="Y42" s="128"/>
      <c r="Z42" s="128"/>
    </row>
    <row r="43" spans="1:26" ht="12.75" customHeight="1">
      <c r="A43" s="128"/>
      <c r="B43" s="128"/>
      <c r="C43" s="128" t="s">
        <v>165</v>
      </c>
      <c r="D43" s="130">
        <f t="shared" si="33"/>
        <v>1817</v>
      </c>
      <c r="E43" s="130">
        <f t="shared" si="29"/>
        <v>1271.9000000000001</v>
      </c>
      <c r="F43" s="130">
        <f t="shared" si="34"/>
        <v>1556.5</v>
      </c>
      <c r="G43" s="130">
        <f t="shared" si="30"/>
        <v>1089.55</v>
      </c>
      <c r="H43" s="130">
        <f>1415+(1415*0.1)</f>
        <v>1556.5</v>
      </c>
      <c r="I43" s="130">
        <f t="shared" ref="I43:I44" si="35">H43-(H43*0.3)</f>
        <v>1089.55</v>
      </c>
      <c r="J43" s="130">
        <v>850</v>
      </c>
      <c r="K43" s="170">
        <v>595</v>
      </c>
      <c r="L43" s="128"/>
      <c r="M43" s="134">
        <v>2180.4</v>
      </c>
      <c r="N43" s="132">
        <v>1526.28</v>
      </c>
      <c r="O43" s="134">
        <v>1867.8</v>
      </c>
      <c r="P43" s="134">
        <v>1307.4599999999998</v>
      </c>
      <c r="Q43" s="134">
        <v>1867.8</v>
      </c>
      <c r="R43" s="134">
        <v>1307.4599999999998</v>
      </c>
      <c r="S43" s="134">
        <v>1020</v>
      </c>
      <c r="T43" s="134">
        <v>714</v>
      </c>
      <c r="U43" s="128"/>
      <c r="V43" s="128"/>
      <c r="W43" s="128"/>
      <c r="X43" s="128"/>
      <c r="Y43" s="128"/>
      <c r="Z43" s="128"/>
    </row>
    <row r="44" spans="1:26" ht="12.75" customHeight="1">
      <c r="A44" s="128"/>
      <c r="B44" s="128"/>
      <c r="C44" s="128" t="s">
        <v>166</v>
      </c>
      <c r="D44" s="130">
        <v>1525</v>
      </c>
      <c r="E44" s="130">
        <f t="shared" si="29"/>
        <v>1067.5</v>
      </c>
      <c r="F44" s="130">
        <v>1360</v>
      </c>
      <c r="G44" s="130">
        <f t="shared" si="30"/>
        <v>952</v>
      </c>
      <c r="H44" s="130">
        <v>1360</v>
      </c>
      <c r="I44" s="130">
        <f t="shared" si="35"/>
        <v>952</v>
      </c>
      <c r="J44" s="130">
        <v>850</v>
      </c>
      <c r="K44" s="170">
        <v>595</v>
      </c>
      <c r="L44" s="128"/>
      <c r="M44" s="134">
        <v>1830</v>
      </c>
      <c r="N44" s="132">
        <v>1281</v>
      </c>
      <c r="O44" s="134">
        <v>1632</v>
      </c>
      <c r="P44" s="134">
        <v>1142.3999999999999</v>
      </c>
      <c r="Q44" s="134">
        <v>1632</v>
      </c>
      <c r="R44" s="134">
        <v>1142.3999999999999</v>
      </c>
      <c r="S44" s="134">
        <v>1020</v>
      </c>
      <c r="T44" s="134">
        <v>714</v>
      </c>
      <c r="U44" s="128"/>
      <c r="V44" s="128"/>
      <c r="W44" s="128"/>
      <c r="X44" s="128"/>
      <c r="Y44" s="128"/>
      <c r="Z44" s="128"/>
    </row>
    <row r="45" spans="1:26" ht="12.75" customHeight="1">
      <c r="A45" s="128"/>
      <c r="B45" s="128"/>
      <c r="C45" s="128" t="s">
        <v>167</v>
      </c>
      <c r="D45" s="130">
        <v>1525</v>
      </c>
      <c r="E45" s="130">
        <f t="shared" si="29"/>
        <v>1067.5</v>
      </c>
      <c r="F45" s="130">
        <v>1360</v>
      </c>
      <c r="G45" s="130">
        <f t="shared" si="30"/>
        <v>952</v>
      </c>
      <c r="H45" s="131" t="s">
        <v>160</v>
      </c>
      <c r="I45" s="131" t="s">
        <v>160</v>
      </c>
      <c r="J45" s="131" t="s">
        <v>160</v>
      </c>
      <c r="K45" s="169" t="s">
        <v>160</v>
      </c>
      <c r="L45" s="128"/>
      <c r="M45" s="134">
        <v>1830</v>
      </c>
      <c r="N45" s="132">
        <v>1281</v>
      </c>
      <c r="O45" s="134">
        <v>1632</v>
      </c>
      <c r="P45" s="134">
        <v>1142.3999999999999</v>
      </c>
      <c r="Q45" s="134" t="s">
        <v>160</v>
      </c>
      <c r="R45" s="134" t="s">
        <v>160</v>
      </c>
      <c r="S45" s="134" t="s">
        <v>160</v>
      </c>
      <c r="T45" s="134" t="s">
        <v>160</v>
      </c>
      <c r="U45" s="128"/>
      <c r="V45" s="128"/>
      <c r="W45" s="128"/>
      <c r="X45" s="128"/>
      <c r="Y45" s="128"/>
      <c r="Z45" s="128"/>
    </row>
    <row r="46" spans="1:26" ht="12.75" customHeight="1">
      <c r="A46" s="128"/>
      <c r="B46" s="128"/>
      <c r="C46" s="128" t="s">
        <v>168</v>
      </c>
      <c r="D46" s="130">
        <v>1525</v>
      </c>
      <c r="E46" s="130">
        <f t="shared" si="29"/>
        <v>1067.5</v>
      </c>
      <c r="F46" s="130">
        <v>1360</v>
      </c>
      <c r="G46" s="130">
        <f t="shared" si="30"/>
        <v>952</v>
      </c>
      <c r="H46" s="131" t="s">
        <v>160</v>
      </c>
      <c r="I46" s="131" t="s">
        <v>160</v>
      </c>
      <c r="J46" s="131" t="s">
        <v>160</v>
      </c>
      <c r="K46" s="169" t="s">
        <v>160</v>
      </c>
      <c r="L46" s="128"/>
      <c r="M46" s="134">
        <v>1830</v>
      </c>
      <c r="N46" s="132">
        <v>1281</v>
      </c>
      <c r="O46" s="134">
        <v>1632</v>
      </c>
      <c r="P46" s="134">
        <v>1142.3999999999999</v>
      </c>
      <c r="Q46" s="134" t="s">
        <v>160</v>
      </c>
      <c r="R46" s="134" t="s">
        <v>160</v>
      </c>
      <c r="S46" s="134" t="s">
        <v>160</v>
      </c>
      <c r="T46" s="134" t="s">
        <v>160</v>
      </c>
      <c r="U46" s="128"/>
      <c r="V46" s="128"/>
      <c r="W46" s="128"/>
      <c r="X46" s="128"/>
      <c r="Y46" s="128"/>
      <c r="Z46" s="128"/>
    </row>
    <row r="47" spans="1:26" ht="12.75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spans="1:26" ht="12.75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spans="1:26" ht="23.25" customHeight="1">
      <c r="A49" s="128"/>
      <c r="B49" s="128"/>
      <c r="C49" s="128"/>
      <c r="D49" s="535" t="s">
        <v>169</v>
      </c>
      <c r="E49" s="507"/>
      <c r="F49" s="507"/>
      <c r="G49" s="507"/>
      <c r="H49" s="507"/>
      <c r="I49" s="507"/>
      <c r="J49" s="507"/>
      <c r="K49" s="507"/>
      <c r="L49" s="128"/>
      <c r="M49" s="535" t="s">
        <v>170</v>
      </c>
      <c r="N49" s="507"/>
      <c r="O49" s="507"/>
      <c r="P49" s="507"/>
      <c r="Q49" s="507"/>
      <c r="R49" s="507"/>
      <c r="S49" s="507"/>
      <c r="T49" s="507"/>
      <c r="U49" s="128"/>
      <c r="V49" s="128"/>
      <c r="W49" s="128"/>
      <c r="X49" s="128"/>
      <c r="Y49" s="128"/>
      <c r="Z49" s="128"/>
    </row>
    <row r="50" spans="1:26" ht="12.75" customHeight="1">
      <c r="A50" s="128"/>
      <c r="B50" s="128"/>
      <c r="C50" s="128" t="s">
        <v>159</v>
      </c>
      <c r="D50" s="143">
        <f t="shared" ref="D50:G50" si="36">+M38-D38</f>
        <v>940.00999999999976</v>
      </c>
      <c r="E50" s="143">
        <f t="shared" si="36"/>
        <v>658.00699999999961</v>
      </c>
      <c r="F50" s="144">
        <f t="shared" si="36"/>
        <v>878.87999999999965</v>
      </c>
      <c r="G50" s="143">
        <f t="shared" si="36"/>
        <v>615.21599999999989</v>
      </c>
      <c r="H50" s="143"/>
      <c r="I50" s="143"/>
      <c r="J50" s="143"/>
      <c r="K50" s="143"/>
      <c r="L50" s="128"/>
      <c r="M50" s="80">
        <f t="shared" ref="M50:P50" si="37">+D50/D38</f>
        <v>0.39999999999999991</v>
      </c>
      <c r="N50" s="80">
        <f t="shared" si="37"/>
        <v>0.3999999999999998</v>
      </c>
      <c r="O50" s="146">
        <f t="shared" si="37"/>
        <v>0.39999999999999986</v>
      </c>
      <c r="P50" s="147">
        <f t="shared" si="37"/>
        <v>0.39999999999999997</v>
      </c>
      <c r="Q50" s="80"/>
      <c r="R50" s="80"/>
      <c r="S50" s="80"/>
      <c r="T50" s="80"/>
      <c r="U50" s="128"/>
      <c r="V50" s="128"/>
      <c r="W50" s="128"/>
      <c r="X50" s="128"/>
      <c r="Y50" s="128"/>
      <c r="Z50" s="128"/>
    </row>
    <row r="51" spans="1:26" ht="12.75" customHeight="1">
      <c r="A51" s="128"/>
      <c r="B51" s="128"/>
      <c r="C51" s="128" t="s">
        <v>161</v>
      </c>
      <c r="D51" s="143">
        <f t="shared" ref="D51:G51" si="38">+M39-D39</f>
        <v>670.50750000000016</v>
      </c>
      <c r="E51" s="143">
        <f t="shared" si="38"/>
        <v>469.35525000000007</v>
      </c>
      <c r="F51" s="144">
        <f t="shared" si="38"/>
        <v>626.15999999999985</v>
      </c>
      <c r="G51" s="143">
        <f t="shared" si="38"/>
        <v>438.31200000000013</v>
      </c>
      <c r="H51" s="143"/>
      <c r="I51" s="143"/>
      <c r="J51" s="143"/>
      <c r="K51" s="143"/>
      <c r="L51" s="128"/>
      <c r="M51" s="80">
        <f t="shared" ref="M51:P51" si="39">+D51/D39</f>
        <v>0.30000000000000004</v>
      </c>
      <c r="N51" s="80">
        <f t="shared" si="39"/>
        <v>0.30000000000000004</v>
      </c>
      <c r="O51" s="171">
        <f t="shared" si="39"/>
        <v>0.29999999999999993</v>
      </c>
      <c r="P51" s="147">
        <f t="shared" si="39"/>
        <v>0.3000000000000001</v>
      </c>
      <c r="Q51" s="80"/>
      <c r="R51" s="80"/>
      <c r="S51" s="80"/>
      <c r="T51" s="80"/>
      <c r="U51" s="128"/>
      <c r="V51" s="128"/>
      <c r="W51" s="128"/>
      <c r="X51" s="128"/>
      <c r="Y51" s="128"/>
      <c r="Z51" s="128"/>
    </row>
    <row r="52" spans="1:26" ht="12.75" customHeight="1">
      <c r="A52" s="128"/>
      <c r="B52" s="128"/>
      <c r="C52" s="128" t="s">
        <v>162</v>
      </c>
      <c r="D52" s="143">
        <f t="shared" ref="D52:G52" si="40">+M40-D40</f>
        <v>447.00500000000011</v>
      </c>
      <c r="E52" s="143">
        <f t="shared" si="40"/>
        <v>312.90349999999989</v>
      </c>
      <c r="F52" s="144">
        <f t="shared" si="40"/>
        <v>417.44000000000005</v>
      </c>
      <c r="G52" s="143">
        <f t="shared" si="40"/>
        <v>292.20799999999986</v>
      </c>
      <c r="H52" s="143"/>
      <c r="I52" s="143"/>
      <c r="J52" s="143"/>
      <c r="K52" s="143"/>
      <c r="L52" s="128"/>
      <c r="M52" s="80">
        <f t="shared" ref="M52:P52" si="41">+D52/D40</f>
        <v>0.20000000000000004</v>
      </c>
      <c r="N52" s="80">
        <f t="shared" si="41"/>
        <v>0.19999999999999996</v>
      </c>
      <c r="O52" s="171">
        <f t="shared" si="41"/>
        <v>0.20000000000000004</v>
      </c>
      <c r="P52" s="147">
        <f t="shared" si="41"/>
        <v>0.1999999999999999</v>
      </c>
      <c r="Q52" s="80"/>
      <c r="R52" s="80"/>
      <c r="S52" s="80"/>
      <c r="T52" s="80"/>
      <c r="U52" s="128"/>
      <c r="V52" s="128"/>
      <c r="W52" s="128"/>
      <c r="X52" s="128"/>
      <c r="Y52" s="128"/>
      <c r="Z52" s="128"/>
    </row>
    <row r="53" spans="1:26" ht="12.75" customHeight="1">
      <c r="A53" s="128"/>
      <c r="B53" s="128"/>
      <c r="C53" s="128" t="s">
        <v>163</v>
      </c>
      <c r="D53" s="143">
        <f t="shared" ref="D53:G53" si="42">+M41-D41</f>
        <v>485.875</v>
      </c>
      <c r="E53" s="143">
        <f t="shared" si="42"/>
        <v>340.11249999999995</v>
      </c>
      <c r="F53" s="144">
        <f t="shared" si="42"/>
        <v>453.75</v>
      </c>
      <c r="G53" s="143">
        <f t="shared" si="42"/>
        <v>317.625</v>
      </c>
      <c r="H53" s="143"/>
      <c r="I53" s="143"/>
      <c r="J53" s="143"/>
      <c r="K53" s="143"/>
      <c r="L53" s="128"/>
      <c r="M53" s="80">
        <f t="shared" ref="M53:P53" si="43">+D53/D41</f>
        <v>0.25</v>
      </c>
      <c r="N53" s="80">
        <f t="shared" si="43"/>
        <v>0.24999999999999994</v>
      </c>
      <c r="O53" s="171">
        <f t="shared" si="43"/>
        <v>0.25</v>
      </c>
      <c r="P53" s="147">
        <f t="shared" si="43"/>
        <v>0.25</v>
      </c>
      <c r="Q53" s="80"/>
      <c r="R53" s="80"/>
      <c r="S53" s="80"/>
      <c r="T53" s="80"/>
      <c r="U53" s="128"/>
      <c r="V53" s="128"/>
      <c r="W53" s="128"/>
      <c r="X53" s="128"/>
      <c r="Y53" s="128"/>
      <c r="Z53" s="128"/>
    </row>
    <row r="54" spans="1:26" ht="12.75" customHeight="1">
      <c r="A54" s="128"/>
      <c r="B54" s="128"/>
      <c r="C54" s="128" t="s">
        <v>164</v>
      </c>
      <c r="D54" s="143">
        <f t="shared" ref="D54:G54" si="44">+M42-D42</f>
        <v>454.25</v>
      </c>
      <c r="E54" s="143">
        <f t="shared" si="44"/>
        <v>317.97499999999991</v>
      </c>
      <c r="F54" s="144">
        <f t="shared" si="44"/>
        <v>389.125</v>
      </c>
      <c r="G54" s="143">
        <f t="shared" si="44"/>
        <v>272.38750000000005</v>
      </c>
      <c r="H54" s="143"/>
      <c r="I54" s="143"/>
      <c r="J54" s="143"/>
      <c r="K54" s="143"/>
      <c r="L54" s="128"/>
      <c r="M54" s="80">
        <f t="shared" ref="M54:P54" si="45">+D54/D42</f>
        <v>0.25</v>
      </c>
      <c r="N54" s="80">
        <f t="shared" si="45"/>
        <v>0.24999999999999992</v>
      </c>
      <c r="O54" s="171">
        <f t="shared" si="45"/>
        <v>0.25</v>
      </c>
      <c r="P54" s="147">
        <f t="shared" si="45"/>
        <v>0.25000000000000006</v>
      </c>
      <c r="Q54" s="80"/>
      <c r="R54" s="80"/>
      <c r="S54" s="80"/>
      <c r="T54" s="80"/>
      <c r="U54" s="128"/>
      <c r="V54" s="128"/>
      <c r="W54" s="128"/>
      <c r="X54" s="128"/>
      <c r="Y54" s="128"/>
      <c r="Z54" s="128"/>
    </row>
    <row r="55" spans="1:26" ht="12.75" customHeight="1">
      <c r="A55" s="152"/>
      <c r="B55" s="153"/>
      <c r="C55" s="153" t="s">
        <v>165</v>
      </c>
      <c r="D55" s="154">
        <f t="shared" ref="D55:K55" si="46">+M43-D43</f>
        <v>363.40000000000009</v>
      </c>
      <c r="E55" s="154">
        <f t="shared" si="46"/>
        <v>254.37999999999988</v>
      </c>
      <c r="F55" s="155">
        <f t="shared" si="46"/>
        <v>311.29999999999995</v>
      </c>
      <c r="G55" s="154">
        <f t="shared" si="46"/>
        <v>217.90999999999985</v>
      </c>
      <c r="H55" s="154">
        <f t="shared" si="46"/>
        <v>311.29999999999995</v>
      </c>
      <c r="I55" s="154">
        <f t="shared" si="46"/>
        <v>217.90999999999985</v>
      </c>
      <c r="J55" s="154">
        <f t="shared" si="46"/>
        <v>170</v>
      </c>
      <c r="K55" s="154">
        <f t="shared" si="46"/>
        <v>119</v>
      </c>
      <c r="L55" s="153"/>
      <c r="M55" s="157">
        <f t="shared" ref="M55:T55" si="47">+D55/D43</f>
        <v>0.20000000000000004</v>
      </c>
      <c r="N55" s="157">
        <f t="shared" si="47"/>
        <v>0.1999999999999999</v>
      </c>
      <c r="O55" s="146">
        <f t="shared" si="47"/>
        <v>0.19999999999999998</v>
      </c>
      <c r="P55" s="158">
        <f t="shared" si="47"/>
        <v>0.19999999999999987</v>
      </c>
      <c r="Q55" s="157">
        <f t="shared" si="47"/>
        <v>0.19999999999999998</v>
      </c>
      <c r="R55" s="157">
        <f t="shared" si="47"/>
        <v>0.19999999999999987</v>
      </c>
      <c r="S55" s="157">
        <f t="shared" si="47"/>
        <v>0.2</v>
      </c>
      <c r="T55" s="157">
        <f t="shared" si="47"/>
        <v>0.2</v>
      </c>
      <c r="U55" s="153"/>
      <c r="V55" s="153"/>
      <c r="W55" s="153"/>
      <c r="X55" s="153"/>
      <c r="Y55" s="153"/>
      <c r="Z55" s="153"/>
    </row>
    <row r="56" spans="1:26" ht="12.75" customHeight="1">
      <c r="A56" s="159"/>
      <c r="B56" s="128"/>
      <c r="C56" s="128" t="s">
        <v>166</v>
      </c>
      <c r="D56" s="143">
        <f t="shared" ref="D56:K56" si="48">+M44-D44</f>
        <v>305</v>
      </c>
      <c r="E56" s="143">
        <f t="shared" si="48"/>
        <v>213.5</v>
      </c>
      <c r="F56" s="144">
        <f t="shared" si="48"/>
        <v>272</v>
      </c>
      <c r="G56" s="143">
        <f t="shared" si="48"/>
        <v>190.39999999999986</v>
      </c>
      <c r="H56" s="143">
        <f t="shared" si="48"/>
        <v>272</v>
      </c>
      <c r="I56" s="143">
        <f t="shared" si="48"/>
        <v>190.39999999999986</v>
      </c>
      <c r="J56" s="143">
        <f t="shared" si="48"/>
        <v>170</v>
      </c>
      <c r="K56" s="143">
        <f t="shared" si="48"/>
        <v>119</v>
      </c>
      <c r="L56" s="128"/>
      <c r="M56" s="80">
        <f t="shared" ref="M56:T56" si="49">+D56/D44</f>
        <v>0.2</v>
      </c>
      <c r="N56" s="80">
        <f t="shared" si="49"/>
        <v>0.2</v>
      </c>
      <c r="O56" s="160">
        <f t="shared" si="49"/>
        <v>0.2</v>
      </c>
      <c r="P56" s="147">
        <f t="shared" si="49"/>
        <v>0.19999999999999984</v>
      </c>
      <c r="Q56" s="80">
        <f t="shared" si="49"/>
        <v>0.2</v>
      </c>
      <c r="R56" s="80">
        <f t="shared" si="49"/>
        <v>0.19999999999999984</v>
      </c>
      <c r="S56" s="80">
        <f t="shared" si="49"/>
        <v>0.2</v>
      </c>
      <c r="T56" s="80">
        <f t="shared" si="49"/>
        <v>0.2</v>
      </c>
      <c r="U56" s="128"/>
      <c r="V56" s="128"/>
      <c r="W56" s="128"/>
      <c r="X56" s="128"/>
      <c r="Y56" s="128"/>
      <c r="Z56" s="128"/>
    </row>
    <row r="57" spans="1:26" ht="12.75" customHeight="1">
      <c r="A57" s="159"/>
      <c r="B57" s="128"/>
      <c r="C57" s="128" t="s">
        <v>167</v>
      </c>
      <c r="D57" s="143">
        <f t="shared" ref="D57:G57" si="50">+M45-D45</f>
        <v>305</v>
      </c>
      <c r="E57" s="143">
        <f t="shared" si="50"/>
        <v>213.5</v>
      </c>
      <c r="F57" s="144">
        <f t="shared" si="50"/>
        <v>272</v>
      </c>
      <c r="G57" s="143">
        <f t="shared" si="50"/>
        <v>190.39999999999986</v>
      </c>
      <c r="H57" s="143"/>
      <c r="I57" s="143"/>
      <c r="J57" s="143"/>
      <c r="K57" s="143"/>
      <c r="L57" s="128"/>
      <c r="M57" s="80">
        <f t="shared" ref="M57:P57" si="51">+D57/D45</f>
        <v>0.2</v>
      </c>
      <c r="N57" s="80">
        <f t="shared" si="51"/>
        <v>0.2</v>
      </c>
      <c r="O57" s="160">
        <f t="shared" si="51"/>
        <v>0.2</v>
      </c>
      <c r="P57" s="147">
        <f t="shared" si="51"/>
        <v>0.19999999999999984</v>
      </c>
      <c r="Q57" s="80"/>
      <c r="R57" s="80"/>
      <c r="S57" s="80"/>
      <c r="T57" s="80"/>
      <c r="U57" s="128"/>
      <c r="V57" s="128"/>
      <c r="W57" s="128"/>
      <c r="X57" s="128"/>
      <c r="Y57" s="128"/>
      <c r="Z57" s="128"/>
    </row>
    <row r="58" spans="1:26" ht="12.75" customHeight="1">
      <c r="A58" s="161"/>
      <c r="B58" s="162"/>
      <c r="C58" s="162" t="s">
        <v>168</v>
      </c>
      <c r="D58" s="163">
        <f t="shared" ref="D58:G58" si="52">+M46-D46</f>
        <v>305</v>
      </c>
      <c r="E58" s="163">
        <f t="shared" si="52"/>
        <v>213.5</v>
      </c>
      <c r="F58" s="164">
        <f t="shared" si="52"/>
        <v>272</v>
      </c>
      <c r="G58" s="163">
        <f t="shared" si="52"/>
        <v>190.39999999999986</v>
      </c>
      <c r="H58" s="163"/>
      <c r="I58" s="163"/>
      <c r="J58" s="163"/>
      <c r="K58" s="163"/>
      <c r="L58" s="162"/>
      <c r="M58" s="165">
        <f t="shared" ref="M58:P58" si="53">+D58/D46</f>
        <v>0.2</v>
      </c>
      <c r="N58" s="165">
        <f t="shared" si="53"/>
        <v>0.2</v>
      </c>
      <c r="O58" s="166">
        <f t="shared" si="53"/>
        <v>0.2</v>
      </c>
      <c r="P58" s="167">
        <f t="shared" si="53"/>
        <v>0.19999999999999984</v>
      </c>
      <c r="Q58" s="165"/>
      <c r="R58" s="165"/>
      <c r="S58" s="165"/>
      <c r="T58" s="165"/>
      <c r="U58" s="162"/>
      <c r="V58" s="162"/>
      <c r="W58" s="162"/>
      <c r="X58" s="162"/>
      <c r="Y58" s="162"/>
      <c r="Z58" s="162"/>
    </row>
    <row r="59" spans="1:26" ht="12.75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2.75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spans="1:26" ht="12.75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spans="1:26" ht="12.75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spans="1:26" ht="19.5" customHeight="1">
      <c r="A63" s="128"/>
      <c r="B63" s="128"/>
      <c r="C63" s="128"/>
      <c r="D63" s="555" t="s">
        <v>148</v>
      </c>
      <c r="E63" s="549"/>
      <c r="F63" s="549"/>
      <c r="G63" s="549"/>
      <c r="H63" s="549"/>
      <c r="I63" s="549"/>
      <c r="J63" s="549"/>
      <c r="K63" s="549"/>
      <c r="L63" s="128"/>
      <c r="M63" s="555" t="s">
        <v>149</v>
      </c>
      <c r="N63" s="549"/>
      <c r="O63" s="549"/>
      <c r="P63" s="549"/>
      <c r="Q63" s="549"/>
      <c r="R63" s="549"/>
      <c r="S63" s="549"/>
      <c r="T63" s="549"/>
      <c r="U63" s="128"/>
      <c r="V63" s="128"/>
      <c r="W63" s="128"/>
      <c r="X63" s="128"/>
      <c r="Y63" s="128"/>
      <c r="Z63" s="128"/>
    </row>
    <row r="64" spans="1:26" ht="12.75" customHeight="1">
      <c r="A64" s="128"/>
      <c r="B64" s="128"/>
      <c r="C64" s="128"/>
      <c r="D64" s="553" t="s">
        <v>150</v>
      </c>
      <c r="E64" s="554"/>
      <c r="F64" s="554"/>
      <c r="G64" s="554"/>
      <c r="H64" s="554"/>
      <c r="I64" s="554"/>
      <c r="J64" s="554"/>
      <c r="K64" s="543"/>
      <c r="L64" s="128"/>
      <c r="M64" s="564" t="s">
        <v>175</v>
      </c>
      <c r="N64" s="554"/>
      <c r="O64" s="554"/>
      <c r="P64" s="554"/>
      <c r="Q64" s="554"/>
      <c r="R64" s="554"/>
      <c r="S64" s="554"/>
      <c r="T64" s="543"/>
      <c r="U64" s="128"/>
      <c r="V64" s="128"/>
      <c r="W64" s="128"/>
      <c r="X64" s="128"/>
      <c r="Y64" s="128"/>
      <c r="Z64" s="128"/>
    </row>
    <row r="65" spans="1:26" ht="12.75" customHeight="1">
      <c r="A65" s="128"/>
      <c r="B65" s="128"/>
      <c r="C65" s="128"/>
      <c r="D65" s="545" t="s">
        <v>176</v>
      </c>
      <c r="E65" s="546"/>
      <c r="F65" s="546"/>
      <c r="G65" s="546"/>
      <c r="H65" s="546"/>
      <c r="I65" s="546"/>
      <c r="J65" s="546"/>
      <c r="K65" s="547"/>
      <c r="L65" s="128"/>
      <c r="M65" s="565" t="s">
        <v>177</v>
      </c>
      <c r="N65" s="546"/>
      <c r="O65" s="546"/>
      <c r="P65" s="546"/>
      <c r="Q65" s="546"/>
      <c r="R65" s="546"/>
      <c r="S65" s="546"/>
      <c r="T65" s="547"/>
      <c r="U65" s="128"/>
      <c r="V65" s="128"/>
      <c r="W65" s="128"/>
      <c r="X65" s="128"/>
      <c r="Y65" s="128"/>
      <c r="Z65" s="128"/>
    </row>
    <row r="66" spans="1:26" ht="12.75" customHeight="1">
      <c r="A66" s="128"/>
      <c r="B66" s="128"/>
      <c r="C66" s="128"/>
      <c r="D66" s="548"/>
      <c r="E66" s="549"/>
      <c r="F66" s="549"/>
      <c r="G66" s="549"/>
      <c r="H66" s="549"/>
      <c r="I66" s="549"/>
      <c r="J66" s="549"/>
      <c r="K66" s="550"/>
      <c r="L66" s="128"/>
      <c r="M66" s="548"/>
      <c r="N66" s="549"/>
      <c r="O66" s="549"/>
      <c r="P66" s="549"/>
      <c r="Q66" s="549"/>
      <c r="R66" s="549"/>
      <c r="S66" s="549"/>
      <c r="T66" s="550"/>
      <c r="U66" s="128"/>
      <c r="V66" s="128"/>
      <c r="W66" s="128"/>
      <c r="X66" s="128"/>
      <c r="Y66" s="128"/>
      <c r="Z66" s="128"/>
    </row>
    <row r="67" spans="1:26" ht="12.75" customHeight="1">
      <c r="A67" s="128"/>
      <c r="B67" s="128"/>
      <c r="C67" s="128"/>
      <c r="D67" s="551" t="s">
        <v>153</v>
      </c>
      <c r="E67" s="543"/>
      <c r="F67" s="552" t="s">
        <v>154</v>
      </c>
      <c r="G67" s="543"/>
      <c r="H67" s="542" t="s">
        <v>155</v>
      </c>
      <c r="I67" s="543"/>
      <c r="J67" s="544" t="s">
        <v>156</v>
      </c>
      <c r="K67" s="543"/>
      <c r="L67" s="128"/>
      <c r="M67" s="551" t="s">
        <v>153</v>
      </c>
      <c r="N67" s="543"/>
      <c r="O67" s="552" t="s">
        <v>154</v>
      </c>
      <c r="P67" s="543"/>
      <c r="Q67" s="542" t="s">
        <v>155</v>
      </c>
      <c r="R67" s="543"/>
      <c r="S67" s="544" t="s">
        <v>156</v>
      </c>
      <c r="T67" s="543"/>
      <c r="U67" s="128"/>
      <c r="V67" s="128"/>
      <c r="W67" s="128"/>
      <c r="X67" s="128"/>
      <c r="Y67" s="128"/>
      <c r="Z67" s="128"/>
    </row>
    <row r="68" spans="1:26" ht="12.75" customHeight="1">
      <c r="A68" s="128"/>
      <c r="B68" s="128"/>
      <c r="C68" s="128"/>
      <c r="D68" s="172" t="s">
        <v>62</v>
      </c>
      <c r="E68" s="173" t="s">
        <v>157</v>
      </c>
      <c r="F68" s="172" t="s">
        <v>62</v>
      </c>
      <c r="G68" s="173" t="s">
        <v>157</v>
      </c>
      <c r="H68" s="172" t="s">
        <v>62</v>
      </c>
      <c r="I68" s="173" t="s">
        <v>157</v>
      </c>
      <c r="J68" s="172" t="s">
        <v>62</v>
      </c>
      <c r="K68" s="173" t="s">
        <v>157</v>
      </c>
      <c r="L68" s="128"/>
      <c r="M68" s="172" t="s">
        <v>62</v>
      </c>
      <c r="N68" s="173" t="s">
        <v>157</v>
      </c>
      <c r="O68" s="172" t="s">
        <v>62</v>
      </c>
      <c r="P68" s="173" t="s">
        <v>157</v>
      </c>
      <c r="Q68" s="172" t="s">
        <v>62</v>
      </c>
      <c r="R68" s="173" t="s">
        <v>157</v>
      </c>
      <c r="S68" s="172" t="s">
        <v>62</v>
      </c>
      <c r="T68" s="173" t="s">
        <v>157</v>
      </c>
      <c r="U68" s="128"/>
      <c r="V68" s="128"/>
      <c r="W68" s="128"/>
      <c r="X68" s="128"/>
      <c r="Y68" s="128"/>
      <c r="Z68" s="128"/>
    </row>
    <row r="69" spans="1:26" ht="12.75" customHeight="1">
      <c r="A69" s="128"/>
      <c r="B69" s="128"/>
      <c r="C69" s="128" t="s">
        <v>159</v>
      </c>
      <c r="D69" s="174">
        <f>(1928*0.1)+1928</f>
        <v>2120.8000000000002</v>
      </c>
      <c r="E69" s="174">
        <f t="shared" ref="E69:E77" si="54">D69-(D69*0.3)</f>
        <v>1484.5600000000002</v>
      </c>
      <c r="F69" s="174">
        <f>1876.75+(1876.75*0.1)</f>
        <v>2064.4250000000002</v>
      </c>
      <c r="G69" s="174">
        <f t="shared" ref="G69:G77" si="55">F69-(F69*0.3)</f>
        <v>1445.0975000000003</v>
      </c>
      <c r="H69" s="175" t="s">
        <v>160</v>
      </c>
      <c r="I69" s="175" t="s">
        <v>160</v>
      </c>
      <c r="J69" s="175" t="s">
        <v>160</v>
      </c>
      <c r="K69" s="175" t="s">
        <v>160</v>
      </c>
      <c r="L69" s="128"/>
      <c r="M69" s="134">
        <v>2969.12</v>
      </c>
      <c r="N69" s="134">
        <v>2078.384</v>
      </c>
      <c r="O69" s="176">
        <v>2890.1950000000002</v>
      </c>
      <c r="P69" s="134">
        <v>2023.1365000000003</v>
      </c>
      <c r="Q69" s="134" t="s">
        <v>160</v>
      </c>
      <c r="R69" s="134" t="s">
        <v>160</v>
      </c>
      <c r="S69" s="134" t="s">
        <v>160</v>
      </c>
      <c r="T69" s="134" t="s">
        <v>160</v>
      </c>
      <c r="U69" s="128"/>
      <c r="V69" s="177">
        <f>+O69-P69</f>
        <v>867.05849999999987</v>
      </c>
      <c r="W69" s="128"/>
      <c r="X69" s="128"/>
      <c r="Y69" s="128"/>
      <c r="Z69" s="128"/>
    </row>
    <row r="70" spans="1:26" ht="12.75" customHeight="1">
      <c r="A70" s="128"/>
      <c r="B70" s="128"/>
      <c r="C70" s="128" t="s">
        <v>161</v>
      </c>
      <c r="D70" s="178">
        <f t="shared" ref="D70:D71" si="56">(1828*0.1)+1828</f>
        <v>2010.8</v>
      </c>
      <c r="E70" s="174">
        <f t="shared" si="54"/>
        <v>1407.56</v>
      </c>
      <c r="F70" s="174">
        <f t="shared" ref="F70:F71" si="57">1776.75+(1776.75*0.1)</f>
        <v>1954.425</v>
      </c>
      <c r="G70" s="174">
        <f t="shared" si="55"/>
        <v>1368.0974999999999</v>
      </c>
      <c r="H70" s="179" t="s">
        <v>160</v>
      </c>
      <c r="I70" s="179" t="s">
        <v>160</v>
      </c>
      <c r="J70" s="179" t="s">
        <v>160</v>
      </c>
      <c r="K70" s="179" t="s">
        <v>160</v>
      </c>
      <c r="L70" s="128"/>
      <c r="M70" s="134">
        <v>2614.04</v>
      </c>
      <c r="N70" s="134">
        <v>1829.828</v>
      </c>
      <c r="O70" s="176">
        <v>2540.7525000000001</v>
      </c>
      <c r="P70" s="134">
        <v>1778.5267499999998</v>
      </c>
      <c r="Q70" s="134" t="s">
        <v>160</v>
      </c>
      <c r="R70" s="134" t="s">
        <v>160</v>
      </c>
      <c r="S70" s="134" t="s">
        <v>160</v>
      </c>
      <c r="T70" s="134" t="s">
        <v>160</v>
      </c>
      <c r="U70" s="128"/>
      <c r="V70" s="177">
        <f>+V69/O69</f>
        <v>0.29999999999999993</v>
      </c>
      <c r="W70" s="128"/>
      <c r="X70" s="128"/>
      <c r="Y70" s="128"/>
      <c r="Z70" s="128"/>
    </row>
    <row r="71" spans="1:26" ht="12.75" customHeight="1">
      <c r="A71" s="128"/>
      <c r="B71" s="128"/>
      <c r="C71" s="128" t="s">
        <v>162</v>
      </c>
      <c r="D71" s="178">
        <f t="shared" si="56"/>
        <v>2010.8</v>
      </c>
      <c r="E71" s="174">
        <f t="shared" si="54"/>
        <v>1407.56</v>
      </c>
      <c r="F71" s="174">
        <f t="shared" si="57"/>
        <v>1954.425</v>
      </c>
      <c r="G71" s="174">
        <f t="shared" si="55"/>
        <v>1368.0974999999999</v>
      </c>
      <c r="H71" s="179" t="s">
        <v>160</v>
      </c>
      <c r="I71" s="179" t="s">
        <v>160</v>
      </c>
      <c r="J71" s="179" t="s">
        <v>160</v>
      </c>
      <c r="K71" s="179" t="s">
        <v>160</v>
      </c>
      <c r="L71" s="128"/>
      <c r="M71" s="134">
        <v>2412.96</v>
      </c>
      <c r="N71" s="134">
        <v>1689.0719999999999</v>
      </c>
      <c r="O71" s="176">
        <v>2345.31</v>
      </c>
      <c r="P71" s="134">
        <v>1641.7169999999999</v>
      </c>
      <c r="Q71" s="134" t="s">
        <v>160</v>
      </c>
      <c r="R71" s="134" t="s">
        <v>160</v>
      </c>
      <c r="S71" s="134" t="s">
        <v>160</v>
      </c>
      <c r="T71" s="134" t="s">
        <v>160</v>
      </c>
      <c r="U71" s="128"/>
      <c r="V71" s="128"/>
      <c r="W71" s="128"/>
      <c r="X71" s="128"/>
      <c r="Y71" s="128"/>
      <c r="Z71" s="128"/>
    </row>
    <row r="72" spans="1:26" ht="12.75" customHeight="1">
      <c r="A72" s="128"/>
      <c r="B72" s="128"/>
      <c r="C72" s="128" t="s">
        <v>163</v>
      </c>
      <c r="D72" s="178">
        <f>(1680*0.1)+1680</f>
        <v>1848</v>
      </c>
      <c r="E72" s="174">
        <f t="shared" si="54"/>
        <v>1293.5999999999999</v>
      </c>
      <c r="F72" s="178">
        <f>1545+(1545*0.1)</f>
        <v>1699.5</v>
      </c>
      <c r="G72" s="174">
        <f t="shared" si="55"/>
        <v>1189.6500000000001</v>
      </c>
      <c r="H72" s="179" t="s">
        <v>160</v>
      </c>
      <c r="I72" s="179" t="s">
        <v>160</v>
      </c>
      <c r="J72" s="179" t="s">
        <v>160</v>
      </c>
      <c r="K72" s="179" t="s">
        <v>160</v>
      </c>
      <c r="L72" s="128"/>
      <c r="M72" s="134">
        <v>2310</v>
      </c>
      <c r="N72" s="134">
        <v>1617</v>
      </c>
      <c r="O72" s="176">
        <v>2124.375</v>
      </c>
      <c r="P72" s="134">
        <v>1487.0625</v>
      </c>
      <c r="Q72" s="134" t="s">
        <v>160</v>
      </c>
      <c r="R72" s="134" t="s">
        <v>160</v>
      </c>
      <c r="S72" s="134" t="s">
        <v>160</v>
      </c>
      <c r="T72" s="134" t="s">
        <v>160</v>
      </c>
      <c r="U72" s="128"/>
      <c r="V72" s="128"/>
      <c r="W72" s="128"/>
      <c r="X72" s="128"/>
      <c r="Y72" s="128"/>
      <c r="Z72" s="128"/>
    </row>
    <row r="73" spans="1:26" ht="12.75" customHeight="1">
      <c r="A73" s="128"/>
      <c r="B73" s="128"/>
      <c r="C73" s="128" t="s">
        <v>164</v>
      </c>
      <c r="D73" s="180">
        <f t="shared" ref="D73:D74" si="58">(1515*0.1)+1515</f>
        <v>1666.5</v>
      </c>
      <c r="E73" s="181">
        <f t="shared" si="54"/>
        <v>1166.55</v>
      </c>
      <c r="F73" s="180">
        <f t="shared" ref="F73:F74" si="59">1345+(1345*0.1)</f>
        <v>1479.5</v>
      </c>
      <c r="G73" s="181">
        <f t="shared" si="55"/>
        <v>1035.6500000000001</v>
      </c>
      <c r="H73" s="182" t="s">
        <v>160</v>
      </c>
      <c r="I73" s="182" t="s">
        <v>160</v>
      </c>
      <c r="J73" s="182" t="s">
        <v>160</v>
      </c>
      <c r="K73" s="182" t="s">
        <v>160</v>
      </c>
      <c r="L73" s="128"/>
      <c r="M73" s="183">
        <v>2083.125</v>
      </c>
      <c r="N73" s="183">
        <v>1458.1875</v>
      </c>
      <c r="O73" s="184">
        <v>1849.375</v>
      </c>
      <c r="P73" s="183">
        <v>1294.5625</v>
      </c>
      <c r="Q73" s="183" t="s">
        <v>160</v>
      </c>
      <c r="R73" s="183" t="s">
        <v>160</v>
      </c>
      <c r="S73" s="183" t="s">
        <v>160</v>
      </c>
      <c r="T73" s="183" t="s">
        <v>160</v>
      </c>
      <c r="U73" s="128"/>
      <c r="V73" s="128"/>
      <c r="W73" s="128"/>
      <c r="X73" s="128"/>
      <c r="Y73" s="128"/>
      <c r="Z73" s="128"/>
    </row>
    <row r="74" spans="1:26" ht="12.75" customHeight="1">
      <c r="A74" s="152"/>
      <c r="B74" s="153"/>
      <c r="C74" s="153" t="s">
        <v>165</v>
      </c>
      <c r="D74" s="185">
        <f t="shared" si="58"/>
        <v>1666.5</v>
      </c>
      <c r="E74" s="185">
        <f t="shared" si="54"/>
        <v>1166.55</v>
      </c>
      <c r="F74" s="185">
        <f t="shared" si="59"/>
        <v>1479.5</v>
      </c>
      <c r="G74" s="185">
        <f t="shared" si="55"/>
        <v>1035.6500000000001</v>
      </c>
      <c r="H74" s="185">
        <f>1345+(1345*0.1)</f>
        <v>1479.5</v>
      </c>
      <c r="I74" s="185">
        <f t="shared" ref="I74:I75" si="60">H74-(H74*0.3)</f>
        <v>1035.6500000000001</v>
      </c>
      <c r="J74" s="185">
        <v>850</v>
      </c>
      <c r="K74" s="186">
        <v>595</v>
      </c>
      <c r="L74" s="153"/>
      <c r="M74" s="187">
        <v>1999.8</v>
      </c>
      <c r="N74" s="187">
        <v>1399.86</v>
      </c>
      <c r="O74" s="188">
        <v>1775.3999999999999</v>
      </c>
      <c r="P74" s="187">
        <v>1242.78</v>
      </c>
      <c r="Q74" s="187">
        <v>1775.3999999999999</v>
      </c>
      <c r="R74" s="187">
        <v>1242.78</v>
      </c>
      <c r="S74" s="187">
        <v>1020</v>
      </c>
      <c r="T74" s="187">
        <v>714</v>
      </c>
      <c r="U74" s="153"/>
      <c r="V74" s="153"/>
      <c r="W74" s="153"/>
      <c r="X74" s="153"/>
      <c r="Y74" s="153"/>
      <c r="Z74" s="153"/>
    </row>
    <row r="75" spans="1:26" ht="12.75" customHeight="1">
      <c r="A75" s="159"/>
      <c r="B75" s="128"/>
      <c r="C75" s="128" t="s">
        <v>166</v>
      </c>
      <c r="D75" s="189">
        <v>1470</v>
      </c>
      <c r="E75" s="174">
        <f t="shared" si="54"/>
        <v>1029</v>
      </c>
      <c r="F75" s="189">
        <v>1310</v>
      </c>
      <c r="G75" s="174">
        <f t="shared" si="55"/>
        <v>917</v>
      </c>
      <c r="H75" s="189">
        <v>1310</v>
      </c>
      <c r="I75" s="189">
        <f t="shared" si="60"/>
        <v>917</v>
      </c>
      <c r="J75" s="189">
        <v>850</v>
      </c>
      <c r="K75" s="190">
        <v>595</v>
      </c>
      <c r="L75" s="128"/>
      <c r="M75" s="134">
        <v>1764</v>
      </c>
      <c r="N75" s="134">
        <v>1234.8</v>
      </c>
      <c r="O75" s="176">
        <v>1572</v>
      </c>
      <c r="P75" s="134">
        <v>1100.3999999999999</v>
      </c>
      <c r="Q75" s="134">
        <v>1572</v>
      </c>
      <c r="R75" s="134">
        <v>1100.3999999999999</v>
      </c>
      <c r="S75" s="134">
        <v>1020</v>
      </c>
      <c r="T75" s="134">
        <v>714</v>
      </c>
      <c r="U75" s="128"/>
      <c r="V75" s="128"/>
      <c r="W75" s="128"/>
      <c r="X75" s="128"/>
      <c r="Y75" s="128"/>
      <c r="Z75" s="128"/>
    </row>
    <row r="76" spans="1:26" ht="12.75" customHeight="1">
      <c r="A76" s="159"/>
      <c r="B76" s="128"/>
      <c r="C76" s="128" t="s">
        <v>167</v>
      </c>
      <c r="D76" s="189">
        <v>1470</v>
      </c>
      <c r="E76" s="174">
        <f t="shared" si="54"/>
        <v>1029</v>
      </c>
      <c r="F76" s="189">
        <v>1310</v>
      </c>
      <c r="G76" s="174">
        <f t="shared" si="55"/>
        <v>917</v>
      </c>
      <c r="H76" s="191" t="s">
        <v>160</v>
      </c>
      <c r="I76" s="191" t="s">
        <v>160</v>
      </c>
      <c r="J76" s="191" t="s">
        <v>160</v>
      </c>
      <c r="K76" s="191" t="s">
        <v>160</v>
      </c>
      <c r="L76" s="128"/>
      <c r="M76" s="134">
        <v>1764</v>
      </c>
      <c r="N76" s="134">
        <v>1234.8</v>
      </c>
      <c r="O76" s="176">
        <v>1572</v>
      </c>
      <c r="P76" s="134">
        <v>1100.3999999999999</v>
      </c>
      <c r="Q76" s="134" t="s">
        <v>160</v>
      </c>
      <c r="R76" s="134" t="s">
        <v>160</v>
      </c>
      <c r="S76" s="134" t="s">
        <v>160</v>
      </c>
      <c r="T76" s="134" t="s">
        <v>160</v>
      </c>
      <c r="U76" s="128"/>
      <c r="V76" s="128"/>
      <c r="W76" s="128"/>
      <c r="X76" s="128"/>
      <c r="Y76" s="128"/>
      <c r="Z76" s="128"/>
    </row>
    <row r="77" spans="1:26" ht="12.75" customHeight="1">
      <c r="A77" s="159"/>
      <c r="B77" s="128"/>
      <c r="C77" s="128" t="s">
        <v>168</v>
      </c>
      <c r="D77" s="189">
        <v>1470</v>
      </c>
      <c r="E77" s="174">
        <f t="shared" si="54"/>
        <v>1029</v>
      </c>
      <c r="F77" s="189">
        <v>1310</v>
      </c>
      <c r="G77" s="174">
        <f t="shared" si="55"/>
        <v>917</v>
      </c>
      <c r="H77" s="191" t="s">
        <v>160</v>
      </c>
      <c r="I77" s="191" t="s">
        <v>160</v>
      </c>
      <c r="J77" s="191" t="s">
        <v>160</v>
      </c>
      <c r="K77" s="191" t="s">
        <v>160</v>
      </c>
      <c r="L77" s="128"/>
      <c r="M77" s="134">
        <v>1764</v>
      </c>
      <c r="N77" s="134">
        <v>1234.8</v>
      </c>
      <c r="O77" s="176">
        <v>1572</v>
      </c>
      <c r="P77" s="134">
        <v>1100.3999999999999</v>
      </c>
      <c r="Q77" s="134" t="s">
        <v>160</v>
      </c>
      <c r="R77" s="134" t="s">
        <v>160</v>
      </c>
      <c r="S77" s="134" t="s">
        <v>160</v>
      </c>
      <c r="T77" s="134" t="s">
        <v>160</v>
      </c>
      <c r="U77" s="128"/>
      <c r="V77" s="128"/>
      <c r="W77" s="128"/>
      <c r="X77" s="128"/>
      <c r="Y77" s="128"/>
      <c r="Z77" s="128"/>
    </row>
    <row r="78" spans="1:26" ht="12.75" customHeight="1">
      <c r="A78" s="161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 spans="1:26" ht="12.7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spans="1:26" ht="29.25" customHeight="1">
      <c r="A80" s="128"/>
      <c r="B80" s="128"/>
      <c r="C80" s="128"/>
      <c r="D80" s="535" t="s">
        <v>169</v>
      </c>
      <c r="E80" s="507"/>
      <c r="F80" s="507"/>
      <c r="G80" s="507"/>
      <c r="H80" s="507"/>
      <c r="I80" s="507"/>
      <c r="J80" s="507"/>
      <c r="K80" s="507"/>
      <c r="L80" s="128"/>
      <c r="M80" s="535" t="s">
        <v>170</v>
      </c>
      <c r="N80" s="507"/>
      <c r="O80" s="507"/>
      <c r="P80" s="507"/>
      <c r="Q80" s="507"/>
      <c r="R80" s="507"/>
      <c r="S80" s="507"/>
      <c r="T80" s="507"/>
      <c r="U80" s="128"/>
      <c r="V80" s="128"/>
      <c r="W80" s="128"/>
      <c r="X80" s="128"/>
      <c r="Y80" s="128"/>
      <c r="Z80" s="128"/>
    </row>
    <row r="81" spans="1:26" ht="12.75" customHeight="1">
      <c r="A81" s="128"/>
      <c r="B81" s="128"/>
      <c r="C81" s="128" t="s">
        <v>159</v>
      </c>
      <c r="D81" s="143">
        <f t="shared" ref="D81:G81" si="61">+M69-D69</f>
        <v>848.31999999999971</v>
      </c>
      <c r="E81" s="143">
        <f t="shared" si="61"/>
        <v>593.82399999999984</v>
      </c>
      <c r="F81" s="144">
        <f t="shared" si="61"/>
        <v>825.77</v>
      </c>
      <c r="G81" s="143">
        <f t="shared" si="61"/>
        <v>578.03899999999999</v>
      </c>
      <c r="H81" s="143"/>
      <c r="I81" s="143"/>
      <c r="J81" s="143"/>
      <c r="K81" s="143"/>
      <c r="L81" s="128"/>
      <c r="M81" s="80">
        <f t="shared" ref="M81:P81" si="62">+D81/D69</f>
        <v>0.39999999999999986</v>
      </c>
      <c r="N81" s="80">
        <f t="shared" si="62"/>
        <v>0.39999999999999986</v>
      </c>
      <c r="O81" s="146">
        <f t="shared" si="62"/>
        <v>0.39999999999999997</v>
      </c>
      <c r="P81" s="147">
        <f t="shared" si="62"/>
        <v>0.39999999999999991</v>
      </c>
      <c r="Q81" s="80"/>
      <c r="R81" s="80"/>
      <c r="S81" s="80"/>
      <c r="T81" s="80"/>
      <c r="U81" s="128"/>
      <c r="V81" s="128"/>
      <c r="W81" s="128"/>
      <c r="X81" s="128"/>
      <c r="Y81" s="128"/>
      <c r="Z81" s="128"/>
    </row>
    <row r="82" spans="1:26" ht="12.75" customHeight="1">
      <c r="A82" s="128"/>
      <c r="B82" s="128"/>
      <c r="C82" s="128" t="s">
        <v>161</v>
      </c>
      <c r="D82" s="143">
        <f t="shared" ref="D82:G82" si="63">+M70-D70</f>
        <v>603.24</v>
      </c>
      <c r="E82" s="143">
        <f t="shared" si="63"/>
        <v>422.26800000000003</v>
      </c>
      <c r="F82" s="144">
        <f t="shared" si="63"/>
        <v>586.3275000000001</v>
      </c>
      <c r="G82" s="143">
        <f t="shared" si="63"/>
        <v>410.42924999999991</v>
      </c>
      <c r="H82" s="143"/>
      <c r="I82" s="143"/>
      <c r="J82" s="143"/>
      <c r="K82" s="143"/>
      <c r="L82" s="128"/>
      <c r="M82" s="80">
        <f t="shared" ref="M82:P82" si="64">+D82/D70</f>
        <v>0.3</v>
      </c>
      <c r="N82" s="80">
        <f t="shared" si="64"/>
        <v>0.30000000000000004</v>
      </c>
      <c r="O82" s="171">
        <f t="shared" si="64"/>
        <v>0.30000000000000004</v>
      </c>
      <c r="P82" s="147">
        <f t="shared" si="64"/>
        <v>0.3</v>
      </c>
      <c r="Q82" s="80"/>
      <c r="R82" s="80"/>
      <c r="S82" s="80"/>
      <c r="T82" s="80"/>
      <c r="U82" s="128"/>
      <c r="V82" s="128"/>
      <c r="W82" s="128"/>
      <c r="X82" s="128"/>
      <c r="Y82" s="128"/>
      <c r="Z82" s="128"/>
    </row>
    <row r="83" spans="1:26" ht="12.75" customHeight="1">
      <c r="A83" s="128"/>
      <c r="B83" s="128"/>
      <c r="C83" s="128" t="s">
        <v>162</v>
      </c>
      <c r="D83" s="143">
        <f t="shared" ref="D83:G83" si="65">+M71-D71</f>
        <v>402.16000000000008</v>
      </c>
      <c r="E83" s="143">
        <f t="shared" si="65"/>
        <v>281.51199999999994</v>
      </c>
      <c r="F83" s="144">
        <f t="shared" si="65"/>
        <v>390.88499999999999</v>
      </c>
      <c r="G83" s="143">
        <f t="shared" si="65"/>
        <v>273.61950000000002</v>
      </c>
      <c r="H83" s="143"/>
      <c r="I83" s="143"/>
      <c r="J83" s="143"/>
      <c r="K83" s="143"/>
      <c r="L83" s="128"/>
      <c r="M83" s="80">
        <f t="shared" ref="M83:P83" si="66">+D83/D71</f>
        <v>0.20000000000000004</v>
      </c>
      <c r="N83" s="80">
        <f t="shared" si="66"/>
        <v>0.19999999999999996</v>
      </c>
      <c r="O83" s="171">
        <f t="shared" si="66"/>
        <v>0.2</v>
      </c>
      <c r="P83" s="147">
        <f t="shared" si="66"/>
        <v>0.20000000000000004</v>
      </c>
      <c r="Q83" s="80"/>
      <c r="R83" s="80"/>
      <c r="S83" s="80"/>
      <c r="T83" s="80"/>
      <c r="U83" s="128"/>
      <c r="V83" s="128"/>
      <c r="W83" s="128"/>
      <c r="X83" s="128"/>
      <c r="Y83" s="128"/>
      <c r="Z83" s="128"/>
    </row>
    <row r="84" spans="1:26" ht="12.75" customHeight="1">
      <c r="A84" s="128"/>
      <c r="B84" s="128"/>
      <c r="C84" s="128" t="s">
        <v>163</v>
      </c>
      <c r="D84" s="143">
        <f t="shared" ref="D84:G84" si="67">+M72-D72</f>
        <v>462</v>
      </c>
      <c r="E84" s="143">
        <f t="shared" si="67"/>
        <v>323.40000000000009</v>
      </c>
      <c r="F84" s="144">
        <f t="shared" si="67"/>
        <v>424.875</v>
      </c>
      <c r="G84" s="143">
        <f t="shared" si="67"/>
        <v>297.41249999999991</v>
      </c>
      <c r="H84" s="143"/>
      <c r="I84" s="143"/>
      <c r="J84" s="143"/>
      <c r="K84" s="143"/>
      <c r="L84" s="128"/>
      <c r="M84" s="80">
        <f t="shared" ref="M84:P84" si="68">+D84/D72</f>
        <v>0.25</v>
      </c>
      <c r="N84" s="80">
        <f t="shared" si="68"/>
        <v>0.25000000000000011</v>
      </c>
      <c r="O84" s="171">
        <f t="shared" si="68"/>
        <v>0.25</v>
      </c>
      <c r="P84" s="147">
        <f t="shared" si="68"/>
        <v>0.24999999999999992</v>
      </c>
      <c r="Q84" s="80"/>
      <c r="R84" s="80"/>
      <c r="S84" s="80"/>
      <c r="T84" s="80"/>
      <c r="U84" s="128"/>
      <c r="V84" s="128"/>
      <c r="W84" s="128"/>
      <c r="X84" s="128"/>
      <c r="Y84" s="128"/>
      <c r="Z84" s="128"/>
    </row>
    <row r="85" spans="1:26" ht="12.75" customHeight="1">
      <c r="A85" s="128"/>
      <c r="B85" s="128"/>
      <c r="C85" s="128" t="s">
        <v>164</v>
      </c>
      <c r="D85" s="143">
        <f t="shared" ref="D85:G85" si="69">+M73-D73</f>
        <v>416.625</v>
      </c>
      <c r="E85" s="143">
        <f t="shared" si="69"/>
        <v>291.63750000000005</v>
      </c>
      <c r="F85" s="144">
        <f t="shared" si="69"/>
        <v>369.875</v>
      </c>
      <c r="G85" s="143">
        <f t="shared" si="69"/>
        <v>258.91249999999991</v>
      </c>
      <c r="H85" s="143"/>
      <c r="I85" s="143"/>
      <c r="J85" s="143"/>
      <c r="K85" s="143"/>
      <c r="L85" s="128"/>
      <c r="M85" s="80">
        <f t="shared" ref="M85:P85" si="70">+D85/D73</f>
        <v>0.25</v>
      </c>
      <c r="N85" s="80">
        <f t="shared" si="70"/>
        <v>0.25000000000000006</v>
      </c>
      <c r="O85" s="171">
        <f t="shared" si="70"/>
        <v>0.25</v>
      </c>
      <c r="P85" s="147">
        <f t="shared" si="70"/>
        <v>0.24999999999999989</v>
      </c>
      <c r="Q85" s="80"/>
      <c r="R85" s="80"/>
      <c r="S85" s="80"/>
      <c r="T85" s="80"/>
      <c r="U85" s="128"/>
      <c r="V85" s="128"/>
      <c r="W85" s="128"/>
      <c r="X85" s="128"/>
      <c r="Y85" s="128"/>
      <c r="Z85" s="128"/>
    </row>
    <row r="86" spans="1:26" ht="12.75" customHeight="1">
      <c r="A86" s="152"/>
      <c r="B86" s="153"/>
      <c r="C86" s="153" t="s">
        <v>165</v>
      </c>
      <c r="D86" s="154">
        <f t="shared" ref="D86:K86" si="71">+M74-D74</f>
        <v>333.29999999999995</v>
      </c>
      <c r="E86" s="154">
        <f t="shared" si="71"/>
        <v>233.30999999999995</v>
      </c>
      <c r="F86" s="155">
        <f t="shared" si="71"/>
        <v>295.89999999999986</v>
      </c>
      <c r="G86" s="154">
        <f t="shared" si="71"/>
        <v>207.12999999999988</v>
      </c>
      <c r="H86" s="154">
        <f t="shared" si="71"/>
        <v>295.89999999999986</v>
      </c>
      <c r="I86" s="154">
        <f t="shared" si="71"/>
        <v>207.12999999999988</v>
      </c>
      <c r="J86" s="154">
        <f t="shared" si="71"/>
        <v>170</v>
      </c>
      <c r="K86" s="154">
        <f t="shared" si="71"/>
        <v>119</v>
      </c>
      <c r="L86" s="153"/>
      <c r="M86" s="157">
        <f t="shared" ref="M86:T86" si="72">+D86/D74</f>
        <v>0.19999999999999998</v>
      </c>
      <c r="N86" s="157">
        <f t="shared" si="72"/>
        <v>0.19999999999999996</v>
      </c>
      <c r="O86" s="146">
        <f t="shared" si="72"/>
        <v>0.1999999999999999</v>
      </c>
      <c r="P86" s="158">
        <f t="shared" si="72"/>
        <v>0.19999999999999987</v>
      </c>
      <c r="Q86" s="157">
        <f t="shared" si="72"/>
        <v>0.1999999999999999</v>
      </c>
      <c r="R86" s="157">
        <f t="shared" si="72"/>
        <v>0.19999999999999987</v>
      </c>
      <c r="S86" s="157">
        <f t="shared" si="72"/>
        <v>0.2</v>
      </c>
      <c r="T86" s="157">
        <f t="shared" si="72"/>
        <v>0.2</v>
      </c>
      <c r="U86" s="153"/>
      <c r="V86" s="153"/>
      <c r="W86" s="153"/>
      <c r="X86" s="153"/>
      <c r="Y86" s="153"/>
      <c r="Z86" s="153"/>
    </row>
    <row r="87" spans="1:26" ht="12.75" customHeight="1">
      <c r="A87" s="159"/>
      <c r="B87" s="128"/>
      <c r="C87" s="128" t="s">
        <v>166</v>
      </c>
      <c r="D87" s="143">
        <f t="shared" ref="D87:K87" si="73">+M75-D75</f>
        <v>294</v>
      </c>
      <c r="E87" s="143">
        <f t="shared" si="73"/>
        <v>205.79999999999995</v>
      </c>
      <c r="F87" s="144">
        <f t="shared" si="73"/>
        <v>262</v>
      </c>
      <c r="G87" s="143">
        <f t="shared" si="73"/>
        <v>183.39999999999986</v>
      </c>
      <c r="H87" s="143">
        <f t="shared" si="73"/>
        <v>262</v>
      </c>
      <c r="I87" s="143">
        <f t="shared" si="73"/>
        <v>183.39999999999986</v>
      </c>
      <c r="J87" s="143">
        <f t="shared" si="73"/>
        <v>170</v>
      </c>
      <c r="K87" s="143">
        <f t="shared" si="73"/>
        <v>119</v>
      </c>
      <c r="L87" s="128"/>
      <c r="M87" s="80">
        <f t="shared" ref="M87:T87" si="74">+D87/D75</f>
        <v>0.2</v>
      </c>
      <c r="N87" s="80">
        <f t="shared" si="74"/>
        <v>0.19999999999999996</v>
      </c>
      <c r="O87" s="160">
        <f t="shared" si="74"/>
        <v>0.2</v>
      </c>
      <c r="P87" s="147">
        <f t="shared" si="74"/>
        <v>0.19999999999999984</v>
      </c>
      <c r="Q87" s="80">
        <f t="shared" si="74"/>
        <v>0.2</v>
      </c>
      <c r="R87" s="80">
        <f t="shared" si="74"/>
        <v>0.19999999999999984</v>
      </c>
      <c r="S87" s="80">
        <f t="shared" si="74"/>
        <v>0.2</v>
      </c>
      <c r="T87" s="80">
        <f t="shared" si="74"/>
        <v>0.2</v>
      </c>
      <c r="U87" s="128"/>
      <c r="V87" s="128"/>
      <c r="W87" s="128"/>
      <c r="X87" s="128"/>
      <c r="Y87" s="128"/>
      <c r="Z87" s="128"/>
    </row>
    <row r="88" spans="1:26" ht="12.75" customHeight="1">
      <c r="A88" s="159"/>
      <c r="B88" s="128"/>
      <c r="C88" s="128" t="s">
        <v>167</v>
      </c>
      <c r="D88" s="143">
        <f t="shared" ref="D88:G88" si="75">+M76-D76</f>
        <v>294</v>
      </c>
      <c r="E88" s="143">
        <f t="shared" si="75"/>
        <v>205.79999999999995</v>
      </c>
      <c r="F88" s="144">
        <f t="shared" si="75"/>
        <v>262</v>
      </c>
      <c r="G88" s="143">
        <f t="shared" si="75"/>
        <v>183.39999999999986</v>
      </c>
      <c r="H88" s="143"/>
      <c r="I88" s="143"/>
      <c r="J88" s="143"/>
      <c r="K88" s="143"/>
      <c r="L88" s="128"/>
      <c r="M88" s="80">
        <f t="shared" ref="M88:P88" si="76">+D88/D76</f>
        <v>0.2</v>
      </c>
      <c r="N88" s="80">
        <f t="shared" si="76"/>
        <v>0.19999999999999996</v>
      </c>
      <c r="O88" s="160">
        <f t="shared" si="76"/>
        <v>0.2</v>
      </c>
      <c r="P88" s="147">
        <f t="shared" si="76"/>
        <v>0.19999999999999984</v>
      </c>
      <c r="Q88" s="80"/>
      <c r="R88" s="80"/>
      <c r="S88" s="80"/>
      <c r="T88" s="80"/>
      <c r="U88" s="128"/>
      <c r="V88" s="128"/>
      <c r="W88" s="128"/>
      <c r="X88" s="128"/>
      <c r="Y88" s="128"/>
      <c r="Z88" s="128"/>
    </row>
    <row r="89" spans="1:26" ht="12.75" customHeight="1">
      <c r="A89" s="161"/>
      <c r="B89" s="162"/>
      <c r="C89" s="162" t="s">
        <v>168</v>
      </c>
      <c r="D89" s="163">
        <f t="shared" ref="D89:G89" si="77">+M77-D77</f>
        <v>294</v>
      </c>
      <c r="E89" s="163">
        <f t="shared" si="77"/>
        <v>205.79999999999995</v>
      </c>
      <c r="F89" s="164">
        <f t="shared" si="77"/>
        <v>262</v>
      </c>
      <c r="G89" s="163">
        <f t="shared" si="77"/>
        <v>183.39999999999986</v>
      </c>
      <c r="H89" s="163"/>
      <c r="I89" s="163"/>
      <c r="J89" s="163"/>
      <c r="K89" s="163"/>
      <c r="L89" s="162"/>
      <c r="M89" s="165">
        <f t="shared" ref="M89:P89" si="78">+D89/D77</f>
        <v>0.2</v>
      </c>
      <c r="N89" s="165">
        <f t="shared" si="78"/>
        <v>0.19999999999999996</v>
      </c>
      <c r="O89" s="166">
        <f t="shared" si="78"/>
        <v>0.2</v>
      </c>
      <c r="P89" s="167">
        <f t="shared" si="78"/>
        <v>0.19999999999999984</v>
      </c>
      <c r="Q89" s="165"/>
      <c r="R89" s="165"/>
      <c r="S89" s="165"/>
      <c r="T89" s="165"/>
      <c r="U89" s="162"/>
      <c r="V89" s="162"/>
      <c r="W89" s="162"/>
      <c r="X89" s="162"/>
      <c r="Y89" s="162"/>
      <c r="Z89" s="162"/>
    </row>
    <row r="90" spans="1:26" ht="12.7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spans="1:26" ht="12.7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spans="1:26" ht="12.7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spans="1:26" ht="33" customHeight="1">
      <c r="A93" s="128"/>
      <c r="B93" s="128"/>
      <c r="C93" s="128"/>
      <c r="D93" s="555" t="s">
        <v>148</v>
      </c>
      <c r="E93" s="549"/>
      <c r="F93" s="549"/>
      <c r="G93" s="549"/>
      <c r="H93" s="549"/>
      <c r="I93" s="549"/>
      <c r="J93" s="549"/>
      <c r="K93" s="549"/>
      <c r="L93" s="128"/>
      <c r="M93" s="555" t="s">
        <v>149</v>
      </c>
      <c r="N93" s="549"/>
      <c r="O93" s="549"/>
      <c r="P93" s="549"/>
      <c r="Q93" s="549"/>
      <c r="R93" s="549"/>
      <c r="S93" s="549"/>
      <c r="T93" s="549"/>
      <c r="U93" s="128"/>
      <c r="V93" s="128"/>
      <c r="W93" s="128"/>
      <c r="X93" s="128"/>
      <c r="Y93" s="128"/>
      <c r="Z93" s="128"/>
    </row>
    <row r="94" spans="1:26" ht="12.75" customHeight="1">
      <c r="A94" s="128"/>
      <c r="B94" s="128"/>
      <c r="C94" s="128"/>
      <c r="D94" s="553" t="s">
        <v>150</v>
      </c>
      <c r="E94" s="554"/>
      <c r="F94" s="554"/>
      <c r="G94" s="554"/>
      <c r="H94" s="554"/>
      <c r="I94" s="554"/>
      <c r="J94" s="554"/>
      <c r="K94" s="543"/>
      <c r="L94" s="128"/>
      <c r="M94" s="564" t="s">
        <v>175</v>
      </c>
      <c r="N94" s="554"/>
      <c r="O94" s="554"/>
      <c r="P94" s="554"/>
      <c r="Q94" s="554"/>
      <c r="R94" s="554"/>
      <c r="S94" s="554"/>
      <c r="T94" s="543"/>
      <c r="U94" s="128"/>
      <c r="V94" s="128"/>
      <c r="W94" s="128"/>
      <c r="X94" s="128"/>
      <c r="Y94" s="128"/>
      <c r="Z94" s="128"/>
    </row>
    <row r="95" spans="1:26" ht="12.75" customHeight="1">
      <c r="A95" s="128"/>
      <c r="B95" s="128"/>
      <c r="C95" s="128"/>
      <c r="D95" s="545" t="s">
        <v>178</v>
      </c>
      <c r="E95" s="546"/>
      <c r="F95" s="546"/>
      <c r="G95" s="546"/>
      <c r="H95" s="546"/>
      <c r="I95" s="546"/>
      <c r="J95" s="546"/>
      <c r="K95" s="547"/>
      <c r="L95" s="128"/>
      <c r="M95" s="563" t="s">
        <v>179</v>
      </c>
      <c r="N95" s="546"/>
      <c r="O95" s="546"/>
      <c r="P95" s="546"/>
      <c r="Q95" s="546"/>
      <c r="R95" s="546"/>
      <c r="S95" s="546"/>
      <c r="T95" s="547"/>
      <c r="U95" s="128"/>
      <c r="V95" s="128"/>
      <c r="W95" s="128"/>
      <c r="X95" s="128"/>
      <c r="Y95" s="128"/>
      <c r="Z95" s="128"/>
    </row>
    <row r="96" spans="1:26" ht="12.75" customHeight="1">
      <c r="A96" s="128"/>
      <c r="B96" s="128"/>
      <c r="C96" s="128"/>
      <c r="D96" s="548"/>
      <c r="E96" s="549"/>
      <c r="F96" s="549"/>
      <c r="G96" s="549"/>
      <c r="H96" s="549"/>
      <c r="I96" s="549"/>
      <c r="J96" s="549"/>
      <c r="K96" s="550"/>
      <c r="L96" s="128"/>
      <c r="M96" s="548"/>
      <c r="N96" s="549"/>
      <c r="O96" s="549"/>
      <c r="P96" s="549"/>
      <c r="Q96" s="549"/>
      <c r="R96" s="549"/>
      <c r="S96" s="549"/>
      <c r="T96" s="550"/>
      <c r="U96" s="128"/>
      <c r="V96" s="128"/>
      <c r="W96" s="128"/>
      <c r="X96" s="128"/>
      <c r="Y96" s="128"/>
      <c r="Z96" s="128"/>
    </row>
    <row r="97" spans="1:26" ht="12.75" customHeight="1">
      <c r="A97" s="128"/>
      <c r="B97" s="128"/>
      <c r="C97" s="128"/>
      <c r="D97" s="551" t="s">
        <v>153</v>
      </c>
      <c r="E97" s="543"/>
      <c r="F97" s="552" t="s">
        <v>154</v>
      </c>
      <c r="G97" s="543"/>
      <c r="H97" s="542" t="s">
        <v>155</v>
      </c>
      <c r="I97" s="543"/>
      <c r="J97" s="544" t="s">
        <v>156</v>
      </c>
      <c r="K97" s="543"/>
      <c r="L97" s="128"/>
      <c r="M97" s="551" t="s">
        <v>153</v>
      </c>
      <c r="N97" s="543"/>
      <c r="O97" s="552" t="s">
        <v>154</v>
      </c>
      <c r="P97" s="543"/>
      <c r="Q97" s="542" t="s">
        <v>155</v>
      </c>
      <c r="R97" s="543"/>
      <c r="S97" s="544" t="s">
        <v>156</v>
      </c>
      <c r="T97" s="543"/>
      <c r="U97" s="128"/>
      <c r="V97" s="128"/>
      <c r="W97" s="128"/>
      <c r="X97" s="128"/>
      <c r="Y97" s="128"/>
      <c r="Z97" s="128"/>
    </row>
    <row r="98" spans="1:26" ht="12.75" customHeight="1">
      <c r="A98" s="128"/>
      <c r="B98" s="128"/>
      <c r="C98" s="128"/>
      <c r="D98" s="172" t="s">
        <v>62</v>
      </c>
      <c r="E98" s="173" t="s">
        <v>157</v>
      </c>
      <c r="F98" s="172" t="s">
        <v>62</v>
      </c>
      <c r="G98" s="173" t="s">
        <v>157</v>
      </c>
      <c r="H98" s="172" t="s">
        <v>62</v>
      </c>
      <c r="I98" s="173" t="s">
        <v>157</v>
      </c>
      <c r="J98" s="172" t="s">
        <v>62</v>
      </c>
      <c r="K98" s="173" t="s">
        <v>157</v>
      </c>
      <c r="L98" s="128"/>
      <c r="M98" s="172" t="s">
        <v>62</v>
      </c>
      <c r="N98" s="173" t="s">
        <v>157</v>
      </c>
      <c r="O98" s="172" t="s">
        <v>62</v>
      </c>
      <c r="P98" s="173" t="s">
        <v>157</v>
      </c>
      <c r="Q98" s="172" t="s">
        <v>62</v>
      </c>
      <c r="R98" s="173" t="s">
        <v>157</v>
      </c>
      <c r="S98" s="172" t="s">
        <v>62</v>
      </c>
      <c r="T98" s="173" t="s">
        <v>157</v>
      </c>
      <c r="U98" s="128"/>
      <c r="V98" s="128"/>
      <c r="W98" s="128"/>
      <c r="X98" s="128"/>
      <c r="Y98" s="128"/>
      <c r="Z98" s="128"/>
    </row>
    <row r="99" spans="1:26" ht="12.75" customHeight="1">
      <c r="A99" s="128"/>
      <c r="B99" s="128"/>
      <c r="C99" s="128" t="s">
        <v>159</v>
      </c>
      <c r="D99" s="174">
        <v>1882</v>
      </c>
      <c r="E99" s="174">
        <f t="shared" ref="E99:E107" si="79">D99-(D99*0.3)</f>
        <v>1317.4</v>
      </c>
      <c r="F99" s="174">
        <v>1819</v>
      </c>
      <c r="G99" s="174">
        <f t="shared" ref="G99:G107" si="80">F99-(F99*0.3)</f>
        <v>1273.3000000000002</v>
      </c>
      <c r="H99" s="175" t="s">
        <v>160</v>
      </c>
      <c r="I99" s="175" t="s">
        <v>160</v>
      </c>
      <c r="J99" s="175" t="s">
        <v>160</v>
      </c>
      <c r="K99" s="175" t="s">
        <v>160</v>
      </c>
      <c r="L99" s="128"/>
      <c r="M99" s="192">
        <v>2634.7999999999997</v>
      </c>
      <c r="N99" s="193">
        <v>1844.36</v>
      </c>
      <c r="O99" s="194">
        <v>2546.6</v>
      </c>
      <c r="P99" s="193">
        <v>1782.6200000000001</v>
      </c>
      <c r="Q99" s="192" t="s">
        <v>160</v>
      </c>
      <c r="R99" s="192" t="s">
        <v>160</v>
      </c>
      <c r="S99" s="192" t="s">
        <v>160</v>
      </c>
      <c r="T99" s="192" t="s">
        <v>160</v>
      </c>
      <c r="U99" s="128"/>
      <c r="V99" s="128"/>
      <c r="W99" s="128"/>
      <c r="X99" s="128"/>
      <c r="Y99" s="128"/>
      <c r="Z99" s="128"/>
    </row>
    <row r="100" spans="1:26" ht="12.75" customHeight="1">
      <c r="A100" s="128"/>
      <c r="B100" s="128"/>
      <c r="C100" s="128" t="s">
        <v>161</v>
      </c>
      <c r="D100" s="178">
        <v>1782</v>
      </c>
      <c r="E100" s="174">
        <f t="shared" si="79"/>
        <v>1247.4000000000001</v>
      </c>
      <c r="F100" s="178">
        <v>1719</v>
      </c>
      <c r="G100" s="174">
        <f t="shared" si="80"/>
        <v>1203.3000000000002</v>
      </c>
      <c r="H100" s="179" t="s">
        <v>160</v>
      </c>
      <c r="I100" s="179" t="s">
        <v>160</v>
      </c>
      <c r="J100" s="179" t="s">
        <v>160</v>
      </c>
      <c r="K100" s="179" t="s">
        <v>160</v>
      </c>
      <c r="L100" s="128"/>
      <c r="M100" s="192">
        <v>2316.6</v>
      </c>
      <c r="N100" s="193">
        <v>1621.6200000000001</v>
      </c>
      <c r="O100" s="195">
        <v>2234.7000000000003</v>
      </c>
      <c r="P100" s="193">
        <v>1564.2900000000002</v>
      </c>
      <c r="Q100" s="196" t="s">
        <v>160</v>
      </c>
      <c r="R100" s="196" t="s">
        <v>160</v>
      </c>
      <c r="S100" s="196" t="s">
        <v>160</v>
      </c>
      <c r="T100" s="196" t="s">
        <v>160</v>
      </c>
      <c r="U100" s="128"/>
      <c r="V100" s="128"/>
      <c r="W100" s="128"/>
      <c r="X100" s="128"/>
      <c r="Y100" s="128"/>
      <c r="Z100" s="128"/>
    </row>
    <row r="101" spans="1:26" ht="12.75" customHeight="1">
      <c r="A101" s="128"/>
      <c r="B101" s="128"/>
      <c r="C101" s="128" t="s">
        <v>162</v>
      </c>
      <c r="D101" s="178">
        <v>1782</v>
      </c>
      <c r="E101" s="174">
        <f t="shared" si="79"/>
        <v>1247.4000000000001</v>
      </c>
      <c r="F101" s="178">
        <v>1719</v>
      </c>
      <c r="G101" s="174">
        <f t="shared" si="80"/>
        <v>1203.3000000000002</v>
      </c>
      <c r="H101" s="179" t="s">
        <v>160</v>
      </c>
      <c r="I101" s="179" t="s">
        <v>160</v>
      </c>
      <c r="J101" s="179" t="s">
        <v>160</v>
      </c>
      <c r="K101" s="179" t="s">
        <v>160</v>
      </c>
      <c r="L101" s="128"/>
      <c r="M101" s="192">
        <v>2138.4</v>
      </c>
      <c r="N101" s="193">
        <v>1496.88</v>
      </c>
      <c r="O101" s="195">
        <v>2062.7999999999997</v>
      </c>
      <c r="P101" s="193">
        <v>1443.9600000000003</v>
      </c>
      <c r="Q101" s="196" t="s">
        <v>160</v>
      </c>
      <c r="R101" s="196" t="s">
        <v>160</v>
      </c>
      <c r="S101" s="196" t="s">
        <v>160</v>
      </c>
      <c r="T101" s="196" t="s">
        <v>160</v>
      </c>
      <c r="U101" s="128"/>
      <c r="V101" s="128"/>
      <c r="W101" s="128"/>
      <c r="X101" s="128"/>
      <c r="Y101" s="128"/>
      <c r="Z101" s="128"/>
    </row>
    <row r="102" spans="1:26" ht="12.75" customHeight="1">
      <c r="A102" s="128"/>
      <c r="B102" s="128"/>
      <c r="C102" s="128" t="s">
        <v>163</v>
      </c>
      <c r="D102" s="178">
        <v>1550</v>
      </c>
      <c r="E102" s="174">
        <f t="shared" si="79"/>
        <v>1085</v>
      </c>
      <c r="F102" s="178">
        <v>1495</v>
      </c>
      <c r="G102" s="174">
        <f t="shared" si="80"/>
        <v>1046.5</v>
      </c>
      <c r="H102" s="179" t="s">
        <v>160</v>
      </c>
      <c r="I102" s="179" t="s">
        <v>160</v>
      </c>
      <c r="J102" s="179" t="s">
        <v>160</v>
      </c>
      <c r="K102" s="179" t="s">
        <v>160</v>
      </c>
      <c r="L102" s="128"/>
      <c r="M102" s="192">
        <v>1937.5</v>
      </c>
      <c r="N102" s="193">
        <v>1356.25</v>
      </c>
      <c r="O102" s="195">
        <v>1868.75</v>
      </c>
      <c r="P102" s="193">
        <v>1308.125</v>
      </c>
      <c r="Q102" s="196" t="s">
        <v>160</v>
      </c>
      <c r="R102" s="196" t="s">
        <v>160</v>
      </c>
      <c r="S102" s="196" t="s">
        <v>160</v>
      </c>
      <c r="T102" s="196" t="s">
        <v>160</v>
      </c>
      <c r="U102" s="128"/>
      <c r="V102" s="128"/>
      <c r="W102" s="128"/>
      <c r="X102" s="128"/>
      <c r="Y102" s="128"/>
      <c r="Z102" s="128"/>
    </row>
    <row r="103" spans="1:26" ht="12.75" customHeight="1">
      <c r="A103" s="128"/>
      <c r="B103" s="128"/>
      <c r="C103" s="128" t="s">
        <v>164</v>
      </c>
      <c r="D103" s="178">
        <v>1470</v>
      </c>
      <c r="E103" s="174">
        <f t="shared" si="79"/>
        <v>1029</v>
      </c>
      <c r="F103" s="178">
        <v>1310</v>
      </c>
      <c r="G103" s="174">
        <f t="shared" si="80"/>
        <v>917</v>
      </c>
      <c r="H103" s="179" t="s">
        <v>160</v>
      </c>
      <c r="I103" s="179" t="s">
        <v>160</v>
      </c>
      <c r="J103" s="179" t="s">
        <v>160</v>
      </c>
      <c r="K103" s="179" t="s">
        <v>160</v>
      </c>
      <c r="L103" s="128"/>
      <c r="M103" s="192">
        <v>1837.5</v>
      </c>
      <c r="N103" s="193">
        <v>1286.25</v>
      </c>
      <c r="O103" s="197">
        <v>1637.5</v>
      </c>
      <c r="P103" s="193">
        <v>1146.25</v>
      </c>
      <c r="Q103" s="196" t="s">
        <v>160</v>
      </c>
      <c r="R103" s="196" t="s">
        <v>160</v>
      </c>
      <c r="S103" s="196" t="s">
        <v>160</v>
      </c>
      <c r="T103" s="196" t="s">
        <v>160</v>
      </c>
      <c r="U103" s="128"/>
      <c r="V103" s="128"/>
      <c r="W103" s="128"/>
      <c r="X103" s="128"/>
      <c r="Y103" s="128"/>
      <c r="Z103" s="128"/>
    </row>
    <row r="104" spans="1:26" ht="12.75" customHeight="1">
      <c r="A104" s="128"/>
      <c r="B104" s="128"/>
      <c r="C104" s="128" t="s">
        <v>165</v>
      </c>
      <c r="D104" s="178">
        <v>1470</v>
      </c>
      <c r="E104" s="174">
        <f t="shared" si="79"/>
        <v>1029</v>
      </c>
      <c r="F104" s="178">
        <v>1310</v>
      </c>
      <c r="G104" s="174">
        <f t="shared" si="80"/>
        <v>917</v>
      </c>
      <c r="H104" s="178">
        <v>1310</v>
      </c>
      <c r="I104" s="178">
        <f t="shared" ref="I104:I105" si="81">H104-(H104*0.3)</f>
        <v>917</v>
      </c>
      <c r="J104" s="178">
        <v>850</v>
      </c>
      <c r="K104" s="178">
        <v>595</v>
      </c>
      <c r="L104" s="128"/>
      <c r="M104" s="192">
        <v>1764</v>
      </c>
      <c r="N104" s="193">
        <v>1234.8</v>
      </c>
      <c r="O104" s="197">
        <v>1572</v>
      </c>
      <c r="P104" s="193">
        <v>1100.3999999999999</v>
      </c>
      <c r="Q104" s="196">
        <v>1572</v>
      </c>
      <c r="R104" s="196">
        <v>1100.3999999999999</v>
      </c>
      <c r="S104" s="196">
        <v>1020</v>
      </c>
      <c r="T104" s="196">
        <v>714</v>
      </c>
      <c r="U104" s="128"/>
      <c r="V104" s="128"/>
      <c r="W104" s="128"/>
      <c r="X104" s="128"/>
      <c r="Y104" s="128"/>
      <c r="Z104" s="128"/>
    </row>
    <row r="105" spans="1:26" ht="12.75" customHeight="1">
      <c r="A105" s="128"/>
      <c r="B105" s="128"/>
      <c r="C105" s="128" t="s">
        <v>166</v>
      </c>
      <c r="D105" s="189">
        <v>1415</v>
      </c>
      <c r="E105" s="174">
        <f t="shared" si="79"/>
        <v>990.5</v>
      </c>
      <c r="F105" s="189">
        <v>1255</v>
      </c>
      <c r="G105" s="174">
        <f t="shared" si="80"/>
        <v>878.5</v>
      </c>
      <c r="H105" s="189">
        <v>1255</v>
      </c>
      <c r="I105" s="189">
        <f t="shared" si="81"/>
        <v>878.5</v>
      </c>
      <c r="J105" s="189">
        <v>850</v>
      </c>
      <c r="K105" s="189">
        <v>595</v>
      </c>
      <c r="L105" s="128"/>
      <c r="M105" s="192">
        <v>1698</v>
      </c>
      <c r="N105" s="193">
        <v>1188.5999999999999</v>
      </c>
      <c r="O105" s="197">
        <v>1506</v>
      </c>
      <c r="P105" s="193">
        <v>1054.2</v>
      </c>
      <c r="Q105" s="196">
        <v>1506</v>
      </c>
      <c r="R105" s="196">
        <v>1054.2</v>
      </c>
      <c r="S105" s="196">
        <v>1020</v>
      </c>
      <c r="T105" s="196">
        <v>714</v>
      </c>
      <c r="U105" s="128"/>
      <c r="V105" s="128"/>
      <c r="W105" s="128"/>
      <c r="X105" s="128"/>
      <c r="Y105" s="128"/>
      <c r="Z105" s="128"/>
    </row>
    <row r="106" spans="1:26" ht="12.75" customHeight="1">
      <c r="A106" s="128"/>
      <c r="B106" s="128"/>
      <c r="C106" s="128" t="s">
        <v>167</v>
      </c>
      <c r="D106" s="189">
        <v>1415</v>
      </c>
      <c r="E106" s="174">
        <f t="shared" si="79"/>
        <v>990.5</v>
      </c>
      <c r="F106" s="189">
        <v>1255</v>
      </c>
      <c r="G106" s="174">
        <f t="shared" si="80"/>
        <v>878.5</v>
      </c>
      <c r="H106" s="191" t="s">
        <v>160</v>
      </c>
      <c r="I106" s="191" t="s">
        <v>160</v>
      </c>
      <c r="J106" s="191" t="s">
        <v>160</v>
      </c>
      <c r="K106" s="191" t="s">
        <v>160</v>
      </c>
      <c r="L106" s="128"/>
      <c r="M106" s="192">
        <v>1698</v>
      </c>
      <c r="N106" s="193">
        <v>1188.5999999999999</v>
      </c>
      <c r="O106" s="197">
        <v>1506</v>
      </c>
      <c r="P106" s="193">
        <v>1054.2</v>
      </c>
      <c r="Q106" s="196" t="s">
        <v>160</v>
      </c>
      <c r="R106" s="196" t="s">
        <v>160</v>
      </c>
      <c r="S106" s="196" t="s">
        <v>160</v>
      </c>
      <c r="T106" s="196" t="s">
        <v>160</v>
      </c>
      <c r="U106" s="128"/>
      <c r="V106" s="128"/>
      <c r="W106" s="128"/>
      <c r="X106" s="128"/>
      <c r="Y106" s="128"/>
      <c r="Z106" s="128"/>
    </row>
    <row r="107" spans="1:26" ht="12.75" customHeight="1">
      <c r="A107" s="128"/>
      <c r="B107" s="128"/>
      <c r="C107" s="128" t="s">
        <v>168</v>
      </c>
      <c r="D107" s="189">
        <v>1415</v>
      </c>
      <c r="E107" s="174">
        <f t="shared" si="79"/>
        <v>990.5</v>
      </c>
      <c r="F107" s="189">
        <v>1255</v>
      </c>
      <c r="G107" s="174">
        <f t="shared" si="80"/>
        <v>878.5</v>
      </c>
      <c r="H107" s="191" t="s">
        <v>160</v>
      </c>
      <c r="I107" s="191" t="s">
        <v>160</v>
      </c>
      <c r="J107" s="191" t="s">
        <v>160</v>
      </c>
      <c r="K107" s="191" t="s">
        <v>160</v>
      </c>
      <c r="L107" s="128"/>
      <c r="M107" s="192">
        <v>1698</v>
      </c>
      <c r="N107" s="193">
        <v>1188.5999999999999</v>
      </c>
      <c r="O107" s="197">
        <v>1506</v>
      </c>
      <c r="P107" s="193">
        <v>1054.2</v>
      </c>
      <c r="Q107" s="196" t="s">
        <v>160</v>
      </c>
      <c r="R107" s="196" t="s">
        <v>160</v>
      </c>
      <c r="S107" s="196" t="s">
        <v>160</v>
      </c>
      <c r="T107" s="196" t="s">
        <v>160</v>
      </c>
      <c r="U107" s="128"/>
      <c r="V107" s="128"/>
      <c r="W107" s="128"/>
      <c r="X107" s="128"/>
      <c r="Y107" s="128"/>
      <c r="Z107" s="128"/>
    </row>
    <row r="108" spans="1:26" ht="12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spans="1:26" ht="12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spans="1:26" ht="38.25" customHeight="1">
      <c r="A110" s="128"/>
      <c r="B110" s="128"/>
      <c r="C110" s="128"/>
      <c r="D110" s="535" t="s">
        <v>169</v>
      </c>
      <c r="E110" s="507"/>
      <c r="F110" s="507"/>
      <c r="G110" s="507"/>
      <c r="H110" s="507"/>
      <c r="I110" s="507"/>
      <c r="J110" s="507"/>
      <c r="K110" s="507"/>
      <c r="L110" s="128"/>
      <c r="M110" s="535" t="s">
        <v>170</v>
      </c>
      <c r="N110" s="507"/>
      <c r="O110" s="507"/>
      <c r="P110" s="507"/>
      <c r="Q110" s="507"/>
      <c r="R110" s="507"/>
      <c r="S110" s="507"/>
      <c r="T110" s="507"/>
      <c r="U110" s="128"/>
      <c r="V110" s="128"/>
      <c r="W110" s="128"/>
      <c r="X110" s="128"/>
      <c r="Y110" s="128"/>
      <c r="Z110" s="128"/>
    </row>
    <row r="111" spans="1:26" ht="12.75" customHeight="1">
      <c r="A111" s="128"/>
      <c r="B111" s="128"/>
      <c r="C111" s="128" t="s">
        <v>159</v>
      </c>
      <c r="D111" s="143">
        <f t="shared" ref="D111:G111" si="82">+M99-D99</f>
        <v>752.79999999999973</v>
      </c>
      <c r="E111" s="143">
        <f t="shared" si="82"/>
        <v>526.95999999999981</v>
      </c>
      <c r="F111" s="144">
        <f t="shared" si="82"/>
        <v>727.59999999999991</v>
      </c>
      <c r="G111" s="143">
        <f t="shared" si="82"/>
        <v>509.31999999999994</v>
      </c>
      <c r="H111" s="143"/>
      <c r="I111" s="143"/>
      <c r="J111" s="143"/>
      <c r="K111" s="143"/>
      <c r="L111" s="128"/>
      <c r="M111" s="80">
        <f t="shared" ref="M111:P111" si="83">+D111/D99</f>
        <v>0.39999999999999986</v>
      </c>
      <c r="N111" s="80">
        <f t="shared" si="83"/>
        <v>0.3999999999999998</v>
      </c>
      <c r="O111" s="146">
        <f t="shared" si="83"/>
        <v>0.39999999999999997</v>
      </c>
      <c r="P111" s="147">
        <f t="shared" si="83"/>
        <v>0.39999999999999991</v>
      </c>
      <c r="Q111" s="80"/>
      <c r="R111" s="80"/>
      <c r="S111" s="80"/>
      <c r="T111" s="80"/>
      <c r="U111" s="128"/>
      <c r="V111" s="128"/>
      <c r="W111" s="128"/>
      <c r="X111" s="128"/>
      <c r="Y111" s="128"/>
      <c r="Z111" s="128"/>
    </row>
    <row r="112" spans="1:26" ht="12.75" customHeight="1">
      <c r="A112" s="128"/>
      <c r="B112" s="128"/>
      <c r="C112" s="128" t="s">
        <v>161</v>
      </c>
      <c r="D112" s="143">
        <f t="shared" ref="D112:G112" si="84">+M100-D100</f>
        <v>534.59999999999991</v>
      </c>
      <c r="E112" s="143">
        <f t="shared" si="84"/>
        <v>374.22</v>
      </c>
      <c r="F112" s="144">
        <f t="shared" si="84"/>
        <v>515.70000000000027</v>
      </c>
      <c r="G112" s="143">
        <f t="shared" si="84"/>
        <v>360.99</v>
      </c>
      <c r="H112" s="143"/>
      <c r="I112" s="143"/>
      <c r="J112" s="143"/>
      <c r="K112" s="143"/>
      <c r="L112" s="128"/>
      <c r="M112" s="80">
        <f t="shared" ref="M112:P112" si="85">+D112/D100</f>
        <v>0.29999999999999993</v>
      </c>
      <c r="N112" s="80">
        <f t="shared" si="85"/>
        <v>0.3</v>
      </c>
      <c r="O112" s="171">
        <f t="shared" si="85"/>
        <v>0.30000000000000016</v>
      </c>
      <c r="P112" s="147">
        <f t="shared" si="85"/>
        <v>0.3</v>
      </c>
      <c r="Q112" s="80"/>
      <c r="R112" s="80"/>
      <c r="S112" s="80"/>
      <c r="T112" s="80"/>
      <c r="U112" s="128"/>
      <c r="V112" s="128"/>
      <c r="W112" s="128"/>
      <c r="X112" s="128"/>
      <c r="Y112" s="128"/>
      <c r="Z112" s="128"/>
    </row>
    <row r="113" spans="1:26" ht="12.75" customHeight="1">
      <c r="A113" s="128"/>
      <c r="B113" s="128"/>
      <c r="C113" s="128" t="s">
        <v>162</v>
      </c>
      <c r="D113" s="143">
        <f t="shared" ref="D113:G113" si="86">+M101-D101</f>
        <v>356.40000000000009</v>
      </c>
      <c r="E113" s="143">
        <f t="shared" si="86"/>
        <v>249.48000000000002</v>
      </c>
      <c r="F113" s="144">
        <f t="shared" si="86"/>
        <v>343.79999999999973</v>
      </c>
      <c r="G113" s="143">
        <f t="shared" si="86"/>
        <v>240.66000000000008</v>
      </c>
      <c r="H113" s="143"/>
      <c r="I113" s="143"/>
      <c r="J113" s="143"/>
      <c r="K113" s="143"/>
      <c r="L113" s="128"/>
      <c r="M113" s="80">
        <f t="shared" ref="M113:P113" si="87">+D113/D101</f>
        <v>0.20000000000000004</v>
      </c>
      <c r="N113" s="80">
        <f t="shared" si="87"/>
        <v>0.2</v>
      </c>
      <c r="O113" s="171">
        <f t="shared" si="87"/>
        <v>0.19999999999999984</v>
      </c>
      <c r="P113" s="147">
        <f t="shared" si="87"/>
        <v>0.20000000000000004</v>
      </c>
      <c r="Q113" s="80"/>
      <c r="R113" s="80"/>
      <c r="S113" s="80"/>
      <c r="T113" s="80"/>
      <c r="U113" s="128"/>
      <c r="V113" s="128"/>
      <c r="W113" s="128"/>
      <c r="X113" s="128"/>
      <c r="Y113" s="128"/>
      <c r="Z113" s="128"/>
    </row>
    <row r="114" spans="1:26" ht="12.75" customHeight="1">
      <c r="A114" s="128"/>
      <c r="B114" s="128"/>
      <c r="C114" s="128" t="s">
        <v>163</v>
      </c>
      <c r="D114" s="143">
        <f t="shared" ref="D114:G114" si="88">+M102-D102</f>
        <v>387.5</v>
      </c>
      <c r="E114" s="143">
        <f t="shared" si="88"/>
        <v>271.25</v>
      </c>
      <c r="F114" s="144">
        <f t="shared" si="88"/>
        <v>373.75</v>
      </c>
      <c r="G114" s="143">
        <f t="shared" si="88"/>
        <v>261.625</v>
      </c>
      <c r="H114" s="143"/>
      <c r="I114" s="143"/>
      <c r="J114" s="143"/>
      <c r="K114" s="143"/>
      <c r="L114" s="128"/>
      <c r="M114" s="80">
        <f t="shared" ref="M114:P114" si="89">+D114/D102</f>
        <v>0.25</v>
      </c>
      <c r="N114" s="80">
        <f t="shared" si="89"/>
        <v>0.25</v>
      </c>
      <c r="O114" s="171">
        <f t="shared" si="89"/>
        <v>0.25</v>
      </c>
      <c r="P114" s="147">
        <f t="shared" si="89"/>
        <v>0.25</v>
      </c>
      <c r="Q114" s="80"/>
      <c r="R114" s="80"/>
      <c r="S114" s="80"/>
      <c r="T114" s="80"/>
      <c r="U114" s="128"/>
      <c r="V114" s="128"/>
      <c r="W114" s="128"/>
      <c r="X114" s="128"/>
      <c r="Y114" s="128"/>
      <c r="Z114" s="128"/>
    </row>
    <row r="115" spans="1:26" ht="12.75" customHeight="1">
      <c r="A115" s="128"/>
      <c r="B115" s="128"/>
      <c r="C115" s="128" t="s">
        <v>164</v>
      </c>
      <c r="D115" s="143">
        <f t="shared" ref="D115:G115" si="90">+M103-D103</f>
        <v>367.5</v>
      </c>
      <c r="E115" s="143">
        <f t="shared" si="90"/>
        <v>257.25</v>
      </c>
      <c r="F115" s="144">
        <f t="shared" si="90"/>
        <v>327.5</v>
      </c>
      <c r="G115" s="143">
        <f t="shared" si="90"/>
        <v>229.25</v>
      </c>
      <c r="H115" s="143"/>
      <c r="I115" s="143"/>
      <c r="J115" s="143"/>
      <c r="K115" s="143"/>
      <c r="L115" s="128"/>
      <c r="M115" s="80">
        <f t="shared" ref="M115:P115" si="91">+D115/D103</f>
        <v>0.25</v>
      </c>
      <c r="N115" s="80">
        <f t="shared" si="91"/>
        <v>0.25</v>
      </c>
      <c r="O115" s="171">
        <f t="shared" si="91"/>
        <v>0.25</v>
      </c>
      <c r="P115" s="147">
        <f t="shared" si="91"/>
        <v>0.25</v>
      </c>
      <c r="Q115" s="80"/>
      <c r="R115" s="80"/>
      <c r="S115" s="80"/>
      <c r="T115" s="80"/>
      <c r="U115" s="128"/>
      <c r="V115" s="128"/>
      <c r="W115" s="128"/>
      <c r="X115" s="128"/>
      <c r="Y115" s="128"/>
      <c r="Z115" s="128"/>
    </row>
    <row r="116" spans="1:26" ht="12.75" customHeight="1">
      <c r="A116" s="152"/>
      <c r="B116" s="153"/>
      <c r="C116" s="153" t="s">
        <v>165</v>
      </c>
      <c r="D116" s="154">
        <f t="shared" ref="D116:K116" si="92">+M104-D104</f>
        <v>294</v>
      </c>
      <c r="E116" s="154">
        <f t="shared" si="92"/>
        <v>205.79999999999995</v>
      </c>
      <c r="F116" s="155">
        <f t="shared" si="92"/>
        <v>262</v>
      </c>
      <c r="G116" s="154">
        <f t="shared" si="92"/>
        <v>183.39999999999986</v>
      </c>
      <c r="H116" s="154">
        <f t="shared" si="92"/>
        <v>262</v>
      </c>
      <c r="I116" s="154">
        <f t="shared" si="92"/>
        <v>183.39999999999986</v>
      </c>
      <c r="J116" s="154">
        <f t="shared" si="92"/>
        <v>170</v>
      </c>
      <c r="K116" s="154">
        <f t="shared" si="92"/>
        <v>119</v>
      </c>
      <c r="L116" s="153"/>
      <c r="M116" s="157">
        <f t="shared" ref="M116:T116" si="93">+D116/D104</f>
        <v>0.2</v>
      </c>
      <c r="N116" s="157">
        <f t="shared" si="93"/>
        <v>0.19999999999999996</v>
      </c>
      <c r="O116" s="146">
        <f t="shared" si="93"/>
        <v>0.2</v>
      </c>
      <c r="P116" s="158">
        <f t="shared" si="93"/>
        <v>0.19999999999999984</v>
      </c>
      <c r="Q116" s="157">
        <f t="shared" si="93"/>
        <v>0.2</v>
      </c>
      <c r="R116" s="157">
        <f t="shared" si="93"/>
        <v>0.19999999999999984</v>
      </c>
      <c r="S116" s="157">
        <f t="shared" si="93"/>
        <v>0.2</v>
      </c>
      <c r="T116" s="157">
        <f t="shared" si="93"/>
        <v>0.2</v>
      </c>
      <c r="U116" s="153"/>
      <c r="V116" s="153"/>
      <c r="W116" s="153"/>
      <c r="X116" s="153"/>
      <c r="Y116" s="153"/>
      <c r="Z116" s="153"/>
    </row>
    <row r="117" spans="1:26" ht="12.75" customHeight="1">
      <c r="A117" s="159"/>
      <c r="B117" s="128"/>
      <c r="C117" s="128" t="s">
        <v>166</v>
      </c>
      <c r="D117" s="143">
        <f t="shared" ref="D117:K117" si="94">+M105-D105</f>
        <v>283</v>
      </c>
      <c r="E117" s="143">
        <f t="shared" si="94"/>
        <v>198.09999999999991</v>
      </c>
      <c r="F117" s="144">
        <f t="shared" si="94"/>
        <v>251</v>
      </c>
      <c r="G117" s="143">
        <f t="shared" si="94"/>
        <v>175.70000000000005</v>
      </c>
      <c r="H117" s="143">
        <f t="shared" si="94"/>
        <v>251</v>
      </c>
      <c r="I117" s="143">
        <f t="shared" si="94"/>
        <v>175.70000000000005</v>
      </c>
      <c r="J117" s="143">
        <f t="shared" si="94"/>
        <v>170</v>
      </c>
      <c r="K117" s="143">
        <f t="shared" si="94"/>
        <v>119</v>
      </c>
      <c r="L117" s="128"/>
      <c r="M117" s="80">
        <f t="shared" ref="M117:T117" si="95">+D117/D105</f>
        <v>0.2</v>
      </c>
      <c r="N117" s="80">
        <f t="shared" si="95"/>
        <v>0.1999999999999999</v>
      </c>
      <c r="O117" s="160">
        <f t="shared" si="95"/>
        <v>0.2</v>
      </c>
      <c r="P117" s="147">
        <f t="shared" si="95"/>
        <v>0.20000000000000004</v>
      </c>
      <c r="Q117" s="80">
        <f t="shared" si="95"/>
        <v>0.2</v>
      </c>
      <c r="R117" s="80">
        <f t="shared" si="95"/>
        <v>0.20000000000000004</v>
      </c>
      <c r="S117" s="80">
        <f t="shared" si="95"/>
        <v>0.2</v>
      </c>
      <c r="T117" s="80">
        <f t="shared" si="95"/>
        <v>0.2</v>
      </c>
      <c r="U117" s="128"/>
      <c r="V117" s="128"/>
      <c r="W117" s="128"/>
      <c r="X117" s="128"/>
      <c r="Y117" s="128"/>
      <c r="Z117" s="128"/>
    </row>
    <row r="118" spans="1:26" ht="12.75" customHeight="1">
      <c r="A118" s="159"/>
      <c r="B118" s="128"/>
      <c r="C118" s="128" t="s">
        <v>167</v>
      </c>
      <c r="D118" s="143">
        <f t="shared" ref="D118:G118" si="96">+M106-D106</f>
        <v>283</v>
      </c>
      <c r="E118" s="143">
        <f t="shared" si="96"/>
        <v>198.09999999999991</v>
      </c>
      <c r="F118" s="144">
        <f t="shared" si="96"/>
        <v>251</v>
      </c>
      <c r="G118" s="143">
        <f t="shared" si="96"/>
        <v>175.70000000000005</v>
      </c>
      <c r="H118" s="143"/>
      <c r="I118" s="143"/>
      <c r="J118" s="143"/>
      <c r="K118" s="143"/>
      <c r="L118" s="128"/>
      <c r="M118" s="80">
        <f t="shared" ref="M118:P118" si="97">+D118/D106</f>
        <v>0.2</v>
      </c>
      <c r="N118" s="80">
        <f t="shared" si="97"/>
        <v>0.1999999999999999</v>
      </c>
      <c r="O118" s="160">
        <f t="shared" si="97"/>
        <v>0.2</v>
      </c>
      <c r="P118" s="147">
        <f t="shared" si="97"/>
        <v>0.20000000000000004</v>
      </c>
      <c r="Q118" s="80"/>
      <c r="R118" s="80"/>
      <c r="S118" s="80"/>
      <c r="T118" s="80"/>
      <c r="U118" s="128"/>
      <c r="V118" s="128"/>
      <c r="W118" s="128"/>
      <c r="X118" s="128"/>
      <c r="Y118" s="128"/>
      <c r="Z118" s="128"/>
    </row>
    <row r="119" spans="1:26" ht="12.75" customHeight="1">
      <c r="A119" s="161"/>
      <c r="B119" s="162"/>
      <c r="C119" s="162" t="s">
        <v>168</v>
      </c>
      <c r="D119" s="163">
        <f t="shared" ref="D119:G119" si="98">+M107-D107</f>
        <v>283</v>
      </c>
      <c r="E119" s="163">
        <f t="shared" si="98"/>
        <v>198.09999999999991</v>
      </c>
      <c r="F119" s="164">
        <f t="shared" si="98"/>
        <v>251</v>
      </c>
      <c r="G119" s="163">
        <f t="shared" si="98"/>
        <v>175.70000000000005</v>
      </c>
      <c r="H119" s="163"/>
      <c r="I119" s="163"/>
      <c r="J119" s="163"/>
      <c r="K119" s="163"/>
      <c r="L119" s="162"/>
      <c r="M119" s="165">
        <f t="shared" ref="M119:P119" si="99">+D119/D107</f>
        <v>0.2</v>
      </c>
      <c r="N119" s="165">
        <f t="shared" si="99"/>
        <v>0.1999999999999999</v>
      </c>
      <c r="O119" s="166">
        <f t="shared" si="99"/>
        <v>0.2</v>
      </c>
      <c r="P119" s="167">
        <f t="shared" si="99"/>
        <v>0.20000000000000004</v>
      </c>
      <c r="Q119" s="165"/>
      <c r="R119" s="165"/>
      <c r="S119" s="165"/>
      <c r="T119" s="165"/>
      <c r="U119" s="162"/>
      <c r="V119" s="162"/>
      <c r="W119" s="162"/>
      <c r="X119" s="162"/>
      <c r="Y119" s="162"/>
      <c r="Z119" s="162"/>
    </row>
    <row r="120" spans="1:26" ht="12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spans="1:26" ht="12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spans="1:26" ht="12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spans="1:26" ht="12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spans="1:26" ht="12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spans="1:26" ht="12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spans="1:26" ht="12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spans="1:26" ht="12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spans="1:26" ht="12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spans="1:26" ht="12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spans="1:26" ht="12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spans="1:26" ht="12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spans="1:26" ht="12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spans="1:26" ht="12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spans="1:26" ht="12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spans="1:26" ht="12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spans="1:26" ht="12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spans="1:26" ht="12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spans="1:26" ht="12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spans="1:26" ht="12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spans="1:26" ht="12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spans="1:26" ht="12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spans="1:26" ht="12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spans="1:26" ht="12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spans="1:26" ht="12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spans="1:26" ht="12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spans="1:26" ht="12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spans="1:26" ht="12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spans="1:26" ht="12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spans="1:26" ht="12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spans="1:26" ht="12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spans="1:26" ht="12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spans="1:26" ht="12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spans="1:26" ht="12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spans="1:26" ht="12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spans="1:26" ht="12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spans="1:26" ht="12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spans="1:26" ht="12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spans="1:26" ht="12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spans="1:26" ht="12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spans="1:26" ht="12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spans="1:26" ht="12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spans="1:26" ht="12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spans="1:26" ht="12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spans="1:26" ht="12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spans="1:26" ht="12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spans="1:26" ht="12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spans="1:26" ht="12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spans="1:26" ht="12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spans="1:26" ht="12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spans="1:26" ht="12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spans="1:26" ht="12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spans="1:26" ht="12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spans="1:26" ht="12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spans="1:26" ht="12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spans="1:26" ht="12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spans="1:26" ht="12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spans="1:26" ht="12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spans="1:26" ht="12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spans="1:26" ht="12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spans="1:26" ht="12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spans="1:26" ht="12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spans="1:26" ht="12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spans="1:26" ht="12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spans="1:26" ht="12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spans="1:26" ht="12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spans="1:26" ht="12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spans="1:26" ht="12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spans="1:26" ht="12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spans="1:26" ht="12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spans="1:26" ht="12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spans="1:26" ht="12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spans="1:26" ht="12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spans="1:26" ht="12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spans="1:26" ht="12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spans="1:26" ht="12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spans="1:26" ht="12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spans="1:26" ht="12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spans="1:26" ht="12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spans="1:26" ht="12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spans="1:26" ht="12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spans="1:26" ht="12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spans="1:26" ht="12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spans="1:26" ht="12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spans="1:26" ht="12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spans="1:26" ht="12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spans="1:26" ht="12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spans="1:26" ht="12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spans="1:26" ht="12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spans="1:26" ht="12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spans="1:26" ht="12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spans="1:26" ht="12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spans="1:26" ht="12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spans="1:26" ht="12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spans="1:26" ht="12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spans="1:26" ht="12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spans="1:26" ht="12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spans="1:26" ht="12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spans="1:26" ht="12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spans="1:26" ht="12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spans="1:26" ht="12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spans="1:26" ht="12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spans="1:26" ht="12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spans="1:26" ht="12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spans="1:26" ht="12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spans="1:26" ht="12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spans="1:26" ht="12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spans="1:26" ht="12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spans="1:26" ht="12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spans="1:26" ht="12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spans="1:26" ht="12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spans="1:26" ht="12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spans="1:26" ht="12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spans="1:26" ht="12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spans="1:26" ht="12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spans="1:26" ht="12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spans="1:26" ht="12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spans="1:26" ht="12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spans="1:26" ht="12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spans="1:26" ht="12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spans="1:26" ht="12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spans="1:26" ht="12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spans="1:26" ht="12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spans="1:26" ht="12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spans="1:26" ht="12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spans="1:26" ht="12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spans="1:26" ht="12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spans="1:26" ht="12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spans="1:26" ht="12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spans="1:26" ht="12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spans="1:26" ht="12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spans="1:26" ht="12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spans="1:26" ht="12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spans="1:26" ht="12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spans="1:26" ht="12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spans="1:26" ht="12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spans="1:26" ht="12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spans="1:26" ht="12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spans="1:26" ht="12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spans="1:26" ht="12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spans="1:26" ht="12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spans="1:26" ht="12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spans="1:26" ht="12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spans="1:26" ht="12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spans="1:26" ht="12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spans="1:26" ht="12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spans="1:26" ht="12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spans="1:26" ht="12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spans="1:26" ht="12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spans="1:26" ht="12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spans="1:26" ht="12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spans="1:26" ht="12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spans="1:26" ht="12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spans="1:26" ht="12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spans="1:26" ht="12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spans="1:26" ht="12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spans="1:26" ht="12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spans="1:26" ht="12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spans="1:26" ht="12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spans="1:26" ht="12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spans="1:26" ht="12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spans="1:26" ht="12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spans="1:26" ht="12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spans="1:26" ht="12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spans="1:26" ht="12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spans="1:26" ht="12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spans="1:26" ht="12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spans="1:26" ht="12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spans="1:26" ht="12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spans="1:26" ht="12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spans="1:26" ht="12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spans="1:26" ht="12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spans="1:26" ht="12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spans="1:26" ht="12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spans="1:26" ht="12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spans="1:26" ht="12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spans="1:26" ht="12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spans="1:26" ht="12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spans="1:26" ht="12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spans="1:26" ht="12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spans="1:26" ht="12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spans="1:26" ht="12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spans="1:26" ht="12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spans="1:26" ht="12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spans="1:26" ht="12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spans="1:26" ht="12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spans="1:26" ht="12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spans="1:26" ht="12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spans="1:26" ht="12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spans="1:26" ht="12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spans="1:26" ht="12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spans="1:26" ht="12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spans="1:26" ht="12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spans="1:26" ht="12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spans="1:26" ht="12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spans="1:26" ht="12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spans="1:26" ht="12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spans="1:26" ht="12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spans="1:26" ht="12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spans="1:26" ht="12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spans="1:26" ht="12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spans="1:26" ht="12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spans="1:26" ht="12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spans="1:26" ht="12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spans="1:26" ht="12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spans="1:26" ht="12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spans="1:26" ht="12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spans="1:26" ht="12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spans="1:26" ht="12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spans="1:26" ht="12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spans="1:26" ht="12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spans="1:26" ht="12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spans="1:26" ht="12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spans="1:26" ht="12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spans="1:26" ht="12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spans="1:26" ht="12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spans="1:26" ht="12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spans="1:26" ht="12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spans="1:26" ht="12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spans="1:26" ht="12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spans="1:26" ht="12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spans="1:26" ht="12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spans="1:26" ht="12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spans="1:26" ht="12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spans="1:26" ht="12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spans="1:26" ht="12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spans="1:26" ht="12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spans="1:26" ht="12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spans="1:26" ht="12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spans="1:26" ht="12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spans="1:26" ht="12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spans="1:26" ht="12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spans="1:26" ht="12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spans="1:26" ht="12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spans="1:26" ht="12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spans="1:26" ht="12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spans="1:26" ht="12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spans="1:26" ht="12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spans="1:26" ht="12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spans="1:26" ht="12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spans="1:26" ht="12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spans="1:26" ht="12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spans="1:26" ht="12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spans="1:26" ht="12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spans="1:26" ht="12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spans="1:26" ht="12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spans="1:26" ht="12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spans="1:26" ht="12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spans="1:26" ht="12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spans="1:26" ht="12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spans="1:26" ht="12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spans="1:26" ht="12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spans="1:26" ht="12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spans="1:26" ht="12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spans="1:26" ht="12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spans="1:26" ht="12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spans="1:26" ht="12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spans="1:26" ht="12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spans="1:26" ht="12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spans="1:26" ht="12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spans="1:26" ht="12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spans="1:26" ht="12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spans="1:26" ht="12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spans="1:26" ht="12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spans="1:26" ht="12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spans="1:26" ht="12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spans="1:26" ht="12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spans="1:26" ht="12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spans="1:26" ht="12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spans="1:26" ht="12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spans="1:26" ht="12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spans="1:26" ht="12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spans="1:26" ht="12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spans="1:26" ht="12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spans="1:26" ht="12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spans="1:26" ht="12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spans="1:26" ht="12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spans="1:26" ht="12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spans="1:26" ht="12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spans="1:26" ht="12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spans="1:26" ht="12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spans="1:26" ht="12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spans="1:26" ht="12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spans="1:26" ht="12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spans="1:26" ht="12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spans="1:26" ht="12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spans="1:26" ht="12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spans="1:26" ht="12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spans="1:26" ht="12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spans="1:26" ht="12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spans="1:26" ht="12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spans="1:26" ht="12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spans="1:26" ht="12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spans="1:26" ht="12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spans="1:26" ht="12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spans="1:26" ht="12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spans="1:26" ht="12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spans="1:26" ht="12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spans="1:26" ht="12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spans="1:26" ht="12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spans="1:26" ht="12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spans="1:26" ht="12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spans="1:26" ht="12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spans="1:26" ht="12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spans="1:26" ht="12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spans="1:26" ht="12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spans="1:26" ht="12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spans="1:26" ht="12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spans="1:26" ht="12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spans="1:26" ht="12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spans="1:26" ht="12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spans="1:26" ht="12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spans="1:26" ht="12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spans="1:26" ht="12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spans="1:26" ht="12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spans="1:26" ht="12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spans="1:26" ht="12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spans="1:26" ht="12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spans="1:26" ht="12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spans="1:26" ht="12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spans="1:26" ht="12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spans="1:26" ht="12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spans="1:26" ht="12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spans="1:26" ht="12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spans="1:26" ht="12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spans="1:26" ht="12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spans="1:26" ht="12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spans="1:26" ht="12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spans="1:26" ht="12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spans="1:26" ht="12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spans="1:26" ht="12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spans="1:26" ht="12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spans="1:26" ht="12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spans="1:26" ht="12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spans="1:26" ht="12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spans="1:26" ht="12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spans="1:26" ht="12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spans="1:26" ht="12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spans="1:26" ht="12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spans="1:26" ht="12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spans="1:26" ht="12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spans="1:26" ht="12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spans="1:26" ht="12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spans="1:26" ht="12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spans="1:26" ht="12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spans="1:26" ht="12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spans="1:26" ht="12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spans="1:26" ht="12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spans="1:26" ht="12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spans="1:26" ht="12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spans="1:26" ht="12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spans="1:26" ht="12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spans="1:26" ht="12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spans="1:26" ht="12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spans="1:26" ht="12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spans="1:26" ht="12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spans="1:26" ht="12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spans="1:26" ht="12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spans="1:26" ht="12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spans="1:26" ht="12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spans="1:26" ht="12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spans="1:26" ht="12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spans="1:26" ht="12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spans="1:26" ht="12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spans="1:26" ht="12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spans="1:26" ht="12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spans="1:26" ht="12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spans="1:26" ht="12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spans="1:26" ht="12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spans="1:26" ht="12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spans="1:26" ht="12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spans="1:26" ht="12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spans="1:26" ht="12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spans="1:26" ht="12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spans="1:26" ht="12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spans="1:26" ht="12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spans="1:26" ht="12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spans="1:26" ht="12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spans="1:26" ht="12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spans="1:26" ht="12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spans="1:26" ht="12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spans="1:26" ht="12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spans="1:26" ht="12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spans="1:26" ht="12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spans="1:26" ht="12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spans="1:26" ht="12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spans="1:26" ht="12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spans="1:26" ht="12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spans="1:26" ht="12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spans="1:26" ht="12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spans="1:26" ht="12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spans="1:26" ht="12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spans="1:26" ht="12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spans="1:26" ht="12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spans="1:26" ht="12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spans="1:26" ht="12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spans="1:26" ht="12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spans="1:26" ht="12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spans="1:26" ht="12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spans="1:26" ht="12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spans="1:26" ht="12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spans="1:26" ht="12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spans="1:26" ht="12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spans="1:26" ht="12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spans="1:26" ht="12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spans="1:26" ht="12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spans="1:26" ht="12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spans="1:26" ht="12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spans="1:26" ht="12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spans="1:26" ht="12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spans="1:26" ht="12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spans="1:26" ht="12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spans="1:26" ht="12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spans="1:26" ht="12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spans="1:26" ht="12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spans="1:26" ht="12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spans="1:26" ht="12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spans="1:26" ht="12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spans="1:26" ht="12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spans="1:26" ht="12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spans="1:26" ht="12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spans="1:26" ht="12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spans="1:26" ht="12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spans="1:26" ht="12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spans="1:26" ht="12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spans="1:26" ht="12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spans="1:26" ht="12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spans="1:26" ht="12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spans="1:26" ht="12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spans="1:26" ht="12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spans="1:26" ht="12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spans="1:26" ht="12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spans="1:26" ht="12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spans="1:26" ht="12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spans="1:26" ht="12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spans="1:26" ht="12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spans="1:26" ht="12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spans="1:26" ht="12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spans="1:26" ht="12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spans="1:26" ht="12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spans="1:26" ht="12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spans="1:26" ht="12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spans="1:26" ht="12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spans="1:26" ht="12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spans="1:26" ht="12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spans="1:26" ht="12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spans="1:26" ht="12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spans="1:26" ht="12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spans="1:26" ht="12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spans="1:26" ht="12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spans="1:26" ht="12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spans="1:26" ht="12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spans="1:26" ht="12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spans="1:26" ht="12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spans="1:26" ht="12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spans="1:26" ht="12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spans="1:26" ht="12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spans="1:26" ht="12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spans="1:26" ht="12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spans="1:26" ht="12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spans="1:26" ht="12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spans="1:26" ht="12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spans="1:26" ht="12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spans="1:26" ht="12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spans="1:26" ht="12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spans="1:26" ht="12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spans="1:26" ht="12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spans="1:26" ht="12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spans="1:26" ht="12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spans="1:26" ht="12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spans="1:26" ht="12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spans="1:26" ht="12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spans="1:26" ht="12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spans="1:26" ht="12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spans="1:26" ht="12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spans="1:26" ht="12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spans="1:26" ht="12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spans="1:26" ht="12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spans="1:26" ht="12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spans="1:26" ht="12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spans="1:26" ht="12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spans="1:26" ht="12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spans="1:26" ht="12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spans="1:26" ht="12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spans="1:26" ht="12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spans="1:26" ht="12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spans="1:26" ht="12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spans="1:26" ht="12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spans="1:26" ht="12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spans="1:26" ht="12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spans="1:26" ht="12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spans="1:26" ht="12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spans="1:26" ht="12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spans="1:26" ht="12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spans="1:26" ht="12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spans="1:26" ht="12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spans="1:26" ht="12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spans="1:26" ht="12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spans="1:26" ht="12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spans="1:26" ht="12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spans="1:26" ht="12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spans="1:26" ht="12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spans="1:26" ht="12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spans="1:26" ht="12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spans="1:26" ht="12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spans="1:26" ht="12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spans="1:26" ht="12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spans="1:26" ht="12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spans="1:26" ht="12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spans="1:26" ht="12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spans="1:26" ht="12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spans="1:26" ht="12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spans="1:26" ht="12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spans="1:26" ht="12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spans="1:26" ht="12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spans="1:26" ht="12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spans="1:26" ht="12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spans="1:26" ht="12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spans="1:26" ht="12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spans="1:26" ht="12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spans="1:26" ht="12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spans="1:26" ht="12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spans="1:26" ht="12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spans="1:26" ht="12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spans="1:26" ht="12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spans="1:26" ht="12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spans="1:26" ht="12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spans="1:26" ht="12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spans="1:26" ht="12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spans="1:26" ht="12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spans="1:26" ht="12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spans="1:26" ht="12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spans="1:26" ht="12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spans="1:26" ht="12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spans="1:26" ht="12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spans="1:26" ht="12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spans="1:26" ht="12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spans="1:26" ht="12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spans="1:26" ht="12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spans="1:26" ht="12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spans="1:26" ht="12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spans="1:26" ht="12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spans="1:26" ht="12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spans="1:26" ht="12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spans="1:26" ht="12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spans="1:26" ht="12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spans="1:26" ht="12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spans="1:26" ht="12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spans="1:26" ht="12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spans="1:26" ht="12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spans="1:26" ht="12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spans="1:26" ht="12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spans="1:26" ht="12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spans="1:26" ht="12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spans="1:26" ht="12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spans="1:26" ht="12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spans="1:26" ht="12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spans="1:26" ht="12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spans="1:26" ht="12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spans="1:26" ht="12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spans="1:26" ht="12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spans="1:26" ht="12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spans="1:26" ht="12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spans="1:26" ht="12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spans="1:26" ht="12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spans="1:26" ht="12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spans="1:26" ht="12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spans="1:26" ht="12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spans="1:26" ht="12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spans="1:26" ht="12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spans="1:26" ht="12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spans="1:26" ht="12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spans="1:26" ht="12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spans="1:26" ht="12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spans="1:26" ht="12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spans="1:26" ht="12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spans="1:26" ht="12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spans="1:26" ht="12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spans="1:26" ht="12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spans="1:26" ht="12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spans="1:26" ht="12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spans="1:26" ht="12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spans="1:26" ht="12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spans="1:26" ht="12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spans="1:26" ht="12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spans="1:26" ht="12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spans="1:26" ht="12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spans="1:26" ht="12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spans="1:26" ht="12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spans="1:26" ht="12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spans="1:26" ht="12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spans="1:26" ht="12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spans="1:26" ht="12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spans="1:26" ht="12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spans="1:26" ht="12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spans="1:26" ht="12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spans="1:26" ht="12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spans="1:26" ht="12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spans="1:26" ht="12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spans="1:26" ht="12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spans="1:26" ht="12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spans="1:26" ht="12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spans="1:26" ht="12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spans="1:26" ht="12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spans="1:26" ht="12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spans="1:26" ht="12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spans="1:26" ht="12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spans="1:26" ht="12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spans="1:26" ht="12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spans="1:26" ht="12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spans="1:26" ht="12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spans="1:26" ht="12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spans="1:26" ht="12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spans="1:26" ht="12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spans="1:26" ht="12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spans="1:26" ht="12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spans="1:26" ht="12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spans="1:26" ht="12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spans="1:26" ht="12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spans="1:26" ht="12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spans="1:26" ht="12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spans="1:26" ht="12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spans="1:26" ht="12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spans="1:26" ht="12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spans="1:26" ht="12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spans="1:26" ht="12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spans="1:26" ht="12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spans="1:26" ht="12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spans="1:26" ht="12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spans="1:26" ht="12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spans="1:26" ht="12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spans="1:26" ht="12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spans="1:26" ht="12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spans="1:26" ht="12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spans="1:26" ht="12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spans="1:26" ht="12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spans="1:26" ht="12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spans="1:26" ht="12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spans="1:26" ht="12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spans="1:26" ht="12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spans="1:26" ht="12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spans="1:26" ht="12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spans="1:26" ht="12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spans="1:26" ht="12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spans="1:26" ht="12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spans="1:26" ht="12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spans="1:26" ht="12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spans="1:26" ht="12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spans="1:26" ht="12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spans="1:26" ht="12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spans="1:26" ht="12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spans="1:26" ht="12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spans="1:26" ht="12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spans="1:26" ht="12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spans="1:26" ht="12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spans="1:26" ht="12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spans="1:26" ht="12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spans="1:26" ht="12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spans="1:26" ht="12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spans="1:26" ht="12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spans="1:26" ht="12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spans="1:26" ht="12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spans="1:26" ht="12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spans="1:26" ht="12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spans="1:26" ht="12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spans="1:26" ht="12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spans="1:26" ht="12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spans="1:26" ht="12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spans="1:26" ht="12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spans="1:26" ht="12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spans="1:26" ht="12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spans="1:26" ht="12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spans="1:26" ht="12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spans="1:26" ht="12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spans="1:26" ht="12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spans="1:26" ht="12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spans="1:26" ht="12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spans="1:26" ht="12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spans="1:26" ht="12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spans="1:26" ht="12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spans="1:26" ht="12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spans="1:26" ht="12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spans="1:26" ht="12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spans="1:26" ht="12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spans="1:26" ht="12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spans="1:26" ht="12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spans="1:26" ht="12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spans="1:26" ht="12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spans="1:26" ht="12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spans="1:26" ht="12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spans="1:26" ht="12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spans="1:26" ht="12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spans="1:26" ht="12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spans="1:26" ht="12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spans="1:26" ht="12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spans="1:26" ht="12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spans="1:26" ht="12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spans="1:26" ht="12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spans="1:26" ht="12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spans="1:26" ht="12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spans="1:26" ht="12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spans="1:26" ht="12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spans="1:26" ht="12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spans="1:26" ht="12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spans="1:26" ht="12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spans="1:26" ht="12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spans="1:26" ht="12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spans="1:26" ht="12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spans="1:26" ht="12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spans="1:26" ht="12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spans="1:26" ht="12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spans="1:26" ht="12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spans="1:26" ht="12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spans="1:26" ht="12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spans="1:26" ht="12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spans="1:26" ht="12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spans="1:26" ht="12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spans="1:26" ht="12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spans="1:26" ht="12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spans="1:26" ht="12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spans="1:26" ht="12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spans="1:26" ht="12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spans="1:26" ht="12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spans="1:26" ht="12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spans="1:26" ht="12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spans="1:26" ht="12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spans="1:26" ht="12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spans="1:26" ht="12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spans="1:26" ht="12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spans="1:26" ht="12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spans="1:26" ht="12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spans="1:26" ht="12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spans="1:26" ht="12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spans="1:26" ht="12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spans="1:26" ht="12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spans="1:26" ht="12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spans="1:26" ht="12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spans="1:26" ht="12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spans="1:26" ht="12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spans="1:26" ht="12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spans="1:26" ht="12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spans="1:26" ht="12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spans="1:26" ht="12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spans="1:26" ht="12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spans="1:26" ht="12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spans="1:26" ht="12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spans="1:26" ht="12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spans="1:26" ht="12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spans="1:26" ht="12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spans="1:26" ht="12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spans="1:26" ht="12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spans="1:26" ht="12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spans="1:26" ht="12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spans="1:26" ht="12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spans="1:26" ht="12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spans="1:26" ht="12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spans="1:26" ht="12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spans="1:26" ht="12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spans="1:26" ht="12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spans="1:26" ht="12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spans="1:26" ht="12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spans="1:26" ht="12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spans="1:26" ht="12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spans="1:26" ht="12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spans="1:26" ht="12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spans="1:26" ht="12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spans="1:26" ht="12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spans="1:26" ht="12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spans="1:26" ht="12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spans="1:26" ht="12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spans="1:26" ht="12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spans="1:26" ht="12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spans="1:26" ht="12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spans="1:26" ht="12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spans="1:26" ht="12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spans="1:26" ht="12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spans="1:26" ht="12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spans="1:26" ht="12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spans="1:26" ht="12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spans="1:26" ht="12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spans="1:26" ht="12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spans="1:26" ht="12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spans="1:26" ht="12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spans="1:26" ht="12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spans="1:26" ht="12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spans="1:26" ht="12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spans="1:26" ht="12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spans="1:26" ht="12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spans="1:26" ht="12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spans="1:26" ht="12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spans="1:26" ht="12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spans="1:26" ht="12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spans="1:26" ht="12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spans="1:26" ht="12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spans="1:26" ht="12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spans="1:26" ht="12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spans="1:26" ht="12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spans="1:26" ht="12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spans="1:26" ht="12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spans="1:26" ht="12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spans="1:26" ht="12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spans="1:26" ht="12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spans="1:26" ht="12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spans="1:26" ht="12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spans="1:26" ht="12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spans="1:26" ht="12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spans="1:26" ht="12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spans="1:26" ht="12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spans="1:26" ht="12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spans="1:26" ht="12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spans="1:26" ht="12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spans="1:26" ht="12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spans="1:26" ht="12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spans="1:26" ht="12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spans="1:26" ht="12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spans="1:26" ht="12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spans="1:26" ht="12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spans="1:26" ht="12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spans="1:26" ht="12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spans="1:26" ht="12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spans="1:26" ht="12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spans="1:26" ht="12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spans="1:26" ht="12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spans="1:26" ht="12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spans="1:26" ht="12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spans="1:26" ht="12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spans="1:26" ht="12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spans="1:26" ht="12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spans="1:26" ht="12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spans="1:26" ht="12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spans="1:26" ht="12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spans="1:26" ht="12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spans="1:26" ht="12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spans="1:26" ht="12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spans="1:26" ht="12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spans="1:26" ht="12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spans="1:26" ht="12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spans="1:26" ht="12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spans="1:26" ht="12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spans="1:26" ht="12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spans="1:26" ht="12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spans="1:26" ht="12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spans="1:26" ht="12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spans="1:26" ht="12.75" customHeight="1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spans="1:26" ht="12.75" customHeight="1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spans="1:26" ht="12.75" customHeight="1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spans="1:26" ht="12.75" customHeight="1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spans="1:26" ht="12.75" customHeight="1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spans="1:26" ht="12.75" customHeight="1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spans="1:26" ht="12.75" customHeight="1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spans="1:26" ht="12.75" customHeight="1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spans="1:26" ht="12.75" customHeight="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spans="1:26" ht="12.75" customHeight="1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spans="1:26" ht="12.75" customHeight="1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spans="1:26" ht="12.75" customHeight="1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spans="1:26" ht="12.75" customHeight="1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spans="1:26" ht="12.75" customHeight="1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spans="1:26" ht="12.75" customHeight="1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spans="1:26" ht="12.75" customHeight="1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spans="1:26" ht="12.75" customHeight="1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spans="1:26" ht="12.75" customHeight="1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spans="1:26" ht="12.75" customHeight="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spans="1:26" ht="12.75" customHeight="1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spans="1:26" ht="12.75" customHeight="1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spans="1:26" ht="12.75" customHeight="1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spans="1:26" ht="12.75" customHeight="1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spans="1:26" ht="12.75" customHeight="1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spans="1:26" ht="12.75" customHeight="1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spans="1:26" ht="12.75" customHeight="1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spans="1:26" ht="12.75" customHeight="1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spans="1:26" ht="12.75" customHeight="1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spans="1:26" ht="12.75" customHeight="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spans="1:26" ht="12.75" customHeight="1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spans="1:26" ht="12.75" customHeight="1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spans="1:26" ht="12.75" customHeight="1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spans="1:26" ht="12.75" customHeight="1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spans="1:26" ht="12.75" customHeight="1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spans="1:26" ht="12.75" customHeight="1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spans="1:26" ht="12.75" customHeight="1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spans="1:26" ht="12.75" customHeight="1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spans="1:26" ht="12.75" customHeight="1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mergeCells count="66">
    <mergeCell ref="D49:K49"/>
    <mergeCell ref="M49:T49"/>
    <mergeCell ref="D63:K63"/>
    <mergeCell ref="M63:T63"/>
    <mergeCell ref="D64:K64"/>
    <mergeCell ref="M64:T64"/>
    <mergeCell ref="M65:T66"/>
    <mergeCell ref="D65:K66"/>
    <mergeCell ref="D67:E67"/>
    <mergeCell ref="F67:G67"/>
    <mergeCell ref="H67:I67"/>
    <mergeCell ref="J67:K67"/>
    <mergeCell ref="M67:N67"/>
    <mergeCell ref="O67:P67"/>
    <mergeCell ref="Q67:R67"/>
    <mergeCell ref="S67:T67"/>
    <mergeCell ref="D80:K80"/>
    <mergeCell ref="M80:T80"/>
    <mergeCell ref="D93:K93"/>
    <mergeCell ref="M93:T93"/>
    <mergeCell ref="M94:T94"/>
    <mergeCell ref="M95:T96"/>
    <mergeCell ref="D97:E97"/>
    <mergeCell ref="F97:G97"/>
    <mergeCell ref="H97:I97"/>
    <mergeCell ref="J97:K97"/>
    <mergeCell ref="M97:N97"/>
    <mergeCell ref="O97:P97"/>
    <mergeCell ref="D2:K2"/>
    <mergeCell ref="M2:T2"/>
    <mergeCell ref="D3:K3"/>
    <mergeCell ref="M3:T3"/>
    <mergeCell ref="D4:K4"/>
    <mergeCell ref="M4:T4"/>
    <mergeCell ref="M5:T5"/>
    <mergeCell ref="Q6:R6"/>
    <mergeCell ref="S6:T6"/>
    <mergeCell ref="D5:K5"/>
    <mergeCell ref="D6:E6"/>
    <mergeCell ref="F6:G6"/>
    <mergeCell ref="H6:I6"/>
    <mergeCell ref="J6:K6"/>
    <mergeCell ref="M6:N6"/>
    <mergeCell ref="O6:P6"/>
    <mergeCell ref="D19:K19"/>
    <mergeCell ref="M19:T19"/>
    <mergeCell ref="D32:K32"/>
    <mergeCell ref="M32:T32"/>
    <mergeCell ref="D33:K33"/>
    <mergeCell ref="M33:T33"/>
    <mergeCell ref="D110:K110"/>
    <mergeCell ref="M110:T110"/>
    <mergeCell ref="M34:T35"/>
    <mergeCell ref="Q36:R36"/>
    <mergeCell ref="S36:T36"/>
    <mergeCell ref="D34:K35"/>
    <mergeCell ref="D36:E36"/>
    <mergeCell ref="F36:G36"/>
    <mergeCell ref="H36:I36"/>
    <mergeCell ref="J36:K36"/>
    <mergeCell ref="M36:N36"/>
    <mergeCell ref="O36:P36"/>
    <mergeCell ref="Q97:R97"/>
    <mergeCell ref="S97:T97"/>
    <mergeCell ref="D94:K94"/>
    <mergeCell ref="D95:K96"/>
  </mergeCells>
  <hyperlinks>
    <hyperlink ref="C1" location="Rooms!A10" display="Rooms" xr:uid="{57520A9F-2C4F-4B4A-908E-AF0CC0F78375}"/>
    <hyperlink ref="C2" location="ANALYSIS!A14" display="ANALYSI" xr:uid="{EC52F791-6B02-4C11-8E53-5C001404FE50}"/>
  </hyperlinks>
  <pageMargins left="0.7" right="0.7" top="0.75" bottom="0.75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F1FD-B388-486D-B1B3-5C316E2D12AE}">
  <dimension ref="B1:AE137"/>
  <sheetViews>
    <sheetView showGridLines="0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137" sqref="E137"/>
    </sheetView>
  </sheetViews>
  <sheetFormatPr defaultRowHeight="15"/>
  <cols>
    <col min="2" max="2" width="36.42578125" customWidth="1"/>
    <col min="3" max="3" width="14.28515625" customWidth="1"/>
    <col min="4" max="4" width="15" customWidth="1"/>
    <col min="5" max="5" width="14.7109375" customWidth="1"/>
    <col min="6" max="6" width="21.42578125" customWidth="1"/>
    <col min="7" max="7" width="18" customWidth="1"/>
    <col min="8" max="8" width="17.5703125" bestFit="1" customWidth="1"/>
    <col min="9" max="9" width="21.28515625" customWidth="1"/>
    <col min="10" max="10" width="11.140625" customWidth="1"/>
    <col min="11" max="11" width="20.140625" customWidth="1"/>
    <col min="12" max="12" width="10.85546875" customWidth="1"/>
    <col min="14" max="14" width="35.85546875" customWidth="1"/>
    <col min="15" max="15" width="8.7109375" style="256" bestFit="1" customWidth="1"/>
    <col min="16" max="16" width="2.140625" style="348" customWidth="1"/>
    <col min="17" max="17" width="9.5703125" style="256" bestFit="1" customWidth="1"/>
    <col min="18" max="23" width="8.7109375" bestFit="1" customWidth="1"/>
    <col min="24" max="24" width="11.28515625" bestFit="1" customWidth="1"/>
    <col min="25" max="25" width="8.7109375" bestFit="1" customWidth="1"/>
    <col min="26" max="26" width="10.85546875" bestFit="1" customWidth="1"/>
    <col min="27" max="27" width="10.7109375" bestFit="1" customWidth="1"/>
    <col min="28" max="28" width="8.7109375" bestFit="1" customWidth="1"/>
  </cols>
  <sheetData>
    <row r="1" spans="2:10">
      <c r="F1" s="407">
        <v>2024</v>
      </c>
      <c r="G1" s="407">
        <v>2025</v>
      </c>
      <c r="H1" s="407">
        <v>2026</v>
      </c>
    </row>
    <row r="2" spans="2:10">
      <c r="B2" s="264" t="s">
        <v>194</v>
      </c>
      <c r="F2" s="408">
        <f>+Rooms!O13</f>
        <v>10980</v>
      </c>
      <c r="G2" s="408">
        <f>+Rooms!O20</f>
        <v>10950</v>
      </c>
      <c r="H2" s="408">
        <f>+Rooms!O27</f>
        <v>10020</v>
      </c>
    </row>
    <row r="3" spans="2:10">
      <c r="B3" s="264" t="s">
        <v>30</v>
      </c>
      <c r="F3" s="408">
        <f>+Rooms!O14</f>
        <v>2774</v>
      </c>
      <c r="G3" s="408">
        <f>+Rooms!O21</f>
        <v>3179</v>
      </c>
      <c r="H3" s="408">
        <f>+Rooms!O28</f>
        <v>4363.2888793103448</v>
      </c>
    </row>
    <row r="4" spans="2:10">
      <c r="B4" s="264" t="s">
        <v>195</v>
      </c>
      <c r="F4" s="409">
        <f>+F3/F2</f>
        <v>0.25264116575591983</v>
      </c>
      <c r="G4" s="409">
        <f>+G3/G2</f>
        <v>0.29031963470319633</v>
      </c>
      <c r="H4" s="409">
        <f>+H3/H2</f>
        <v>0.43545797198706038</v>
      </c>
    </row>
    <row r="5" spans="2:10">
      <c r="B5" s="264" t="s">
        <v>200</v>
      </c>
      <c r="F5" s="198"/>
      <c r="G5" s="198">
        <f>+G4-F4</f>
        <v>3.76784689472765E-2</v>
      </c>
      <c r="H5" s="266">
        <f>+H4-G4</f>
        <v>0.14513833728386405</v>
      </c>
    </row>
    <row r="7" spans="2:10">
      <c r="B7" s="264" t="s">
        <v>197</v>
      </c>
      <c r="F7">
        <f>+Rooms!O15</f>
        <v>5076</v>
      </c>
      <c r="G7">
        <f>+Rooms!O22</f>
        <v>5677</v>
      </c>
      <c r="H7">
        <f>+Rooms!O29</f>
        <v>7853.9199827586217</v>
      </c>
    </row>
    <row r="8" spans="2:10">
      <c r="B8" s="264" t="s">
        <v>199</v>
      </c>
      <c r="F8" s="225">
        <f>+F7/F3</f>
        <v>1.8298485940879596</v>
      </c>
      <c r="G8" s="225">
        <f>+G7/G3</f>
        <v>1.7857816923560867</v>
      </c>
      <c r="H8" s="267">
        <f>+H7/H3</f>
        <v>1.8000000000000003</v>
      </c>
    </row>
    <row r="10" spans="2:10">
      <c r="B10" s="264" t="s">
        <v>196</v>
      </c>
      <c r="F10" s="262">
        <f>+Rooms!O36</f>
        <v>1195622.0335711027</v>
      </c>
      <c r="G10" s="262">
        <f>+Rooms!O37</f>
        <v>1540787.6062174863</v>
      </c>
      <c r="H10" s="262">
        <f>+Rooms!O38</f>
        <v>2604397.0560186207</v>
      </c>
    </row>
    <row r="11" spans="2:10">
      <c r="B11" s="264" t="s">
        <v>198</v>
      </c>
      <c r="F11" s="262"/>
      <c r="G11" s="198">
        <f>(G10-F10)/F10</f>
        <v>0.28869121089667249</v>
      </c>
      <c r="H11" s="266">
        <f>(H10-G10)/G10</f>
        <v>0.69030244370423832</v>
      </c>
    </row>
    <row r="12" spans="2:10">
      <c r="B12" s="264"/>
      <c r="F12" s="262"/>
      <c r="G12" s="262"/>
      <c r="H12" s="262"/>
    </row>
    <row r="14" spans="2:10">
      <c r="B14" s="264" t="s">
        <v>33</v>
      </c>
      <c r="F14" s="262">
        <f>+F10/F3</f>
        <v>431.01010582952512</v>
      </c>
      <c r="G14" s="262">
        <f>+G10/G3</f>
        <v>484.67681856479595</v>
      </c>
      <c r="H14" s="262">
        <f>+H10/H3</f>
        <v>596.88852332652982</v>
      </c>
      <c r="I14" s="262">
        <f>+H14-G14</f>
        <v>112.21170476173387</v>
      </c>
      <c r="J14" s="268" t="s">
        <v>201</v>
      </c>
    </row>
    <row r="15" spans="2:10">
      <c r="B15" s="264" t="s">
        <v>198</v>
      </c>
      <c r="G15" s="198">
        <f>(G14-F14)/F14</f>
        <v>0.1245138153593487</v>
      </c>
      <c r="H15" s="266">
        <f>(H14-G14)/G14</f>
        <v>0.23151861294709808</v>
      </c>
    </row>
    <row r="17" spans="2:7" ht="30">
      <c r="B17" s="41" t="s">
        <v>52</v>
      </c>
    </row>
    <row r="18" spans="2:7">
      <c r="F18" t="s">
        <v>263</v>
      </c>
      <c r="G18" t="s">
        <v>262</v>
      </c>
    </row>
    <row r="19" spans="2:7">
      <c r="B19" s="36" t="s">
        <v>56</v>
      </c>
      <c r="E19" s="308" t="str">
        <f>+'Key Indicators'!B50</f>
        <v>Travel Agency</v>
      </c>
      <c r="F19" s="308"/>
      <c r="G19" s="308">
        <f>+'Key Indicators'!D50</f>
        <v>0.6</v>
      </c>
    </row>
    <row r="20" spans="2:7">
      <c r="B20" s="36" t="s">
        <v>57</v>
      </c>
      <c r="E20" s="308" t="str">
        <f>+'Key Indicators'!B51</f>
        <v>OTAS</v>
      </c>
      <c r="F20" s="308"/>
      <c r="G20" s="308">
        <f>+'Key Indicators'!D51</f>
        <v>0.05</v>
      </c>
    </row>
    <row r="21" spans="2:7">
      <c r="B21" s="36" t="s">
        <v>58</v>
      </c>
      <c r="E21" s="308" t="str">
        <f>+'Key Indicators'!B52</f>
        <v>DIRECT</v>
      </c>
      <c r="F21" s="308"/>
      <c r="G21" s="308">
        <f>+'Key Indicators'!D52</f>
        <v>0.35</v>
      </c>
    </row>
    <row r="22" spans="2:7">
      <c r="B22" s="36"/>
      <c r="F22" s="308"/>
    </row>
    <row r="23" spans="2:7" ht="30">
      <c r="B23" s="41" t="s">
        <v>60</v>
      </c>
      <c r="F23" s="308"/>
    </row>
    <row r="24" spans="2:7" ht="30">
      <c r="B24" s="41"/>
      <c r="F24" s="308"/>
    </row>
    <row r="25" spans="2:7">
      <c r="B25" s="36" t="s">
        <v>56</v>
      </c>
      <c r="F25" s="54">
        <v>0.28000000000000003</v>
      </c>
    </row>
    <row r="26" spans="2:7">
      <c r="B26" s="36" t="s">
        <v>57</v>
      </c>
      <c r="F26" s="54">
        <v>0.2</v>
      </c>
    </row>
    <row r="27" spans="2:7">
      <c r="B27" s="36" t="s">
        <v>58</v>
      </c>
      <c r="F27" s="54">
        <v>0</v>
      </c>
    </row>
    <row r="28" spans="2:7">
      <c r="B28" s="36"/>
      <c r="F28" s="54"/>
    </row>
    <row r="29" spans="2:7">
      <c r="B29" s="36" t="s">
        <v>210</v>
      </c>
      <c r="F29" s="228">
        <f>+'Key Indicators'!O119</f>
        <v>3115307.4832758624</v>
      </c>
    </row>
    <row r="30" spans="2:7">
      <c r="B30" s="36" t="s">
        <v>211</v>
      </c>
      <c r="F30" s="228">
        <f>+'Key Indicators'!O145</f>
        <v>510910.42725724122</v>
      </c>
    </row>
    <row r="31" spans="2:7">
      <c r="B31" s="36"/>
      <c r="F31" s="54"/>
    </row>
    <row r="32" spans="2:7">
      <c r="B32" s="36" t="s">
        <v>212</v>
      </c>
      <c r="F32" s="228">
        <f>+F29-F30</f>
        <v>2604397.0560186212</v>
      </c>
    </row>
    <row r="33" spans="2:31">
      <c r="B33" s="36"/>
      <c r="F33" s="54"/>
    </row>
    <row r="34" spans="2:31">
      <c r="B34" s="36"/>
      <c r="F34" s="54"/>
    </row>
    <row r="35" spans="2:31">
      <c r="B35" s="36"/>
      <c r="F35" s="54"/>
    </row>
    <row r="36" spans="2:31" ht="15.75" thickBot="1"/>
    <row r="37" spans="2:31" ht="19.5" thickBot="1">
      <c r="E37" s="278" t="s">
        <v>204</v>
      </c>
      <c r="F37" s="284" t="s">
        <v>203</v>
      </c>
      <c r="G37" s="278" t="s">
        <v>205</v>
      </c>
      <c r="I37" s="278" t="str">
        <f>+E37</f>
        <v>Min</v>
      </c>
      <c r="J37" s="278" t="str">
        <f>+G37</f>
        <v>Max</v>
      </c>
      <c r="N37" s="289" t="s">
        <v>50</v>
      </c>
      <c r="O37" s="291" t="s">
        <v>13</v>
      </c>
      <c r="P37" s="349"/>
      <c r="Q37" s="341" t="s">
        <v>14</v>
      </c>
      <c r="R37" s="290" t="s">
        <v>15</v>
      </c>
      <c r="S37" s="290" t="s">
        <v>16</v>
      </c>
      <c r="T37" s="290" t="s">
        <v>51</v>
      </c>
      <c r="U37" s="290" t="s">
        <v>18</v>
      </c>
      <c r="V37" s="290" t="s">
        <v>19</v>
      </c>
      <c r="W37" s="290" t="s">
        <v>20</v>
      </c>
      <c r="X37" s="290" t="s">
        <v>21</v>
      </c>
      <c r="Y37" s="290" t="s">
        <v>22</v>
      </c>
      <c r="Z37" s="290" t="s">
        <v>23</v>
      </c>
      <c r="AA37" s="291" t="s">
        <v>24</v>
      </c>
      <c r="AB37" s="292" t="s">
        <v>25</v>
      </c>
    </row>
    <row r="38" spans="2:31">
      <c r="B38" t="s">
        <v>41</v>
      </c>
      <c r="D38" s="264" t="s">
        <v>206</v>
      </c>
      <c r="E38" s="249">
        <f>MIN('Key Indicators'!C167:N167)</f>
        <v>468.16</v>
      </c>
      <c r="F38" s="282">
        <f>+'Key Indicators'!O167</f>
        <v>589.66079547503159</v>
      </c>
      <c r="G38" s="249">
        <f>MAX('Key Indicators'!E167:P167)</f>
        <v>693.88</v>
      </c>
      <c r="H38" s="264" t="s">
        <v>208</v>
      </c>
      <c r="I38" s="280">
        <f t="shared" ref="I38:I43" si="0">(E38-F38)/F38</f>
        <v>-0.20605201567987974</v>
      </c>
      <c r="J38" s="265">
        <f t="shared" ref="J38:J43" si="1">(G38-F38)/F38</f>
        <v>0.17674433390303532</v>
      </c>
      <c r="N38" s="288" t="s">
        <v>41</v>
      </c>
      <c r="O38" s="294">
        <f>+'Key Indicators'!C167</f>
        <v>606.1</v>
      </c>
      <c r="P38" s="350"/>
      <c r="Q38" s="342">
        <f>+'Key Indicators'!D167</f>
        <v>606.10000000000014</v>
      </c>
      <c r="R38" s="293">
        <f>+'Key Indicators'!E167</f>
        <v>606.10000000000014</v>
      </c>
      <c r="S38" s="293">
        <f>+'Key Indicators'!F167</f>
        <v>606.1</v>
      </c>
      <c r="T38" s="293">
        <f>+'Key Indicators'!G167</f>
        <v>514.1400000000001</v>
      </c>
      <c r="U38" s="293">
        <f>+'Key Indicators'!H167</f>
        <v>514.14</v>
      </c>
      <c r="V38" s="293">
        <f>+'Key Indicators'!I167</f>
        <v>514.1400000000001</v>
      </c>
      <c r="W38" s="293">
        <f>+'Key Indicators'!J167</f>
        <v>514.14</v>
      </c>
      <c r="X38" s="293">
        <f>+'Key Indicators'!K167</f>
        <v>468.16</v>
      </c>
      <c r="Y38" s="293">
        <f>+'Key Indicators'!L167</f>
        <v>0</v>
      </c>
      <c r="Z38" s="293">
        <f>+'Key Indicators'!M167</f>
        <v>480.70000000000005</v>
      </c>
      <c r="AA38" s="294">
        <f>+'Key Indicators'!N167</f>
        <v>693.88</v>
      </c>
      <c r="AB38" s="295">
        <f>+'Key Indicators'!O167</f>
        <v>589.66079547503159</v>
      </c>
      <c r="AD38" s="255"/>
      <c r="AE38" s="255"/>
    </row>
    <row r="39" spans="2:31">
      <c r="B39" t="s">
        <v>42</v>
      </c>
      <c r="D39" s="264" t="s">
        <v>206</v>
      </c>
      <c r="E39" s="249">
        <f>MIN('Key Indicators'!C168:N168)</f>
        <v>430.54</v>
      </c>
      <c r="F39" s="282">
        <f>+'Key Indicators'!O168</f>
        <v>537.6272815012527</v>
      </c>
      <c r="G39" s="249">
        <f>MAX('Key Indicators'!E168:P168)</f>
        <v>647.90000000000009</v>
      </c>
      <c r="H39" s="264" t="s">
        <v>208</v>
      </c>
      <c r="I39" s="280">
        <f t="shared" si="0"/>
        <v>-0.19918498406968055</v>
      </c>
      <c r="J39" s="265">
        <f t="shared" si="1"/>
        <v>0.20510997542912163</v>
      </c>
      <c r="N39" s="286" t="s">
        <v>42</v>
      </c>
      <c r="O39" s="297">
        <f>+'Key Indicators'!C168</f>
        <v>560.12</v>
      </c>
      <c r="P39" s="350"/>
      <c r="Q39" s="343">
        <f>+'Key Indicators'!D168</f>
        <v>560.12</v>
      </c>
      <c r="R39" s="296">
        <f>+'Key Indicators'!E168</f>
        <v>560.12</v>
      </c>
      <c r="S39" s="296">
        <f>+'Key Indicators'!F168</f>
        <v>530.86</v>
      </c>
      <c r="T39" s="296">
        <f>+'Key Indicators'!G168</f>
        <v>472.34</v>
      </c>
      <c r="U39" s="296">
        <f>+'Key Indicators'!H168</f>
        <v>472.34000000000003</v>
      </c>
      <c r="V39" s="296">
        <f>+'Key Indicators'!I168</f>
        <v>472.34000000000003</v>
      </c>
      <c r="W39" s="296">
        <f>+'Key Indicators'!J168</f>
        <v>472.34000000000003</v>
      </c>
      <c r="X39" s="296">
        <f>+'Key Indicators'!K168</f>
        <v>430.54</v>
      </c>
      <c r="Y39" s="296">
        <f>+'Key Indicators'!L168</f>
        <v>0</v>
      </c>
      <c r="Z39" s="296">
        <f>+'Key Indicators'!M168</f>
        <v>447.26000000000005</v>
      </c>
      <c r="AA39" s="297">
        <f>+'Key Indicators'!N168</f>
        <v>647.90000000000009</v>
      </c>
      <c r="AB39" s="298">
        <f>+'Key Indicators'!O168</f>
        <v>537.6272815012527</v>
      </c>
      <c r="AE39" s="255"/>
    </row>
    <row r="40" spans="2:31">
      <c r="B40" t="s">
        <v>43</v>
      </c>
      <c r="D40" s="264" t="s">
        <v>206</v>
      </c>
      <c r="E40" s="249">
        <f>MIN('Key Indicators'!C169:N169)</f>
        <v>338.58</v>
      </c>
      <c r="F40" s="282">
        <f>+'Key Indicators'!O169</f>
        <v>431.54041488637068</v>
      </c>
      <c r="G40" s="249">
        <f>MAX('Key Indicators'!E169:P169)</f>
        <v>526.68000000000006</v>
      </c>
      <c r="H40" s="264" t="s">
        <v>208</v>
      </c>
      <c r="I40" s="280">
        <f t="shared" si="0"/>
        <v>-0.21541531610856934</v>
      </c>
      <c r="J40" s="265">
        <f t="shared" si="1"/>
        <v>0.22046506383111458</v>
      </c>
      <c r="N40" s="286" t="s">
        <v>43</v>
      </c>
      <c r="O40" s="297">
        <f>+'Key Indicators'!C169</f>
        <v>451.44000000000005</v>
      </c>
      <c r="P40" s="350"/>
      <c r="Q40" s="343">
        <f>+'Key Indicators'!D169</f>
        <v>451.44</v>
      </c>
      <c r="R40" s="296">
        <f>+'Key Indicators'!E169</f>
        <v>451.44000000000005</v>
      </c>
      <c r="S40" s="296">
        <f>+'Key Indicators'!F169</f>
        <v>426.36</v>
      </c>
      <c r="T40" s="296">
        <f>+'Key Indicators'!G169</f>
        <v>372.02000000000004</v>
      </c>
      <c r="U40" s="296">
        <f>+'Key Indicators'!H169</f>
        <v>372.02000000000004</v>
      </c>
      <c r="V40" s="296">
        <f>+'Key Indicators'!I169</f>
        <v>372.02000000000004</v>
      </c>
      <c r="W40" s="296">
        <f>+'Key Indicators'!J169</f>
        <v>372.02</v>
      </c>
      <c r="X40" s="296">
        <f>+'Key Indicators'!K169</f>
        <v>338.58</v>
      </c>
      <c r="Y40" s="296">
        <f>+'Key Indicators'!L169</f>
        <v>0</v>
      </c>
      <c r="Z40" s="296">
        <f>+'Key Indicators'!M169</f>
        <v>346.94000000000005</v>
      </c>
      <c r="AA40" s="297">
        <f>+'Key Indicators'!N169</f>
        <v>526.68000000000006</v>
      </c>
      <c r="AB40" s="298">
        <f>+'Key Indicators'!O169</f>
        <v>431.54041488637068</v>
      </c>
      <c r="AE40" s="255"/>
    </row>
    <row r="41" spans="2:31">
      <c r="B41" t="s">
        <v>44</v>
      </c>
      <c r="D41" s="264" t="s">
        <v>207</v>
      </c>
      <c r="E41" s="249">
        <f>MIN('Key Indicators'!C170:N170)</f>
        <v>313.50000000000006</v>
      </c>
      <c r="F41" s="282">
        <f>+'Key Indicators'!O170</f>
        <v>388.71625791526031</v>
      </c>
      <c r="G41" s="249">
        <f>MAX('Key Indicators'!E170:P170)</f>
        <v>480.70000000000005</v>
      </c>
      <c r="H41" s="264" t="s">
        <v>208</v>
      </c>
      <c r="I41" s="280">
        <f t="shared" si="0"/>
        <v>-0.1934991304934236</v>
      </c>
      <c r="J41" s="265">
        <f t="shared" si="1"/>
        <v>0.23663466657675039</v>
      </c>
      <c r="N41" s="286" t="s">
        <v>44</v>
      </c>
      <c r="O41" s="297">
        <f>+'Key Indicators'!C170</f>
        <v>405.46000000000004</v>
      </c>
      <c r="P41" s="350"/>
      <c r="Q41" s="343">
        <f>+'Key Indicators'!D170</f>
        <v>405.46000000000004</v>
      </c>
      <c r="R41" s="296">
        <f>+'Key Indicators'!E170</f>
        <v>405.46000000000004</v>
      </c>
      <c r="S41" s="296">
        <f>+'Key Indicators'!F170</f>
        <v>372.02000000000004</v>
      </c>
      <c r="T41" s="296">
        <f>+'Key Indicators'!G170</f>
        <v>330.22</v>
      </c>
      <c r="U41" s="296">
        <f>+'Key Indicators'!H170</f>
        <v>330.21999999999997</v>
      </c>
      <c r="V41" s="296">
        <f>+'Key Indicators'!I170</f>
        <v>330.22</v>
      </c>
      <c r="W41" s="296">
        <f>+'Key Indicators'!J170</f>
        <v>330.22</v>
      </c>
      <c r="X41" s="296">
        <f>+'Key Indicators'!K170</f>
        <v>0</v>
      </c>
      <c r="Y41" s="296">
        <f>+'Key Indicators'!L170</f>
        <v>0</v>
      </c>
      <c r="Z41" s="296">
        <f>+'Key Indicators'!M170</f>
        <v>313.50000000000006</v>
      </c>
      <c r="AA41" s="297">
        <f>+'Key Indicators'!N170</f>
        <v>480.70000000000005</v>
      </c>
      <c r="AB41" s="298">
        <f>+'Key Indicators'!O170</f>
        <v>388.71625791526031</v>
      </c>
    </row>
    <row r="42" spans="2:31">
      <c r="B42" t="s">
        <v>45</v>
      </c>
      <c r="D42" s="264" t="s">
        <v>207</v>
      </c>
      <c r="E42" s="249">
        <f>MIN('Key Indicators'!C171:N171)</f>
        <v>706.42000000000007</v>
      </c>
      <c r="F42" s="282">
        <f>+'Key Indicators'!O171</f>
        <v>806.34693356577748</v>
      </c>
      <c r="G42" s="249">
        <f>MAX('Key Indicators'!E171:P171)</f>
        <v>961.4000000000002</v>
      </c>
      <c r="H42" s="264" t="s">
        <v>208</v>
      </c>
      <c r="I42" s="280">
        <f t="shared" si="0"/>
        <v>-0.12392548344406384</v>
      </c>
      <c r="J42" s="265">
        <f t="shared" si="1"/>
        <v>0.19229076217671798</v>
      </c>
      <c r="N42" s="286" t="s">
        <v>45</v>
      </c>
      <c r="O42" s="297">
        <f>+'Key Indicators'!C171</f>
        <v>848.54</v>
      </c>
      <c r="P42" s="350"/>
      <c r="Q42" s="343">
        <f>+'Key Indicators'!D171</f>
        <v>848.54000000000019</v>
      </c>
      <c r="R42" s="296">
        <f>+'Key Indicators'!E171</f>
        <v>848.54000000000008</v>
      </c>
      <c r="S42" s="296">
        <f>+'Key Indicators'!F171</f>
        <v>810.92000000000007</v>
      </c>
      <c r="T42" s="296">
        <f>+'Key Indicators'!G171</f>
        <v>731.50000000000011</v>
      </c>
      <c r="U42" s="296">
        <f>+'Key Indicators'!H171</f>
        <v>731.50000000000011</v>
      </c>
      <c r="V42" s="296">
        <f>+'Key Indicators'!I171</f>
        <v>731.50000000000011</v>
      </c>
      <c r="W42" s="296">
        <f>+'Key Indicators'!J171</f>
        <v>731.5</v>
      </c>
      <c r="X42" s="296">
        <f>+'Key Indicators'!K171</f>
        <v>0</v>
      </c>
      <c r="Y42" s="296">
        <f>+'Key Indicators'!L171</f>
        <v>0</v>
      </c>
      <c r="Z42" s="296">
        <f>+'Key Indicators'!M171</f>
        <v>706.42000000000007</v>
      </c>
      <c r="AA42" s="297">
        <f>+'Key Indicators'!N171</f>
        <v>961.4000000000002</v>
      </c>
      <c r="AB42" s="298">
        <f>+'Key Indicators'!O171</f>
        <v>806.34693356577748</v>
      </c>
    </row>
    <row r="43" spans="2:31" ht="15.75" thickBot="1">
      <c r="B43" t="s">
        <v>46</v>
      </c>
      <c r="D43" s="264" t="s">
        <v>207</v>
      </c>
      <c r="E43" s="249">
        <f>MIN('Key Indicators'!C172:N172)</f>
        <v>806.74000000000012</v>
      </c>
      <c r="F43" s="282">
        <f>+'Key Indicators'!O172</f>
        <v>909.38828100393926</v>
      </c>
      <c r="G43" s="249">
        <f>MAX('Key Indicators'!E172:P172)</f>
        <v>1071.7520000000002</v>
      </c>
      <c r="H43" s="264" t="s">
        <v>208</v>
      </c>
      <c r="I43" s="280">
        <f t="shared" si="0"/>
        <v>-0.11287618627613971</v>
      </c>
      <c r="J43" s="265">
        <f t="shared" si="1"/>
        <v>0.17854168828392633</v>
      </c>
      <c r="N43" s="287" t="s">
        <v>46</v>
      </c>
      <c r="O43" s="300">
        <f>+'Key Indicators'!C172</f>
        <v>944.68000000000018</v>
      </c>
      <c r="P43" s="350"/>
      <c r="Q43" s="344">
        <f>+'Key Indicators'!D172</f>
        <v>944.68000000000006</v>
      </c>
      <c r="R43" s="299">
        <f>+'Key Indicators'!E172</f>
        <v>944.68000000000006</v>
      </c>
      <c r="S43" s="299">
        <f>+'Key Indicators'!F172</f>
        <v>890.34</v>
      </c>
      <c r="T43" s="299">
        <f>+'Key Indicators'!G172</f>
        <v>819.28000000000009</v>
      </c>
      <c r="U43" s="299">
        <f>+'Key Indicators'!H172</f>
        <v>819.28000000000009</v>
      </c>
      <c r="V43" s="299">
        <f>+'Key Indicators'!I172</f>
        <v>819.28000000000009</v>
      </c>
      <c r="W43" s="299">
        <f>+'Key Indicators'!J172</f>
        <v>819.28000000000009</v>
      </c>
      <c r="X43" s="299">
        <f>+'Key Indicators'!K172</f>
        <v>0</v>
      </c>
      <c r="Y43" s="299">
        <f>+'Key Indicators'!L172</f>
        <v>0</v>
      </c>
      <c r="Z43" s="299">
        <f>+'Key Indicators'!M172</f>
        <v>806.74000000000012</v>
      </c>
      <c r="AA43" s="300">
        <f>+'Key Indicators'!N172</f>
        <v>1071.7520000000002</v>
      </c>
      <c r="AB43" s="301">
        <f>+'Key Indicators'!O172</f>
        <v>909.38828100393926</v>
      </c>
    </row>
    <row r="44" spans="2:31" ht="15.75" thickBot="1">
      <c r="F44" s="283"/>
      <c r="N44" s="285" t="s">
        <v>25</v>
      </c>
      <c r="O44" s="303">
        <f>+'Key Indicators'!C173</f>
        <v>595.27155268817205</v>
      </c>
      <c r="P44" s="351"/>
      <c r="Q44" s="345">
        <f>+'Key Indicators'!D173</f>
        <v>583.47404761904772</v>
      </c>
      <c r="R44" s="302">
        <f>+'Key Indicators'!E173</f>
        <v>590.96203060720745</v>
      </c>
      <c r="S44" s="302">
        <f>+'Key Indicators'!F173</f>
        <v>635.29075301204819</v>
      </c>
      <c r="T44" s="302">
        <f>+'Key Indicators'!G173</f>
        <v>521.40327776212166</v>
      </c>
      <c r="U44" s="302">
        <f>+'Key Indicators'!H173</f>
        <v>553.70169683257927</v>
      </c>
      <c r="V44" s="302">
        <f>+'Key Indicators'!I173</f>
        <v>566.23140921409208</v>
      </c>
      <c r="W44" s="302">
        <f>+'Key Indicators'!J173</f>
        <v>520.61790227598283</v>
      </c>
      <c r="X44" s="302">
        <f>+'Key Indicators'!K173</f>
        <v>485.58682215743437</v>
      </c>
      <c r="Y44" s="302">
        <f>+'Key Indicators'!L173</f>
        <v>0</v>
      </c>
      <c r="Z44" s="302">
        <f>+'Key Indicators'!M173</f>
        <v>548.40743818580836</v>
      </c>
      <c r="AA44" s="303">
        <f>+'Key Indicators'!N173</f>
        <v>733.76343507313561</v>
      </c>
      <c r="AB44" s="304">
        <f>+'Key Indicators'!O173</f>
        <v>596.88852332652982</v>
      </c>
    </row>
    <row r="45" spans="2:31" ht="15.75" thickBot="1">
      <c r="B45" s="281" t="s">
        <v>209</v>
      </c>
      <c r="F45" s="305">
        <f>+'Key Indicators'!O173</f>
        <v>596.88852332652982</v>
      </c>
      <c r="Q45" s="346">
        <f>(Q44-O44)/O44</f>
        <v>-1.9818694536717345E-2</v>
      </c>
      <c r="R45" s="306">
        <f t="shared" ref="R45:X45" si="2">(R44-Q44)/Q44</f>
        <v>1.2833446523826642E-2</v>
      </c>
      <c r="S45" s="306">
        <f t="shared" si="2"/>
        <v>7.5011117650474801E-2</v>
      </c>
      <c r="T45" s="306">
        <f t="shared" si="2"/>
        <v>-0.17926827159054631</v>
      </c>
      <c r="U45" s="307">
        <f t="shared" si="2"/>
        <v>6.1945178421362032E-2</v>
      </c>
      <c r="V45" s="306">
        <f t="shared" si="2"/>
        <v>2.2628994011014151E-2</v>
      </c>
      <c r="W45" s="307">
        <f t="shared" si="2"/>
        <v>-8.055629941373102E-2</v>
      </c>
      <c r="X45" s="306">
        <f t="shared" si="2"/>
        <v>-6.7287505799172961E-2</v>
      </c>
      <c r="Y45" s="306"/>
      <c r="Z45" s="307">
        <f>(Z44-X44)/X44</f>
        <v>0.12937051246420897</v>
      </c>
      <c r="AA45" s="307">
        <f>(AA44-Z44)/Z44</f>
        <v>0.33798957486883313</v>
      </c>
    </row>
    <row r="47" spans="2:31">
      <c r="Q47" s="347"/>
    </row>
    <row r="48" spans="2:31" ht="30">
      <c r="B48" s="41" t="s">
        <v>213</v>
      </c>
      <c r="E48" s="41"/>
      <c r="F48" s="41"/>
      <c r="G48" s="491" t="s">
        <v>221</v>
      </c>
      <c r="H48" s="491" t="s">
        <v>222</v>
      </c>
      <c r="I48" s="491" t="s">
        <v>223</v>
      </c>
      <c r="Q48" s="347"/>
    </row>
    <row r="49" spans="2:11">
      <c r="G49" s="491" t="s">
        <v>16</v>
      </c>
      <c r="H49" s="491"/>
      <c r="I49" s="491"/>
    </row>
    <row r="50" spans="2:11" ht="15.75" thickBot="1">
      <c r="B50" s="490" t="s">
        <v>186</v>
      </c>
      <c r="C50" s="36"/>
      <c r="D50" s="36"/>
      <c r="E50" s="36"/>
      <c r="G50" s="491"/>
      <c r="H50" s="491"/>
      <c r="I50" s="491"/>
      <c r="J50" s="277"/>
    </row>
    <row r="51" spans="2:11" ht="16.5" thickBot="1">
      <c r="B51" s="36"/>
      <c r="C51" s="264"/>
      <c r="D51" s="36"/>
      <c r="E51" s="36"/>
      <c r="G51" s="318" t="s">
        <v>214</v>
      </c>
      <c r="H51" s="319" t="s">
        <v>220</v>
      </c>
      <c r="I51" s="320" t="s">
        <v>216</v>
      </c>
      <c r="J51" s="321" t="s">
        <v>33</v>
      </c>
    </row>
    <row r="52" spans="2:11">
      <c r="B52" t="s">
        <v>41</v>
      </c>
      <c r="C52" s="255"/>
      <c r="D52" s="255"/>
      <c r="E52" s="255"/>
      <c r="G52" s="255">
        <f>+'Key Indicators'!AA97</f>
        <v>622.54344902386117</v>
      </c>
      <c r="H52" s="255">
        <f>+'Key Indicators'!AB97</f>
        <v>503.6990633130963</v>
      </c>
      <c r="I52" s="255">
        <f>+'Key Indicators'!AC97</f>
        <v>468.16</v>
      </c>
      <c r="J52" s="322">
        <f>+'Key Indicators'!AD97</f>
        <v>589.66079547503159</v>
      </c>
    </row>
    <row r="53" spans="2:11">
      <c r="B53" t="s">
        <v>42</v>
      </c>
      <c r="C53" s="255"/>
      <c r="D53" s="255"/>
      <c r="E53" s="255"/>
      <c r="G53" s="255">
        <f>+'Key Indicators'!AA98</f>
        <v>575.94463905325449</v>
      </c>
      <c r="H53" s="255">
        <f>+'Key Indicators'!AB98</f>
        <v>462.96853641836441</v>
      </c>
      <c r="I53" s="255">
        <f>+'Key Indicators'!AC98</f>
        <v>430.54</v>
      </c>
      <c r="J53" s="322">
        <f>+'Key Indicators'!AD98</f>
        <v>537.62728150125281</v>
      </c>
    </row>
    <row r="54" spans="2:11">
      <c r="B54" t="s">
        <v>43</v>
      </c>
      <c r="C54" s="255"/>
      <c r="D54" s="255"/>
      <c r="E54" s="255"/>
      <c r="G54" s="255">
        <f>+'Key Indicators'!AA99</f>
        <v>464.85509936223315</v>
      </c>
      <c r="H54" s="255">
        <f>+'Key Indicators'!AB99</f>
        <v>365.752523138833</v>
      </c>
      <c r="I54" s="255">
        <f>+'Key Indicators'!AC99</f>
        <v>338.58</v>
      </c>
      <c r="J54" s="322">
        <f>+'Key Indicators'!AD99</f>
        <v>431.5404148863708</v>
      </c>
    </row>
    <row r="55" spans="2:11">
      <c r="B55" t="s">
        <v>44</v>
      </c>
      <c r="C55" s="255"/>
      <c r="D55" s="255"/>
      <c r="E55" s="255"/>
      <c r="G55" s="255">
        <f>+'Key Indicators'!AA100</f>
        <v>416.5112545228709</v>
      </c>
      <c r="H55" s="255">
        <f>+'Key Indicators'!AB100</f>
        <v>326.4880198343505</v>
      </c>
      <c r="I55" s="255">
        <f>+'Key Indicators'!AC100</f>
        <v>0</v>
      </c>
      <c r="J55" s="322">
        <f>+'Key Indicators'!AD100</f>
        <v>388.71625791526026</v>
      </c>
    </row>
    <row r="56" spans="2:11">
      <c r="B56" t="s">
        <v>45</v>
      </c>
      <c r="C56" s="255"/>
      <c r="D56" s="255"/>
      <c r="E56" s="255"/>
      <c r="G56" s="255">
        <f>+'Key Indicators'!AA101</f>
        <v>869.74962962962968</v>
      </c>
      <c r="H56" s="255">
        <f>+'Key Indicators'!AB101</f>
        <v>722.70655071481303</v>
      </c>
      <c r="I56" s="255">
        <f>+'Key Indicators'!AC101</f>
        <v>0</v>
      </c>
      <c r="J56" s="322">
        <f>+'Key Indicators'!AD101</f>
        <v>806.34693356577759</v>
      </c>
    </row>
    <row r="57" spans="2:11" ht="15.75" thickBot="1">
      <c r="B57" t="s">
        <v>46</v>
      </c>
      <c r="C57" s="255"/>
      <c r="D57" s="255"/>
      <c r="E57" s="255"/>
      <c r="G57" s="255">
        <f>+'Key Indicators'!AA102</f>
        <v>973.16570505558514</v>
      </c>
      <c r="H57" s="255">
        <f>+'Key Indicators'!AB102</f>
        <v>815.58435445141242</v>
      </c>
      <c r="I57" s="255">
        <f>+'Key Indicators'!AC102</f>
        <v>0</v>
      </c>
      <c r="J57" s="322">
        <f>+'Key Indicators'!AD102</f>
        <v>909.38828100393926</v>
      </c>
    </row>
    <row r="58" spans="2:11" ht="15.75" thickBot="1">
      <c r="B58" s="309"/>
      <c r="C58" s="310"/>
      <c r="D58" s="310"/>
      <c r="E58" s="311"/>
      <c r="G58" s="309">
        <f>+'Key Indicators'!AA103</f>
        <v>625.6986803310698</v>
      </c>
      <c r="H58" s="310">
        <f>+'Key Indicators'!AB103</f>
        <v>543.77560260272014</v>
      </c>
      <c r="I58" s="310">
        <f>+'Key Indicators'!AC103</f>
        <v>485.58682215743437</v>
      </c>
      <c r="J58" s="323">
        <f>+'Key Indicators'!AD103</f>
        <v>596.88852332652982</v>
      </c>
    </row>
    <row r="59" spans="2:11">
      <c r="B59" s="272"/>
      <c r="C59" s="272"/>
      <c r="D59" s="272"/>
      <c r="E59" s="36"/>
    </row>
    <row r="60" spans="2:11" ht="15.75" thickBot="1"/>
    <row r="61" spans="2:11" ht="15.75" thickBot="1">
      <c r="K61" s="325" t="s">
        <v>230</v>
      </c>
    </row>
    <row r="62" spans="2:11" ht="15.75" thickBot="1">
      <c r="B62" s="264" t="s">
        <v>224</v>
      </c>
      <c r="G62" s="327">
        <v>2024</v>
      </c>
      <c r="H62" s="327">
        <v>2025</v>
      </c>
      <c r="I62" s="327">
        <v>2026</v>
      </c>
      <c r="K62" s="326" t="s">
        <v>231</v>
      </c>
    </row>
    <row r="63" spans="2:11">
      <c r="B63" s="264"/>
    </row>
    <row r="64" spans="2:11">
      <c r="B64" s="264" t="s">
        <v>226</v>
      </c>
      <c r="G64" s="262">
        <f>+Rooms!C36+Rooms!D36+Rooms!E36</f>
        <v>540770.93313543848</v>
      </c>
      <c r="H64" s="262">
        <f>+Rooms!C37+Rooms!D37+Rooms!E37</f>
        <v>726757.98613583168</v>
      </c>
      <c r="I64" s="262">
        <f>+Rooms!C38+Rooms!D38+Rooms!E38</f>
        <v>1146819.3659999999</v>
      </c>
      <c r="K64" s="198">
        <f>(I64-H64)/H64</f>
        <v>0.57799348321940336</v>
      </c>
    </row>
    <row r="65" spans="2:18">
      <c r="B65" s="264" t="s">
        <v>227</v>
      </c>
      <c r="G65" s="262">
        <f>+Rooms!F36+Rooms!G36+Rooms!H36</f>
        <v>167388.84292733134</v>
      </c>
      <c r="H65" s="262">
        <f>+Rooms!F37+Rooms!G37+Rooms!H37</f>
        <v>212739.21869076465</v>
      </c>
      <c r="I65" s="262">
        <f>+Rooms!F38+Rooms!G38+Rooms!H38</f>
        <v>424966.55375862075</v>
      </c>
      <c r="K65" s="198">
        <f t="shared" ref="K65:K67" si="3">(I65-H65)/H65</f>
        <v>0.99759384458559741</v>
      </c>
    </row>
    <row r="66" spans="2:18">
      <c r="B66" s="264" t="s">
        <v>228</v>
      </c>
      <c r="G66" s="262">
        <f>+Rooms!I36+Rooms!J36+Rooms!K36</f>
        <v>172004.05906419156</v>
      </c>
      <c r="H66" s="262">
        <f>+Rooms!I37+Rooms!J37+Rooms!K37</f>
        <v>232240.40139088995</v>
      </c>
      <c r="I66" s="262">
        <f>+Rooms!I38+Rooms!J38+Rooms!K38</f>
        <v>358860.64939999999</v>
      </c>
      <c r="K66" s="198">
        <f t="shared" si="3"/>
        <v>0.545211975396099</v>
      </c>
    </row>
    <row r="67" spans="2:18">
      <c r="B67" s="264" t="s">
        <v>229</v>
      </c>
      <c r="G67" s="262">
        <f>+Rooms!L36+Rooms!M36+Rooms!N36</f>
        <v>315458.19844414113</v>
      </c>
      <c r="H67" s="262">
        <f>+Rooms!L37+Rooms!M37+Rooms!N37</f>
        <v>369050</v>
      </c>
      <c r="I67" s="262">
        <f>+Rooms!L38+Rooms!M38+Rooms!N38</f>
        <v>673750.48686000006</v>
      </c>
      <c r="K67" s="198">
        <f t="shared" si="3"/>
        <v>0.82563470223546964</v>
      </c>
    </row>
    <row r="68" spans="2:18" ht="15.75" thickBot="1">
      <c r="B68" s="264"/>
      <c r="G68" s="262"/>
      <c r="H68" s="262"/>
      <c r="I68" s="262"/>
      <c r="K68" s="198"/>
    </row>
    <row r="69" spans="2:18" ht="15.75" thickBot="1">
      <c r="B69" s="264" t="s">
        <v>25</v>
      </c>
      <c r="G69" s="262">
        <f>SUM(G64:G68)</f>
        <v>1195622.0335711024</v>
      </c>
      <c r="H69" s="262">
        <f>SUM(H64:H68)</f>
        <v>1540787.6062174863</v>
      </c>
      <c r="I69" s="262">
        <f>SUM(I64:I68)</f>
        <v>2604397.0560186207</v>
      </c>
      <c r="K69" s="324">
        <f>(I69-H69)/H69</f>
        <v>0.69030244370423832</v>
      </c>
    </row>
    <row r="70" spans="2:18">
      <c r="G70" s="262">
        <f>+Rooms!O36-G69</f>
        <v>0</v>
      </c>
      <c r="H70" s="262">
        <f>+Rooms!O37-H69</f>
        <v>0</v>
      </c>
      <c r="I70" s="262">
        <f>+I69-Rooms!O38</f>
        <v>0</v>
      </c>
    </row>
    <row r="72" spans="2:18" ht="33.75">
      <c r="B72" s="566" t="s">
        <v>225</v>
      </c>
      <c r="C72" s="566"/>
      <c r="D72" s="566"/>
      <c r="E72" s="566"/>
      <c r="F72" s="566"/>
      <c r="G72" s="566"/>
      <c r="H72" s="566"/>
      <c r="I72" s="566"/>
      <c r="J72" s="566"/>
    </row>
    <row r="73" spans="2:18">
      <c r="B73" s="278"/>
      <c r="C73" s="278"/>
      <c r="D73" s="278"/>
      <c r="E73" s="278"/>
      <c r="F73" s="278"/>
      <c r="G73" s="278"/>
      <c r="H73" s="278"/>
      <c r="I73" s="278"/>
      <c r="J73" s="278"/>
    </row>
    <row r="74" spans="2:18">
      <c r="B74" s="278"/>
      <c r="C74" s="278"/>
      <c r="D74" s="278"/>
      <c r="E74" s="278"/>
      <c r="F74" s="278"/>
      <c r="G74" s="278"/>
      <c r="H74" s="278"/>
      <c r="I74" s="278"/>
      <c r="J74" s="278"/>
    </row>
    <row r="75" spans="2:18" ht="15.75" thickBot="1">
      <c r="B75" s="567" t="s">
        <v>236</v>
      </c>
      <c r="C75" s="567"/>
      <c r="D75" s="567"/>
      <c r="G75" s="256"/>
      <c r="H75" s="352"/>
      <c r="I75" s="567" t="s">
        <v>231</v>
      </c>
      <c r="J75" s="567"/>
      <c r="K75" s="567"/>
      <c r="O75" s="352"/>
      <c r="P75" s="352"/>
    </row>
    <row r="76" spans="2:18" ht="21">
      <c r="B76" s="357" t="s">
        <v>232</v>
      </c>
      <c r="C76" s="358" t="s">
        <v>233</v>
      </c>
      <c r="D76" s="358" t="s">
        <v>237</v>
      </c>
      <c r="E76" s="358" t="s">
        <v>25</v>
      </c>
      <c r="F76" s="358" t="s">
        <v>238</v>
      </c>
      <c r="G76" s="359" t="s">
        <v>234</v>
      </c>
      <c r="H76" s="353"/>
      <c r="I76" s="364" t="s">
        <v>232</v>
      </c>
      <c r="J76" s="365" t="s">
        <v>233</v>
      </c>
      <c r="K76" s="365" t="s">
        <v>237</v>
      </c>
      <c r="L76" s="365" t="s">
        <v>25</v>
      </c>
      <c r="M76" s="365" t="s">
        <v>238</v>
      </c>
      <c r="N76" s="366" t="s">
        <v>234</v>
      </c>
      <c r="O76" s="352"/>
      <c r="P76" s="353"/>
      <c r="Q76" s="568" t="s">
        <v>264</v>
      </c>
      <c r="R76" s="569"/>
    </row>
    <row r="77" spans="2:18" ht="18.75">
      <c r="B77" s="360" t="s">
        <v>64</v>
      </c>
      <c r="C77" s="328">
        <v>55</v>
      </c>
      <c r="D77" s="328"/>
      <c r="E77" s="328">
        <f>+C77</f>
        <v>55</v>
      </c>
      <c r="F77" s="328">
        <f>+E77</f>
        <v>55</v>
      </c>
      <c r="G77" s="361"/>
      <c r="H77" s="354"/>
      <c r="I77" s="367" t="s">
        <v>64</v>
      </c>
      <c r="J77" s="330">
        <v>105</v>
      </c>
      <c r="K77" s="330"/>
      <c r="L77" s="330">
        <f>+J77</f>
        <v>105</v>
      </c>
      <c r="M77" s="330">
        <f>+L77</f>
        <v>105</v>
      </c>
      <c r="N77" s="368"/>
      <c r="O77" s="354"/>
      <c r="P77" s="354"/>
      <c r="Q77" s="489">
        <f>+L77-E77</f>
        <v>50</v>
      </c>
      <c r="R77" s="371">
        <f>+Q77/C77</f>
        <v>0.90909090909090906</v>
      </c>
    </row>
    <row r="78" spans="2:18" ht="18.75">
      <c r="B78" s="360" t="s">
        <v>66</v>
      </c>
      <c r="C78" s="328">
        <f>15*3</f>
        <v>45</v>
      </c>
      <c r="D78" s="482">
        <f>+C78*0.1</f>
        <v>4.5</v>
      </c>
      <c r="E78" s="328">
        <f>+C78+D78</f>
        <v>49.5</v>
      </c>
      <c r="F78" s="328"/>
      <c r="G78" s="361">
        <f>+E78/3/1.1</f>
        <v>14.999999999999998</v>
      </c>
      <c r="H78" s="354"/>
      <c r="I78" s="367" t="s">
        <v>66</v>
      </c>
      <c r="J78" s="330">
        <f>18*3</f>
        <v>54</v>
      </c>
      <c r="K78" s="485">
        <f>+J78*0.1</f>
        <v>5.4</v>
      </c>
      <c r="L78" s="330">
        <f>+J78+K78</f>
        <v>59.4</v>
      </c>
      <c r="M78" s="330"/>
      <c r="N78" s="368">
        <f>+L78/3/1.1</f>
        <v>18</v>
      </c>
      <c r="O78" s="354"/>
      <c r="P78" s="354"/>
      <c r="Q78" s="489">
        <f>+N78-G78</f>
        <v>3.0000000000000018</v>
      </c>
      <c r="R78" s="371">
        <f>+Q78/G78</f>
        <v>0.20000000000000015</v>
      </c>
    </row>
    <row r="79" spans="2:18" ht="18.75">
      <c r="B79" s="360" t="s">
        <v>68</v>
      </c>
      <c r="C79" s="328">
        <f>30*3</f>
        <v>90</v>
      </c>
      <c r="D79" s="482">
        <f>+C79*0.1</f>
        <v>9</v>
      </c>
      <c r="E79" s="328">
        <f>+C79+D79</f>
        <v>99</v>
      </c>
      <c r="F79" s="328"/>
      <c r="G79" s="361">
        <f t="shared" ref="G79:G80" si="4">+E79/3/1.1</f>
        <v>29.999999999999996</v>
      </c>
      <c r="H79" s="354"/>
      <c r="I79" s="367" t="s">
        <v>68</v>
      </c>
      <c r="J79" s="330">
        <f>36*3</f>
        <v>108</v>
      </c>
      <c r="K79" s="485">
        <f>+J79*0.1</f>
        <v>10.8</v>
      </c>
      <c r="L79" s="330">
        <f>+J79+K79</f>
        <v>118.8</v>
      </c>
      <c r="M79" s="330"/>
      <c r="N79" s="368">
        <f t="shared" ref="N79" si="5">+L79/3/1.1</f>
        <v>36</v>
      </c>
      <c r="O79" s="354"/>
      <c r="P79" s="354"/>
      <c r="Q79" s="489">
        <f>+N79-G79</f>
        <v>6.0000000000000036</v>
      </c>
      <c r="R79" s="371">
        <f>+Q79/G79</f>
        <v>0.20000000000000015</v>
      </c>
    </row>
    <row r="80" spans="2:18" ht="18.75">
      <c r="B80" s="360" t="s">
        <v>70</v>
      </c>
      <c r="C80" s="328">
        <f>45*3</f>
        <v>135</v>
      </c>
      <c r="D80" s="482">
        <f>+C80*0.1</f>
        <v>13.5</v>
      </c>
      <c r="E80" s="328">
        <f>+C80+D80</f>
        <v>148.5</v>
      </c>
      <c r="F80" s="328">
        <f>+E80+E79+E78</f>
        <v>297</v>
      </c>
      <c r="G80" s="361">
        <f t="shared" si="4"/>
        <v>44.999999999999993</v>
      </c>
      <c r="H80" s="354"/>
      <c r="I80" s="367" t="s">
        <v>70</v>
      </c>
      <c r="J80" s="330">
        <f>54*3</f>
        <v>162</v>
      </c>
      <c r="K80" s="485">
        <f>+J80*0.1</f>
        <v>16.2</v>
      </c>
      <c r="L80" s="330">
        <f>+J80+K80</f>
        <v>178.2</v>
      </c>
      <c r="M80" s="330">
        <f>+L80+L79+L78</f>
        <v>356.4</v>
      </c>
      <c r="N80" s="368">
        <f>+L80/3/1.1</f>
        <v>53.999999999999993</v>
      </c>
      <c r="O80" s="354"/>
      <c r="P80" s="354"/>
      <c r="Q80" s="489">
        <f>+N80-G80</f>
        <v>9</v>
      </c>
      <c r="R80" s="371">
        <f>+Q80/G80</f>
        <v>0.20000000000000004</v>
      </c>
    </row>
    <row r="81" spans="2:18" ht="18.75">
      <c r="B81" s="360" t="s">
        <v>72</v>
      </c>
      <c r="C81" s="328">
        <v>120</v>
      </c>
      <c r="D81" s="482"/>
      <c r="E81" s="328">
        <f>+C81</f>
        <v>120</v>
      </c>
      <c r="F81" s="328"/>
      <c r="G81" s="361"/>
      <c r="H81" s="354"/>
      <c r="I81" s="367" t="s">
        <v>72</v>
      </c>
      <c r="J81" s="330">
        <v>144</v>
      </c>
      <c r="K81" s="485"/>
      <c r="L81" s="330">
        <f>+J81</f>
        <v>144</v>
      </c>
      <c r="M81" s="330"/>
      <c r="N81" s="368"/>
      <c r="O81" s="354"/>
      <c r="P81" s="354"/>
      <c r="Q81" s="489"/>
      <c r="R81" s="372"/>
    </row>
    <row r="82" spans="2:18" ht="18.75">
      <c r="B82" s="360" t="s">
        <v>74</v>
      </c>
      <c r="C82" s="328">
        <v>120</v>
      </c>
      <c r="D82" s="482">
        <v>15</v>
      </c>
      <c r="E82" s="328">
        <f>+C82+D82</f>
        <v>135</v>
      </c>
      <c r="F82" s="328">
        <f>+E82+E81</f>
        <v>255</v>
      </c>
      <c r="G82" s="361"/>
      <c r="H82" s="354"/>
      <c r="I82" s="367" t="s">
        <v>74</v>
      </c>
      <c r="J82" s="330">
        <f>144</f>
        <v>144</v>
      </c>
      <c r="K82" s="485">
        <v>15</v>
      </c>
      <c r="L82" s="330">
        <f>+J82+K82</f>
        <v>159</v>
      </c>
      <c r="M82" s="330">
        <f>+L82+L81</f>
        <v>303</v>
      </c>
      <c r="N82" s="368"/>
      <c r="O82" s="354"/>
      <c r="P82" s="354"/>
      <c r="Q82" s="489">
        <f>+M82-F82</f>
        <v>48</v>
      </c>
      <c r="R82" s="371">
        <f>+Q82/F82</f>
        <v>0.18823529411764706</v>
      </c>
    </row>
    <row r="83" spans="2:18" ht="19.5" thickBot="1">
      <c r="B83" s="362"/>
      <c r="C83" s="332"/>
      <c r="D83" s="483"/>
      <c r="E83" s="332"/>
      <c r="F83" s="332"/>
      <c r="G83" s="363"/>
      <c r="H83" s="355"/>
      <c r="I83" s="369"/>
      <c r="J83" s="331"/>
      <c r="K83" s="486"/>
      <c r="L83" s="331"/>
      <c r="M83" s="331"/>
      <c r="N83" s="370"/>
      <c r="O83" s="355"/>
      <c r="P83" s="355"/>
      <c r="Q83" s="373"/>
      <c r="R83" s="374"/>
    </row>
    <row r="84" spans="2:18" s="279" customFormat="1" ht="19.5" thickBot="1">
      <c r="B84" s="333" t="s">
        <v>235</v>
      </c>
      <c r="C84" s="334">
        <f>+SUM(C77:C83)</f>
        <v>565</v>
      </c>
      <c r="D84" s="484">
        <f>+SUM(D77:D83)</f>
        <v>42</v>
      </c>
      <c r="E84" s="334">
        <f>+SUM(E77:E83)</f>
        <v>607</v>
      </c>
      <c r="F84" s="334">
        <f>+SUM(F77:F83)</f>
        <v>607</v>
      </c>
      <c r="G84" s="335">
        <f>+SUM(G77:G83)</f>
        <v>89.999999999999986</v>
      </c>
      <c r="H84" s="356"/>
      <c r="I84" s="336" t="s">
        <v>235</v>
      </c>
      <c r="J84" s="337">
        <f>+SUM(J77:J83)</f>
        <v>717</v>
      </c>
      <c r="K84" s="487">
        <f>+SUM(K77:K83)</f>
        <v>47.400000000000006</v>
      </c>
      <c r="L84" s="337">
        <f>+SUM(L77:L83)</f>
        <v>764.4</v>
      </c>
      <c r="M84" s="337">
        <f>+SUM(M77:M83)</f>
        <v>764.4</v>
      </c>
      <c r="N84" s="338">
        <f>+SUM(N77:N83)</f>
        <v>108</v>
      </c>
      <c r="O84" s="356"/>
      <c r="P84" s="356"/>
      <c r="Q84" s="339"/>
      <c r="R84" s="340"/>
    </row>
    <row r="85" spans="2:18">
      <c r="G85" s="256"/>
      <c r="H85" s="348"/>
      <c r="I85" s="256"/>
      <c r="N85" s="256"/>
    </row>
    <row r="86" spans="2:18" ht="18.75">
      <c r="B86" s="329" t="s">
        <v>239</v>
      </c>
      <c r="C86" s="488">
        <v>25</v>
      </c>
      <c r="G86" s="256"/>
      <c r="H86" s="348"/>
      <c r="I86" s="256"/>
      <c r="J86" s="488">
        <v>35</v>
      </c>
    </row>
    <row r="87" spans="2:18">
      <c r="G87" s="256"/>
      <c r="H87" s="348"/>
      <c r="I87" s="256"/>
    </row>
    <row r="88" spans="2:18" ht="15.75" thickBot="1"/>
    <row r="89" spans="2:18" ht="21.75" thickBot="1">
      <c r="B89" s="376" t="s">
        <v>232</v>
      </c>
      <c r="C89" s="376" t="s">
        <v>231</v>
      </c>
      <c r="D89" s="376" t="s">
        <v>233</v>
      </c>
      <c r="E89" s="377" t="s">
        <v>240</v>
      </c>
    </row>
    <row r="90" spans="2:18" ht="18.75">
      <c r="B90" s="375" t="s">
        <v>64</v>
      </c>
      <c r="C90" s="378">
        <f>+J77</f>
        <v>105</v>
      </c>
      <c r="D90" s="378">
        <f>+C90</f>
        <v>105</v>
      </c>
      <c r="E90" s="380">
        <f>+D90/3</f>
        <v>35</v>
      </c>
    </row>
    <row r="91" spans="2:18" ht="18.75">
      <c r="B91" s="367" t="s">
        <v>66</v>
      </c>
      <c r="C91" s="379">
        <f t="shared" ref="C91:C94" si="6">+J78</f>
        <v>54</v>
      </c>
      <c r="D91" s="379">
        <f>+C91/3</f>
        <v>18</v>
      </c>
      <c r="E91" s="381">
        <f>+D91</f>
        <v>18</v>
      </c>
    </row>
    <row r="92" spans="2:18" ht="18.75">
      <c r="B92" s="367" t="s">
        <v>68</v>
      </c>
      <c r="C92" s="379">
        <f t="shared" si="6"/>
        <v>108</v>
      </c>
      <c r="D92" s="379">
        <f t="shared" ref="D92:D93" si="7">+C92/3</f>
        <v>36</v>
      </c>
      <c r="E92" s="381">
        <f t="shared" ref="E92:E93" si="8">+D92</f>
        <v>36</v>
      </c>
    </row>
    <row r="93" spans="2:18" ht="18.75">
      <c r="B93" s="367" t="s">
        <v>70</v>
      </c>
      <c r="C93" s="379">
        <f t="shared" si="6"/>
        <v>162</v>
      </c>
      <c r="D93" s="379">
        <f t="shared" si="7"/>
        <v>54</v>
      </c>
      <c r="E93" s="381">
        <f t="shared" si="8"/>
        <v>54</v>
      </c>
    </row>
    <row r="94" spans="2:18" ht="18.75">
      <c r="B94" s="367" t="s">
        <v>72</v>
      </c>
      <c r="C94" s="379">
        <f t="shared" si="6"/>
        <v>144</v>
      </c>
      <c r="D94" s="379">
        <f>+C94</f>
        <v>144</v>
      </c>
      <c r="E94" s="381">
        <f>+D94/3</f>
        <v>48</v>
      </c>
    </row>
    <row r="95" spans="2:18" ht="18.75">
      <c r="B95" s="367" t="s">
        <v>74</v>
      </c>
      <c r="C95" s="379">
        <f>+L82</f>
        <v>159</v>
      </c>
      <c r="D95" s="379">
        <f>+C95</f>
        <v>159</v>
      </c>
      <c r="E95" s="381">
        <f>+D95/3</f>
        <v>53</v>
      </c>
    </row>
    <row r="96" spans="2:18" ht="19.5" thickBot="1">
      <c r="B96" s="382" t="s">
        <v>239</v>
      </c>
      <c r="C96" s="383"/>
      <c r="D96" s="383">
        <f>+C96</f>
        <v>0</v>
      </c>
      <c r="E96" s="384">
        <f>+D96</f>
        <v>0</v>
      </c>
    </row>
    <row r="97" spans="2:9" ht="15.75" thickBot="1"/>
    <row r="98" spans="2:9" ht="19.5" thickBot="1">
      <c r="B98" s="385" t="s">
        <v>241</v>
      </c>
      <c r="C98" s="386">
        <f>SUM(C90:C97)</f>
        <v>732</v>
      </c>
      <c r="D98" s="387"/>
      <c r="E98" s="388">
        <f>SUM(E90:E97)</f>
        <v>244</v>
      </c>
    </row>
    <row r="101" spans="2:9">
      <c r="B101" s="279" t="s">
        <v>242</v>
      </c>
    </row>
    <row r="103" spans="2:9" ht="15.75">
      <c r="B103" s="98" t="s">
        <v>103</v>
      </c>
      <c r="C103" s="389">
        <f>+'Beverage Revenue'!N50</f>
        <v>0.34</v>
      </c>
      <c r="D103" s="410" t="s">
        <v>250</v>
      </c>
    </row>
    <row r="104" spans="2:9" ht="15.75">
      <c r="B104" s="98" t="s">
        <v>5</v>
      </c>
      <c r="C104" s="410" t="s">
        <v>251</v>
      </c>
      <c r="F104">
        <v>31</v>
      </c>
      <c r="G104">
        <v>2.5</v>
      </c>
      <c r="H104" s="249">
        <v>75</v>
      </c>
      <c r="I104" s="222">
        <f>+F104*G104*H104</f>
        <v>5812.5</v>
      </c>
    </row>
    <row r="105" spans="2:9" ht="15.75">
      <c r="B105" s="98" t="s">
        <v>6</v>
      </c>
      <c r="C105" s="268" t="s">
        <v>247</v>
      </c>
    </row>
    <row r="106" spans="2:9" ht="15.75">
      <c r="B106" s="98" t="s">
        <v>104</v>
      </c>
      <c r="C106" s="268" t="s">
        <v>248</v>
      </c>
    </row>
    <row r="107" spans="2:9" ht="15.75">
      <c r="B107" s="98"/>
    </row>
    <row r="109" spans="2:9" ht="33.75">
      <c r="B109" s="479" t="s">
        <v>249</v>
      </c>
    </row>
    <row r="113" spans="2:11" ht="15.75" thickBot="1"/>
    <row r="114" spans="2:11" ht="15.75" thickBot="1">
      <c r="K114" s="325" t="s">
        <v>230</v>
      </c>
    </row>
    <row r="115" spans="2:11" ht="15.75" thickBot="1">
      <c r="B115" s="264" t="s">
        <v>224</v>
      </c>
      <c r="G115" s="327">
        <v>2024</v>
      </c>
      <c r="H115" s="327">
        <v>2025</v>
      </c>
      <c r="I115" s="327">
        <v>2026</v>
      </c>
      <c r="K115" s="326" t="s">
        <v>231</v>
      </c>
    </row>
    <row r="116" spans="2:11">
      <c r="B116" s="264"/>
    </row>
    <row r="117" spans="2:11">
      <c r="B117" s="264" t="s">
        <v>226</v>
      </c>
      <c r="G117" s="262">
        <f>+Summary!B88+Summary!C88+Summary!D88</f>
        <v>927037.69236862159</v>
      </c>
      <c r="H117" s="262">
        <f>+Summary!B63+Summary!C63+Summary!D63</f>
        <v>1318138.2790734405</v>
      </c>
      <c r="I117" s="262">
        <f>+Summary!B29+Summary!C29+Summary!D29</f>
        <v>2104877.7387036001</v>
      </c>
      <c r="K117" s="198">
        <f>(I117-H117)/H117</f>
        <v>0.59685654541736155</v>
      </c>
    </row>
    <row r="118" spans="2:11">
      <c r="B118" s="264" t="s">
        <v>227</v>
      </c>
      <c r="G118" s="262">
        <f>+Summary!E88+Summary!F88+Summary!G88</f>
        <v>310753.79326233029</v>
      </c>
      <c r="H118" s="262">
        <f>+Summary!E63+Summary!F63+Summary!G63</f>
        <v>437766.12148777512</v>
      </c>
      <c r="I118" s="262">
        <f>+Summary!E29+Summary!F29+Summary!G29</f>
        <v>798130.03098415886</v>
      </c>
      <c r="K118" s="198">
        <f>(I118-H118)/H118</f>
        <v>0.82318820897255551</v>
      </c>
    </row>
    <row r="119" spans="2:11">
      <c r="B119" s="264" t="s">
        <v>228</v>
      </c>
      <c r="G119" s="262">
        <f>+Summary!H88+Summary!I88+Summary!J88</f>
        <v>307387.45476961794</v>
      </c>
      <c r="H119" s="262">
        <f>+Summary!H63+Summary!I63+Summary!J63</f>
        <v>502054.52391017019</v>
      </c>
      <c r="I119" s="262">
        <f>+Summary!H29+Summary!I29+Summary!J29</f>
        <v>699691.43099724001</v>
      </c>
      <c r="K119" s="198">
        <f>(I119-H119)/H119</f>
        <v>0.39365626176975133</v>
      </c>
    </row>
    <row r="120" spans="2:11">
      <c r="B120" s="264" t="s">
        <v>229</v>
      </c>
      <c r="G120" s="262">
        <f>+Summary!K88+Summary!L88+Summary!M88</f>
        <v>510508.00602700328</v>
      </c>
      <c r="H120" s="262">
        <f>+Summary!K63+Summary!L63+Summary!M63</f>
        <v>646766.3936725664</v>
      </c>
      <c r="I120" s="262">
        <f>+Summary!K29+Summary!L29+Summary!M29</f>
        <v>1181580.3858833401</v>
      </c>
      <c r="K120" s="198">
        <f>(I120-H120)/H120</f>
        <v>0.8269044239820692</v>
      </c>
    </row>
    <row r="121" spans="2:11" ht="15.75" thickBot="1">
      <c r="B121" s="264"/>
      <c r="G121" s="262"/>
      <c r="H121" s="262"/>
      <c r="I121" s="262"/>
      <c r="K121" s="198"/>
    </row>
    <row r="122" spans="2:11" ht="15.75" thickBot="1">
      <c r="B122" s="264" t="s">
        <v>25</v>
      </c>
      <c r="G122" s="262">
        <f>SUM(G117:G121)</f>
        <v>2055686.946427573</v>
      </c>
      <c r="H122" s="262">
        <f>SUM(H117:H121)</f>
        <v>2904725.3181439522</v>
      </c>
      <c r="I122" s="412">
        <f>SUM(I117:I121)</f>
        <v>4784279.5865683388</v>
      </c>
      <c r="K122" s="324">
        <f>(I122-H122)/H122</f>
        <v>0.64706781625237297</v>
      </c>
    </row>
    <row r="123" spans="2:11">
      <c r="G123" s="262">
        <f>+G122-Summary!N88</f>
        <v>0</v>
      </c>
      <c r="H123" s="262">
        <f>+H122-Summary!N63</f>
        <v>0</v>
      </c>
      <c r="I123" s="262">
        <f>+I122-Summary!N29</f>
        <v>0</v>
      </c>
    </row>
    <row r="124" spans="2:11">
      <c r="B124" t="s">
        <v>252</v>
      </c>
    </row>
    <row r="126" spans="2:11">
      <c r="B126" t="s">
        <v>253</v>
      </c>
      <c r="C126" s="255">
        <f>+F29</f>
        <v>3115307.4832758624</v>
      </c>
      <c r="D126" s="255">
        <f>+C126-C132</f>
        <v>2604397.0560186212</v>
      </c>
    </row>
    <row r="127" spans="2:11">
      <c r="B127" t="s">
        <v>254</v>
      </c>
      <c r="C127" s="255">
        <f>+'Key Indicators'!O217</f>
        <v>1916356.4757931032</v>
      </c>
      <c r="D127" s="255">
        <f>+C127-C133</f>
        <v>1602074.0137630345</v>
      </c>
    </row>
    <row r="128" spans="2:11">
      <c r="B128" t="s">
        <v>192</v>
      </c>
      <c r="C128" s="255">
        <f>+'Key Indicators'!O329+'Key Indicators'!O331+'Key Indicators'!O332+'Key Indicators'!O335+'Key Indicators'!O336+'Key Indicators'!O337</f>
        <v>577808.51678668358</v>
      </c>
      <c r="D128" s="255">
        <f>+C128</f>
        <v>577808.51678668358</v>
      </c>
    </row>
    <row r="129" spans="2:4">
      <c r="C129" s="255"/>
    </row>
    <row r="130" spans="2:4">
      <c r="B130" s="413" t="s">
        <v>255</v>
      </c>
      <c r="C130" s="414">
        <f>SUM(C126:C129)</f>
        <v>5609472.4758556485</v>
      </c>
    </row>
    <row r="131" spans="2:4">
      <c r="C131" s="255"/>
    </row>
    <row r="132" spans="2:4">
      <c r="B132" t="s">
        <v>256</v>
      </c>
      <c r="C132" s="414">
        <f>+F30</f>
        <v>510910.42725724122</v>
      </c>
    </row>
    <row r="133" spans="2:4">
      <c r="B133" t="s">
        <v>257</v>
      </c>
      <c r="C133" s="414">
        <f>+'Key Indicators'!O232</f>
        <v>314282.4620300688</v>
      </c>
    </row>
    <row r="134" spans="2:4">
      <c r="B134" t="s">
        <v>258</v>
      </c>
      <c r="C134" s="415">
        <f>SUM(C132:C133)</f>
        <v>825192.88928730995</v>
      </c>
    </row>
    <row r="135" spans="2:4">
      <c r="C135" s="255"/>
    </row>
    <row r="136" spans="2:4">
      <c r="C136" s="255"/>
    </row>
    <row r="137" spans="2:4">
      <c r="B137" s="413" t="s">
        <v>259</v>
      </c>
      <c r="C137" s="414">
        <f>+C130-C134</f>
        <v>4784279.5865683388</v>
      </c>
      <c r="D137" s="255">
        <f>SUM(D126:D136)</f>
        <v>4784279.5865683388</v>
      </c>
    </row>
  </sheetData>
  <mergeCells count="4">
    <mergeCell ref="B72:J72"/>
    <mergeCell ref="B75:D75"/>
    <mergeCell ref="I75:K75"/>
    <mergeCell ref="Q76:R76"/>
  </mergeCells>
  <phoneticPr fontId="62" type="noConversion"/>
  <hyperlinks>
    <hyperlink ref="J14" location="'Final 2026 Rates'!A1" display="FINAL RATES 2026" xr:uid="{794E2303-55BB-499D-8B4F-C7EABA8433C5}"/>
    <hyperlink ref="C103" location="'Beverage Revenue'!N50" display="'Beverage Revenue'!N50" xr:uid="{10CADAD2-E5CF-4574-B8D1-74E89071F945}"/>
    <hyperlink ref="C105" location="'Retail Gift Shop'!N51" display="1.2% based on Rooms Revenue" xr:uid="{131F509A-A5D2-440F-BE53-41879ED58B77}"/>
    <hyperlink ref="C106" location="Innoceanna!A1" display=".50% based on Rooms Revenue" xr:uid="{6BA84A80-910E-4B72-A5D9-56B98FFB1865}"/>
    <hyperlink ref="I122" location="Summary!N29" display="Summary!N29" xr:uid="{40F4AF3B-F653-4986-ABDD-2A8FEC86C3B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Summary</vt:lpstr>
      <vt:lpstr>Rates 2026</vt:lpstr>
      <vt:lpstr>Key Indicators</vt:lpstr>
      <vt:lpstr>Key LIGIA (2)</vt:lpstr>
      <vt:lpstr>Key LIGIA</vt:lpstr>
      <vt:lpstr>Rooms</vt:lpstr>
      <vt:lpstr>Food Revenue</vt:lpstr>
      <vt:lpstr>Beverage Revenue</vt:lpstr>
      <vt:lpstr>F&amp;B Mis Revenue</vt:lpstr>
      <vt:lpstr>Spa Revenue</vt:lpstr>
      <vt:lpstr>Retail Gift Shop</vt:lpstr>
      <vt:lpstr>Activities</vt:lpstr>
      <vt:lpstr>Transportation</vt:lpstr>
      <vt:lpstr>Innoceanna</vt:lpstr>
      <vt:lpstr>Sustainability Fee</vt:lpstr>
      <vt:lpstr>Laundry</vt:lpstr>
      <vt:lpstr>Final 2026 Rates</vt:lpstr>
      <vt:lpstr>ANALYSIS</vt:lpstr>
      <vt:lpstr>PRIOR_YEAR_TOTAL_OCCUPIED_ROOMS</vt:lpstr>
      <vt:lpstr>TOTAL_OPERATING_REVENUE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2025-09-25T02:18:50Z</dcterms:created>
  <dcterms:modified xsi:type="dcterms:W3CDTF">2026-01-30T16:45:37Z</dcterms:modified>
</cp:coreProperties>
</file>